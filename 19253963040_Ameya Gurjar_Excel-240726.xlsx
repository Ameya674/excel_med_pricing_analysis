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itadmin\Desktop\applications\xelay_acumen\Excel\"/>
    </mc:Choice>
  </mc:AlternateContent>
  <bookViews>
    <workbookView xWindow="0" yWindow="0" windowWidth="28800" windowHeight="11352" tabRatio="500"/>
  </bookViews>
  <sheets>
    <sheet name="Summary" sheetId="3" r:id="rId1"/>
    <sheet name="Admin" sheetId="1" r:id="rId2"/>
    <sheet name="Labs" sheetId="2" r:id="rId3"/>
  </sheets>
  <definedNames>
    <definedName name="_xlcn.WorksheetConnection_AdminA1E20231" hidden="1">Admin!$A$1:$E$2023</definedName>
    <definedName name="labs">Labs!#REF!</definedName>
  </definedNames>
  <calcPr calcId="152511"/>
  <pivotCaches>
    <pivotCache cacheId="0" r:id="rId4"/>
    <pivotCache cacheId="1" r:id="rId5"/>
    <pivotCache cacheId="2" r:id="rId6"/>
  </pivotCaches>
  <extLst>
    <ext xmlns:x15="http://schemas.microsoft.com/office/spreadsheetml/2010/11/main" uri="{FCE2AD5D-F65C-4FA6-A056-5C36A1767C68}">
      <x15:dataModel>
        <x15:modelTables>
          <x15:modelTable id="Range-78fcfd35-31b9-4877-bf3e-ca0befd2e806" name="Range" connection="WorksheetConnection_Admin!$A$1:$E$202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58" i="3" l="1"/>
  <c r="A358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116" i="3"/>
  <c r="S118" i="3"/>
  <c r="S121" i="3"/>
  <c r="S122" i="3"/>
  <c r="S128" i="3"/>
  <c r="S129" i="3"/>
  <c r="S138" i="3"/>
  <c r="S141" i="3"/>
  <c r="S142" i="3"/>
  <c r="S147" i="3"/>
  <c r="S155" i="3"/>
  <c r="S158" i="3"/>
  <c r="S165" i="3"/>
  <c r="S166" i="3"/>
  <c r="S170" i="3"/>
  <c r="S173" i="3"/>
  <c r="S174" i="3"/>
  <c r="S176" i="3"/>
  <c r="S177" i="3"/>
  <c r="S179" i="3"/>
  <c r="S185" i="3"/>
  <c r="S186" i="3"/>
  <c r="S193" i="3"/>
  <c r="S194" i="3"/>
  <c r="S195" i="3"/>
  <c r="S204" i="3"/>
  <c r="S208" i="3"/>
  <c r="S210" i="3"/>
  <c r="S217" i="3"/>
  <c r="S218" i="3"/>
  <c r="S222" i="3"/>
  <c r="S230" i="3"/>
  <c r="S239" i="3"/>
  <c r="P116" i="3"/>
  <c r="L126" i="3"/>
  <c r="L139" i="3"/>
  <c r="L149" i="3"/>
  <c r="L152" i="3"/>
  <c r="L156" i="3"/>
  <c r="L159" i="3"/>
  <c r="L160" i="3"/>
  <c r="L171" i="3"/>
  <c r="L183" i="3"/>
  <c r="L187" i="3"/>
  <c r="L191" i="3"/>
  <c r="L199" i="3"/>
  <c r="L203" i="3"/>
  <c r="L235" i="3"/>
  <c r="L238" i="3"/>
  <c r="L242" i="3"/>
  <c r="K117" i="3"/>
  <c r="K118" i="3"/>
  <c r="K119" i="3"/>
  <c r="K120" i="3"/>
  <c r="K121" i="3"/>
  <c r="L121" i="3" s="1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L141" i="3" s="1"/>
  <c r="K142" i="3"/>
  <c r="K143" i="3"/>
  <c r="K144" i="3"/>
  <c r="K145" i="3"/>
  <c r="K146" i="3"/>
  <c r="K147" i="3"/>
  <c r="K148" i="3"/>
  <c r="K149" i="3"/>
  <c r="K150" i="3"/>
  <c r="K151" i="3"/>
  <c r="K152" i="3"/>
  <c r="K153" i="3"/>
  <c r="L153" i="3" s="1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L166" i="3" s="1"/>
  <c r="K167" i="3"/>
  <c r="K168" i="3"/>
  <c r="K169" i="3"/>
  <c r="K170" i="3"/>
  <c r="K171" i="3"/>
  <c r="K172" i="3"/>
  <c r="K173" i="3"/>
  <c r="L173" i="3" s="1"/>
  <c r="K174" i="3"/>
  <c r="K175" i="3"/>
  <c r="K176" i="3"/>
  <c r="K177" i="3"/>
  <c r="L177" i="3" s="1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L194" i="3" s="1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L217" i="3" s="1"/>
  <c r="K218" i="3"/>
  <c r="K219" i="3"/>
  <c r="K220" i="3"/>
  <c r="K221" i="3"/>
  <c r="K222" i="3"/>
  <c r="L222" i="3" s="1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L239" i="3" s="1"/>
  <c r="K240" i="3"/>
  <c r="K241" i="3"/>
  <c r="K242" i="3"/>
  <c r="K243" i="3"/>
  <c r="K244" i="3"/>
  <c r="K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116" i="3"/>
  <c r="F81" i="3"/>
  <c r="E81" i="3"/>
  <c r="D81" i="3"/>
  <c r="C81" i="3"/>
  <c r="B81" i="3"/>
  <c r="B82" i="3"/>
  <c r="C82" i="3"/>
  <c r="D82" i="3"/>
  <c r="E82" i="3"/>
  <c r="F82" i="3"/>
  <c r="S116" i="3" l="1"/>
  <c r="P120" i="3"/>
  <c r="S117" i="3" l="1"/>
  <c r="S119" i="3"/>
  <c r="S120" i="3"/>
  <c r="S123" i="3"/>
  <c r="S124" i="3"/>
  <c r="S125" i="3"/>
  <c r="S126" i="3"/>
  <c r="S127" i="3"/>
  <c r="S130" i="3"/>
  <c r="S131" i="3"/>
  <c r="S132" i="3"/>
  <c r="S133" i="3"/>
  <c r="S134" i="3"/>
  <c r="S135" i="3"/>
  <c r="S136" i="3"/>
  <c r="S137" i="3"/>
  <c r="S139" i="3"/>
  <c r="S140" i="3"/>
  <c r="S143" i="3"/>
  <c r="S144" i="3"/>
  <c r="S145" i="3"/>
  <c r="S146" i="3"/>
  <c r="S148" i="3"/>
  <c r="S149" i="3"/>
  <c r="S150" i="3"/>
  <c r="S151" i="3"/>
  <c r="S152" i="3"/>
  <c r="S153" i="3"/>
  <c r="S154" i="3"/>
  <c r="S156" i="3"/>
  <c r="S157" i="3"/>
  <c r="S159" i="3"/>
  <c r="S160" i="3"/>
  <c r="S161" i="3"/>
  <c r="S162" i="3"/>
  <c r="S163" i="3"/>
  <c r="S164" i="3"/>
  <c r="S167" i="3"/>
  <c r="S168" i="3"/>
  <c r="S169" i="3"/>
  <c r="S171" i="3"/>
  <c r="S172" i="3"/>
  <c r="S175" i="3"/>
  <c r="S178" i="3"/>
  <c r="S180" i="3"/>
  <c r="S181" i="3"/>
  <c r="S182" i="3"/>
  <c r="S183" i="3"/>
  <c r="S184" i="3"/>
  <c r="S187" i="3"/>
  <c r="S188" i="3"/>
  <c r="S189" i="3"/>
  <c r="S190" i="3"/>
  <c r="S191" i="3"/>
  <c r="S192" i="3"/>
  <c r="S196" i="3"/>
  <c r="S197" i="3"/>
  <c r="S198" i="3"/>
  <c r="S199" i="3"/>
  <c r="S200" i="3"/>
  <c r="S201" i="3"/>
  <c r="S202" i="3"/>
  <c r="S203" i="3"/>
  <c r="S205" i="3"/>
  <c r="S206" i="3"/>
  <c r="S207" i="3"/>
  <c r="S209" i="3"/>
  <c r="S211" i="3"/>
  <c r="S212" i="3"/>
  <c r="S213" i="3"/>
  <c r="S214" i="3"/>
  <c r="S215" i="3"/>
  <c r="S216" i="3"/>
  <c r="S219" i="3"/>
  <c r="S220" i="3"/>
  <c r="S221" i="3"/>
  <c r="S223" i="3"/>
  <c r="S224" i="3"/>
  <c r="S225" i="3"/>
  <c r="S226" i="3"/>
  <c r="S227" i="3"/>
  <c r="S228" i="3"/>
  <c r="S229" i="3"/>
  <c r="S231" i="3"/>
  <c r="S232" i="3"/>
  <c r="S233" i="3"/>
  <c r="S234" i="3"/>
  <c r="S235" i="3"/>
  <c r="S236" i="3"/>
  <c r="S237" i="3"/>
  <c r="S238" i="3"/>
  <c r="S240" i="3"/>
  <c r="S241" i="3"/>
  <c r="S242" i="3"/>
  <c r="S243" i="3"/>
  <c r="S244" i="3"/>
  <c r="P117" i="3"/>
  <c r="P118" i="3"/>
  <c r="P119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N244" i="3"/>
  <c r="N243" i="3"/>
  <c r="N242" i="3"/>
  <c r="N241" i="3"/>
  <c r="N240" i="3"/>
  <c r="N239" i="3"/>
  <c r="O239" i="3" s="1"/>
  <c r="N238" i="3"/>
  <c r="N237" i="3"/>
  <c r="N236" i="3"/>
  <c r="N235" i="3"/>
  <c r="N234" i="3"/>
  <c r="N233" i="3"/>
  <c r="N232" i="3"/>
  <c r="N231" i="3"/>
  <c r="N230" i="3"/>
  <c r="O230" i="3" s="1"/>
  <c r="N229" i="3"/>
  <c r="N228" i="3"/>
  <c r="N227" i="3"/>
  <c r="N226" i="3"/>
  <c r="N225" i="3"/>
  <c r="N224" i="3"/>
  <c r="N223" i="3"/>
  <c r="N222" i="3"/>
  <c r="O222" i="3" s="1"/>
  <c r="N221" i="3"/>
  <c r="N220" i="3"/>
  <c r="N219" i="3"/>
  <c r="N218" i="3"/>
  <c r="O218" i="3" s="1"/>
  <c r="N217" i="3"/>
  <c r="O217" i="3" s="1"/>
  <c r="N216" i="3"/>
  <c r="N215" i="3"/>
  <c r="N214" i="3"/>
  <c r="N213" i="3"/>
  <c r="N212" i="3"/>
  <c r="N211" i="3"/>
  <c r="N210" i="3"/>
  <c r="O210" i="3" s="1"/>
  <c r="N209" i="3"/>
  <c r="N208" i="3"/>
  <c r="O208" i="3" s="1"/>
  <c r="N207" i="3"/>
  <c r="N206" i="3"/>
  <c r="N205" i="3"/>
  <c r="N204" i="3"/>
  <c r="O204" i="3" s="1"/>
  <c r="N203" i="3"/>
  <c r="N202" i="3"/>
  <c r="N201" i="3"/>
  <c r="N200" i="3"/>
  <c r="N199" i="3"/>
  <c r="N198" i="3"/>
  <c r="N197" i="3"/>
  <c r="N196" i="3"/>
  <c r="N195" i="3"/>
  <c r="O195" i="3" s="1"/>
  <c r="N194" i="3"/>
  <c r="O194" i="3" s="1"/>
  <c r="N193" i="3"/>
  <c r="O193" i="3" s="1"/>
  <c r="N192" i="3"/>
  <c r="N191" i="3"/>
  <c r="N190" i="3"/>
  <c r="N189" i="3"/>
  <c r="N188" i="3"/>
  <c r="N187" i="3"/>
  <c r="N186" i="3"/>
  <c r="O186" i="3" s="1"/>
  <c r="N185" i="3"/>
  <c r="O185" i="3" s="1"/>
  <c r="N184" i="3"/>
  <c r="N183" i="3"/>
  <c r="N182" i="3"/>
  <c r="N181" i="3"/>
  <c r="N180" i="3"/>
  <c r="N179" i="3"/>
  <c r="O179" i="3" s="1"/>
  <c r="N178" i="3"/>
  <c r="N177" i="3"/>
  <c r="O177" i="3" s="1"/>
  <c r="N176" i="3"/>
  <c r="O176" i="3" s="1"/>
  <c r="N175" i="3"/>
  <c r="N174" i="3"/>
  <c r="O174" i="3" s="1"/>
  <c r="N173" i="3"/>
  <c r="O173" i="3" s="1"/>
  <c r="N172" i="3"/>
  <c r="N171" i="3"/>
  <c r="N170" i="3"/>
  <c r="O170" i="3" s="1"/>
  <c r="N169" i="3"/>
  <c r="N168" i="3"/>
  <c r="N167" i="3"/>
  <c r="N166" i="3"/>
  <c r="O166" i="3" s="1"/>
  <c r="N165" i="3"/>
  <c r="O165" i="3" s="1"/>
  <c r="N164" i="3"/>
  <c r="N163" i="3"/>
  <c r="N162" i="3"/>
  <c r="N161" i="3"/>
  <c r="N160" i="3"/>
  <c r="N159" i="3"/>
  <c r="N158" i="3"/>
  <c r="O158" i="3" s="1"/>
  <c r="N157" i="3"/>
  <c r="N156" i="3"/>
  <c r="N155" i="3"/>
  <c r="O155" i="3" s="1"/>
  <c r="N154" i="3"/>
  <c r="N153" i="3"/>
  <c r="N152" i="3"/>
  <c r="N151" i="3"/>
  <c r="N150" i="3"/>
  <c r="N149" i="3"/>
  <c r="N148" i="3"/>
  <c r="N147" i="3"/>
  <c r="O147" i="3" s="1"/>
  <c r="N146" i="3"/>
  <c r="N145" i="3"/>
  <c r="N144" i="3"/>
  <c r="N143" i="3"/>
  <c r="N142" i="3"/>
  <c r="O142" i="3" s="1"/>
  <c r="N141" i="3"/>
  <c r="O141" i="3" s="1"/>
  <c r="N140" i="3"/>
  <c r="N139" i="3"/>
  <c r="N138" i="3"/>
  <c r="O138" i="3" s="1"/>
  <c r="N137" i="3"/>
  <c r="N136" i="3"/>
  <c r="N135" i="3"/>
  <c r="N134" i="3"/>
  <c r="N133" i="3"/>
  <c r="N132" i="3"/>
  <c r="N131" i="3"/>
  <c r="N130" i="3"/>
  <c r="N129" i="3"/>
  <c r="O129" i="3" s="1"/>
  <c r="N128" i="3"/>
  <c r="O128" i="3" s="1"/>
  <c r="N127" i="3"/>
  <c r="N126" i="3"/>
  <c r="N125" i="3"/>
  <c r="N124" i="3"/>
  <c r="N123" i="3"/>
  <c r="O123" i="3" s="1"/>
  <c r="N122" i="3"/>
  <c r="O122" i="3" s="1"/>
  <c r="N121" i="3"/>
  <c r="O121" i="3" s="1"/>
  <c r="N120" i="3"/>
  <c r="N119" i="3"/>
  <c r="O119" i="3" s="1"/>
  <c r="N118" i="3"/>
  <c r="O118" i="3" s="1"/>
  <c r="N117" i="3"/>
  <c r="N116" i="3"/>
  <c r="O116" i="3" s="1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116" i="3"/>
  <c r="J117" i="3"/>
  <c r="L117" i="3" s="1"/>
  <c r="J118" i="3"/>
  <c r="L118" i="3" s="1"/>
  <c r="J119" i="3"/>
  <c r="L119" i="3" s="1"/>
  <c r="J120" i="3"/>
  <c r="L120" i="3" s="1"/>
  <c r="J121" i="3"/>
  <c r="J122" i="3"/>
  <c r="L122" i="3" s="1"/>
  <c r="J123" i="3"/>
  <c r="L123" i="3" s="1"/>
  <c r="J124" i="3"/>
  <c r="L124" i="3" s="1"/>
  <c r="J125" i="3"/>
  <c r="L125" i="3" s="1"/>
  <c r="J126" i="3"/>
  <c r="J127" i="3"/>
  <c r="L127" i="3" s="1"/>
  <c r="J128" i="3"/>
  <c r="L128" i="3" s="1"/>
  <c r="J129" i="3"/>
  <c r="L129" i="3" s="1"/>
  <c r="J130" i="3"/>
  <c r="L130" i="3" s="1"/>
  <c r="J131" i="3"/>
  <c r="L131" i="3" s="1"/>
  <c r="J132" i="3"/>
  <c r="L132" i="3" s="1"/>
  <c r="J133" i="3"/>
  <c r="L133" i="3" s="1"/>
  <c r="J134" i="3"/>
  <c r="L134" i="3" s="1"/>
  <c r="J135" i="3"/>
  <c r="L135" i="3" s="1"/>
  <c r="J136" i="3"/>
  <c r="L136" i="3" s="1"/>
  <c r="J137" i="3"/>
  <c r="L137" i="3" s="1"/>
  <c r="J138" i="3"/>
  <c r="L138" i="3" s="1"/>
  <c r="J139" i="3"/>
  <c r="J140" i="3"/>
  <c r="L140" i="3" s="1"/>
  <c r="J141" i="3"/>
  <c r="J142" i="3"/>
  <c r="L142" i="3" s="1"/>
  <c r="J143" i="3"/>
  <c r="L143" i="3" s="1"/>
  <c r="J144" i="3"/>
  <c r="L144" i="3" s="1"/>
  <c r="J145" i="3"/>
  <c r="L145" i="3" s="1"/>
  <c r="J146" i="3"/>
  <c r="L146" i="3" s="1"/>
  <c r="J147" i="3"/>
  <c r="L147" i="3" s="1"/>
  <c r="J148" i="3"/>
  <c r="L148" i="3" s="1"/>
  <c r="J149" i="3"/>
  <c r="J150" i="3"/>
  <c r="L150" i="3" s="1"/>
  <c r="J151" i="3"/>
  <c r="L151" i="3" s="1"/>
  <c r="J152" i="3"/>
  <c r="J153" i="3"/>
  <c r="J154" i="3"/>
  <c r="L154" i="3" s="1"/>
  <c r="J155" i="3"/>
  <c r="L155" i="3" s="1"/>
  <c r="J156" i="3"/>
  <c r="J157" i="3"/>
  <c r="L157" i="3" s="1"/>
  <c r="J158" i="3"/>
  <c r="L158" i="3" s="1"/>
  <c r="J159" i="3"/>
  <c r="J160" i="3"/>
  <c r="J161" i="3"/>
  <c r="L161" i="3" s="1"/>
  <c r="J162" i="3"/>
  <c r="L162" i="3" s="1"/>
  <c r="J163" i="3"/>
  <c r="L163" i="3" s="1"/>
  <c r="J164" i="3"/>
  <c r="L164" i="3" s="1"/>
  <c r="J165" i="3"/>
  <c r="L165" i="3" s="1"/>
  <c r="J166" i="3"/>
  <c r="J167" i="3"/>
  <c r="L167" i="3" s="1"/>
  <c r="J168" i="3"/>
  <c r="L168" i="3" s="1"/>
  <c r="J169" i="3"/>
  <c r="L169" i="3" s="1"/>
  <c r="J170" i="3"/>
  <c r="L170" i="3" s="1"/>
  <c r="J171" i="3"/>
  <c r="J172" i="3"/>
  <c r="L172" i="3" s="1"/>
  <c r="J173" i="3"/>
  <c r="J174" i="3"/>
  <c r="L174" i="3" s="1"/>
  <c r="J175" i="3"/>
  <c r="L175" i="3" s="1"/>
  <c r="J176" i="3"/>
  <c r="L176" i="3" s="1"/>
  <c r="J177" i="3"/>
  <c r="J178" i="3"/>
  <c r="L178" i="3" s="1"/>
  <c r="J179" i="3"/>
  <c r="L179" i="3" s="1"/>
  <c r="J180" i="3"/>
  <c r="L180" i="3" s="1"/>
  <c r="J181" i="3"/>
  <c r="L181" i="3" s="1"/>
  <c r="J182" i="3"/>
  <c r="L182" i="3" s="1"/>
  <c r="J183" i="3"/>
  <c r="J184" i="3"/>
  <c r="L184" i="3" s="1"/>
  <c r="J185" i="3"/>
  <c r="L185" i="3" s="1"/>
  <c r="J186" i="3"/>
  <c r="L186" i="3" s="1"/>
  <c r="J187" i="3"/>
  <c r="J188" i="3"/>
  <c r="L188" i="3" s="1"/>
  <c r="J189" i="3"/>
  <c r="L189" i="3" s="1"/>
  <c r="J190" i="3"/>
  <c r="L190" i="3" s="1"/>
  <c r="J191" i="3"/>
  <c r="J192" i="3"/>
  <c r="L192" i="3" s="1"/>
  <c r="J193" i="3"/>
  <c r="L193" i="3" s="1"/>
  <c r="J194" i="3"/>
  <c r="J195" i="3"/>
  <c r="L195" i="3" s="1"/>
  <c r="J196" i="3"/>
  <c r="L196" i="3" s="1"/>
  <c r="J197" i="3"/>
  <c r="L197" i="3" s="1"/>
  <c r="J198" i="3"/>
  <c r="L198" i="3" s="1"/>
  <c r="J199" i="3"/>
  <c r="J200" i="3"/>
  <c r="L200" i="3" s="1"/>
  <c r="J201" i="3"/>
  <c r="L201" i="3" s="1"/>
  <c r="J202" i="3"/>
  <c r="L202" i="3" s="1"/>
  <c r="J203" i="3"/>
  <c r="J204" i="3"/>
  <c r="L204" i="3" s="1"/>
  <c r="J205" i="3"/>
  <c r="L205" i="3" s="1"/>
  <c r="J206" i="3"/>
  <c r="L206" i="3" s="1"/>
  <c r="J207" i="3"/>
  <c r="L207" i="3" s="1"/>
  <c r="J208" i="3"/>
  <c r="L208" i="3" s="1"/>
  <c r="J209" i="3"/>
  <c r="L209" i="3" s="1"/>
  <c r="J210" i="3"/>
  <c r="L210" i="3" s="1"/>
  <c r="J211" i="3"/>
  <c r="L211" i="3" s="1"/>
  <c r="J212" i="3"/>
  <c r="L212" i="3" s="1"/>
  <c r="J213" i="3"/>
  <c r="L213" i="3" s="1"/>
  <c r="J214" i="3"/>
  <c r="L214" i="3" s="1"/>
  <c r="J215" i="3"/>
  <c r="L215" i="3" s="1"/>
  <c r="J216" i="3"/>
  <c r="L216" i="3" s="1"/>
  <c r="J217" i="3"/>
  <c r="J218" i="3"/>
  <c r="L218" i="3" s="1"/>
  <c r="J219" i="3"/>
  <c r="L219" i="3" s="1"/>
  <c r="J220" i="3"/>
  <c r="L220" i="3" s="1"/>
  <c r="J221" i="3"/>
  <c r="L221" i="3" s="1"/>
  <c r="J222" i="3"/>
  <c r="J223" i="3"/>
  <c r="L223" i="3" s="1"/>
  <c r="J224" i="3"/>
  <c r="L224" i="3" s="1"/>
  <c r="J225" i="3"/>
  <c r="L225" i="3" s="1"/>
  <c r="J226" i="3"/>
  <c r="L226" i="3" s="1"/>
  <c r="J227" i="3"/>
  <c r="L227" i="3" s="1"/>
  <c r="J228" i="3"/>
  <c r="L228" i="3" s="1"/>
  <c r="J229" i="3"/>
  <c r="L229" i="3" s="1"/>
  <c r="J230" i="3"/>
  <c r="L230" i="3" s="1"/>
  <c r="J231" i="3"/>
  <c r="L231" i="3" s="1"/>
  <c r="J232" i="3"/>
  <c r="L232" i="3" s="1"/>
  <c r="J233" i="3"/>
  <c r="L233" i="3" s="1"/>
  <c r="J234" i="3"/>
  <c r="L234" i="3" s="1"/>
  <c r="J235" i="3"/>
  <c r="J236" i="3"/>
  <c r="L236" i="3" s="1"/>
  <c r="J237" i="3"/>
  <c r="L237" i="3" s="1"/>
  <c r="J238" i="3"/>
  <c r="J239" i="3"/>
  <c r="J240" i="3"/>
  <c r="L240" i="3" s="1"/>
  <c r="J241" i="3"/>
  <c r="L241" i="3" s="1"/>
  <c r="J242" i="3"/>
  <c r="J243" i="3"/>
  <c r="L243" i="3" s="1"/>
  <c r="J244" i="3"/>
  <c r="L244" i="3" s="1"/>
  <c r="J116" i="3"/>
  <c r="L116" i="3" s="1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116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D345" i="3" l="1"/>
  <c r="C346" i="3"/>
  <c r="C345" i="3"/>
  <c r="D346" i="3"/>
  <c r="E345" i="3"/>
  <c r="E346" i="3"/>
  <c r="B286" i="3"/>
  <c r="B285" i="3"/>
  <c r="B284" i="3"/>
  <c r="B346" i="3"/>
  <c r="B345" i="3"/>
  <c r="B347" i="3" s="1"/>
  <c r="O135" i="3"/>
  <c r="O124" i="3"/>
  <c r="O127" i="3"/>
  <c r="O117" i="3"/>
  <c r="O151" i="3"/>
  <c r="O167" i="3"/>
  <c r="O183" i="3"/>
  <c r="O199" i="3"/>
  <c r="O215" i="3"/>
  <c r="O231" i="3"/>
  <c r="O120" i="3"/>
  <c r="O136" i="3"/>
  <c r="O152" i="3"/>
  <c r="O168" i="3"/>
  <c r="O184" i="3"/>
  <c r="O200" i="3"/>
  <c r="O216" i="3"/>
  <c r="O232" i="3"/>
  <c r="O137" i="3"/>
  <c r="O153" i="3"/>
  <c r="O169" i="3"/>
  <c r="O201" i="3"/>
  <c r="O233" i="3"/>
  <c r="O154" i="3"/>
  <c r="O202" i="3"/>
  <c r="O234" i="3"/>
  <c r="B253" i="3"/>
  <c r="O139" i="3"/>
  <c r="O171" i="3"/>
  <c r="O187" i="3"/>
  <c r="O203" i="3"/>
  <c r="O219" i="3"/>
  <c r="O235" i="3"/>
  <c r="O140" i="3"/>
  <c r="O156" i="3"/>
  <c r="O172" i="3"/>
  <c r="O188" i="3"/>
  <c r="O220" i="3"/>
  <c r="O236" i="3"/>
  <c r="B252" i="3"/>
  <c r="C336" i="3"/>
  <c r="B336" i="3"/>
  <c r="B316" i="3"/>
  <c r="C286" i="3"/>
  <c r="C285" i="3"/>
  <c r="C284" i="3"/>
  <c r="B251" i="3"/>
  <c r="C253" i="3"/>
  <c r="O125" i="3"/>
  <c r="O157" i="3"/>
  <c r="O189" i="3"/>
  <c r="O205" i="3"/>
  <c r="O221" i="3"/>
  <c r="O237" i="3"/>
  <c r="C251" i="3"/>
  <c r="C252" i="3"/>
  <c r="O126" i="3"/>
  <c r="O190" i="3"/>
  <c r="O206" i="3"/>
  <c r="O238" i="3"/>
  <c r="O143" i="3"/>
  <c r="O159" i="3"/>
  <c r="O175" i="3"/>
  <c r="O191" i="3"/>
  <c r="O207" i="3"/>
  <c r="O223" i="3"/>
  <c r="O144" i="3"/>
  <c r="O160" i="3"/>
  <c r="O192" i="3"/>
  <c r="O224" i="3"/>
  <c r="O240" i="3"/>
  <c r="B335" i="3"/>
  <c r="O145" i="3"/>
  <c r="O161" i="3"/>
  <c r="O209" i="3"/>
  <c r="O225" i="3"/>
  <c r="O241" i="3"/>
  <c r="O130" i="3"/>
  <c r="O146" i="3"/>
  <c r="O162" i="3"/>
  <c r="O178" i="3"/>
  <c r="O226" i="3"/>
  <c r="O242" i="3"/>
  <c r="O131" i="3"/>
  <c r="O163" i="3"/>
  <c r="O211" i="3"/>
  <c r="O227" i="3"/>
  <c r="O243" i="3"/>
  <c r="O132" i="3"/>
  <c r="O148" i="3"/>
  <c r="O164" i="3"/>
  <c r="O180" i="3"/>
  <c r="O196" i="3"/>
  <c r="O212" i="3"/>
  <c r="O228" i="3"/>
  <c r="O244" i="3"/>
  <c r="O133" i="3"/>
  <c r="O149" i="3"/>
  <c r="O181" i="3"/>
  <c r="O197" i="3"/>
  <c r="O213" i="3"/>
  <c r="O229" i="3"/>
  <c r="O134" i="3"/>
  <c r="O150" i="3"/>
  <c r="O182" i="3"/>
  <c r="O198" i="3"/>
  <c r="O214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" i="1"/>
  <c r="E347" i="3" l="1"/>
  <c r="D347" i="3"/>
  <c r="C347" i="3"/>
  <c r="B287" i="3"/>
  <c r="B334" i="3"/>
  <c r="C316" i="3"/>
  <c r="B326" i="3" s="1"/>
  <c r="C335" i="3"/>
  <c r="D316" i="3"/>
  <c r="C334" i="3"/>
  <c r="C254" i="3"/>
  <c r="B254" i="3"/>
  <c r="C287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Admin!$A$1:$E$2023" type="102" refreshedVersion="5" minRefreshableVersion="5">
    <extLst>
      <ext xmlns:x15="http://schemas.microsoft.com/office/spreadsheetml/2010/11/main" uri="{DE250136-89BD-433C-8126-D09CA5730AF9}">
        <x15:connection id="Range-78fcfd35-31b9-4877-bf3e-ca0befd2e806" autoDelete="1">
          <x15:rangePr sourceName="_xlcn.WorksheetConnection_AdminA1E20231"/>
        </x15:connection>
      </ext>
    </extLst>
  </connection>
</connections>
</file>

<file path=xl/sharedStrings.xml><?xml version="1.0" encoding="utf-8"?>
<sst xmlns="http://schemas.openxmlformats.org/spreadsheetml/2006/main" count="4545" uniqueCount="98">
  <si>
    <t>ID</t>
  </si>
  <si>
    <t>Admin Date</t>
  </si>
  <si>
    <t>Units</t>
  </si>
  <si>
    <t>DRAW_DATE</t>
  </si>
  <si>
    <t>LAB_RESULT_CODE</t>
  </si>
  <si>
    <t>LAB_VALUE</t>
  </si>
  <si>
    <t>&gt;8250</t>
  </si>
  <si>
    <t>INVALID</t>
  </si>
  <si>
    <t>Med</t>
  </si>
  <si>
    <t>Med A</t>
  </si>
  <si>
    <t>Med B</t>
  </si>
  <si>
    <t>LAB A</t>
  </si>
  <si>
    <t>LAB B</t>
  </si>
  <si>
    <t>LAB C</t>
  </si>
  <si>
    <t>***Please only use Excel to complete the practical test***</t>
  </si>
  <si>
    <t>***Please summarize your answers for each question using tables/text/figures here***</t>
  </si>
  <si>
    <t>Row Labels</t>
  </si>
  <si>
    <t>Grand Total</t>
  </si>
  <si>
    <t>Jul</t>
  </si>
  <si>
    <t>Aug</t>
  </si>
  <si>
    <t>Sep</t>
  </si>
  <si>
    <t>Oct</t>
  </si>
  <si>
    <t>Nov</t>
  </si>
  <si>
    <t>Dec</t>
  </si>
  <si>
    <t>Column Labels</t>
  </si>
  <si>
    <t>Ameya, Gurjar</t>
  </si>
  <si>
    <t>GPA: 3.56</t>
  </si>
  <si>
    <t>Arizona State University</t>
  </si>
  <si>
    <t>Q1</t>
  </si>
  <si>
    <t>Total Units</t>
  </si>
  <si>
    <t>Q2</t>
  </si>
  <si>
    <t>Month</t>
  </si>
  <si>
    <t>Distinct Count of ID</t>
  </si>
  <si>
    <t>Aug 2012</t>
  </si>
  <si>
    <t>Jul 2012</t>
  </si>
  <si>
    <t>Nov 2012</t>
  </si>
  <si>
    <t>Oct 2012</t>
  </si>
  <si>
    <t>Sep 2012</t>
  </si>
  <si>
    <t>Q3</t>
  </si>
  <si>
    <t>Medication</t>
  </si>
  <si>
    <t>July</t>
  </si>
  <si>
    <t>August</t>
  </si>
  <si>
    <t>September</t>
  </si>
  <si>
    <t>October</t>
  </si>
  <si>
    <t>November</t>
  </si>
  <si>
    <t>Switched from A to B</t>
  </si>
  <si>
    <t>Helper Table</t>
  </si>
  <si>
    <t>Last Date</t>
  </si>
  <si>
    <t>for Q4 to Q11</t>
  </si>
  <si>
    <t>First Date</t>
  </si>
  <si>
    <t>Started B Directly</t>
  </si>
  <si>
    <t>First B Month</t>
  </si>
  <si>
    <t>Weeks on Med A</t>
  </si>
  <si>
    <t>Months on Med A</t>
  </si>
  <si>
    <t>Total A Units</t>
  </si>
  <si>
    <t>Average Monthly A Units</t>
  </si>
  <si>
    <t>Total B Units</t>
  </si>
  <si>
    <t>No. of B Doses</t>
  </si>
  <si>
    <t>(Months on B)</t>
  </si>
  <si>
    <t>Since Medicine B is given only once a month</t>
  </si>
  <si>
    <t>First Med B Units</t>
  </si>
  <si>
    <t>Second B Dose Date</t>
  </si>
  <si>
    <t>Second B Dose Units</t>
  </si>
  <si>
    <t>B2 vs B1</t>
  </si>
  <si>
    <t>Avg Lab B on A</t>
  </si>
  <si>
    <t>Avg Lab B on B</t>
  </si>
  <si>
    <t>Q4</t>
  </si>
  <si>
    <t>Sept</t>
  </si>
  <si>
    <t>Sept-Nov</t>
  </si>
  <si>
    <t>A -&gt; B</t>
  </si>
  <si>
    <t>Directly B</t>
  </si>
  <si>
    <t>Q5</t>
  </si>
  <si>
    <t>Switched A -&gt; B</t>
  </si>
  <si>
    <t>Avg Weeks on A</t>
  </si>
  <si>
    <t>Q6</t>
  </si>
  <si>
    <t>Population</t>
  </si>
  <si>
    <t>All switched patients</t>
  </si>
  <si>
    <t>Total Switched Patients</t>
  </si>
  <si>
    <t>Average Monthly A dose</t>
  </si>
  <si>
    <t>Average Monthly B dose</t>
  </si>
  <si>
    <t>Q7</t>
  </si>
  <si>
    <t>Price Point for Med B</t>
  </si>
  <si>
    <t>Avg Total Monthly Dose Med A</t>
  </si>
  <si>
    <t>Avg Total Monthly Dose Med B</t>
  </si>
  <si>
    <t>Q8</t>
  </si>
  <si>
    <t xml:space="preserve">Sept </t>
  </si>
  <si>
    <t>Sept + Oct</t>
  </si>
  <si>
    <t>No. of Patients</t>
  </si>
  <si>
    <t>First Dose == Second Dose</t>
  </si>
  <si>
    <t>Q9</t>
  </si>
  <si>
    <t>Average Monthly B Units</t>
  </si>
  <si>
    <t>First Dose &gt; Second Dose</t>
  </si>
  <si>
    <t>First Dose &lt; Second Dose</t>
  </si>
  <si>
    <t>Q10</t>
  </si>
  <si>
    <t>Lab B on Med A</t>
  </si>
  <si>
    <t>Lab B on Med B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</si>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</sst>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indexed="8"/>
      <name val="Arial"/>
    </font>
    <font>
      <sz val="8"/>
      <color indexed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indexed="8"/>
      <name val="Arial"/>
      <family val="2"/>
    </font>
    <font>
      <sz val="15"/>
      <color indexed="8"/>
      <name val="Arial"/>
      <family val="2"/>
    </font>
    <font>
      <b/>
      <sz val="15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6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top"/>
    </xf>
    <xf numFmtId="0" fontId="2" fillId="0" borderId="0" applyNumberFormat="0" applyFill="0" applyBorder="0" applyAlignment="0" applyProtection="0">
      <alignment vertical="top"/>
    </xf>
    <xf numFmtId="0" fontId="3" fillId="0" borderId="0" applyNumberFormat="0" applyFill="0" applyBorder="0" applyAlignment="0" applyProtection="0">
      <alignment vertical="top"/>
    </xf>
    <xf numFmtId="0" fontId="2" fillId="0" borderId="0" applyNumberFormat="0" applyFill="0" applyBorder="0" applyAlignment="0" applyProtection="0">
      <alignment vertical="top"/>
    </xf>
    <xf numFmtId="0" fontId="3" fillId="0" borderId="0" applyNumberFormat="0" applyFill="0" applyBorder="0" applyAlignment="0" applyProtection="0">
      <alignment vertical="top"/>
    </xf>
    <xf numFmtId="0" fontId="2" fillId="0" borderId="0" applyNumberFormat="0" applyFill="0" applyBorder="0" applyAlignment="0" applyProtection="0">
      <alignment vertical="top"/>
    </xf>
    <xf numFmtId="0" fontId="3" fillId="0" borderId="0" applyNumberFormat="0" applyFill="0" applyBorder="0" applyAlignment="0" applyProtection="0">
      <alignment vertical="top"/>
    </xf>
  </cellStyleXfs>
  <cellXfs count="22">
    <xf numFmtId="0" fontId="0" fillId="0" borderId="0" xfId="0">
      <alignment vertical="top"/>
    </xf>
    <xf numFmtId="0" fontId="1" fillId="0" borderId="0" xfId="0" applyFont="1">
      <alignment vertical="top"/>
    </xf>
    <xf numFmtId="14" fontId="1" fillId="0" borderId="0" xfId="0" applyNumberFormat="1" applyFont="1">
      <alignment vertical="top"/>
    </xf>
    <xf numFmtId="4" fontId="1" fillId="0" borderId="0" xfId="0" applyNumberFormat="1" applyFont="1">
      <alignment vertical="top"/>
    </xf>
    <xf numFmtId="0" fontId="1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Continuous" vertical="top"/>
    </xf>
    <xf numFmtId="0" fontId="1" fillId="2" borderId="0" xfId="0" applyFont="1" applyFill="1" applyAlignment="1">
      <alignment horizontal="centerContinuous" vertical="top"/>
    </xf>
    <xf numFmtId="0" fontId="0" fillId="0" borderId="0" xfId="0" applyBorder="1">
      <alignment vertical="top"/>
    </xf>
    <xf numFmtId="0" fontId="5" fillId="0" borderId="0" xfId="0" pivotButton="1" applyFont="1" applyBorder="1" applyAlignment="1">
      <alignment vertical="top"/>
    </xf>
    <xf numFmtId="0" fontId="5" fillId="0" borderId="0" xfId="0" applyFont="1" applyBorder="1" applyAlignment="1">
      <alignment vertical="top"/>
    </xf>
    <xf numFmtId="14" fontId="5" fillId="0" borderId="0" xfId="0" applyNumberFormat="1" applyFont="1" applyBorder="1" applyAlignment="1">
      <alignment horizontal="left" vertical="top"/>
    </xf>
    <xf numFmtId="0" fontId="5" fillId="0" borderId="0" xfId="0" applyNumberFormat="1" applyFont="1" applyBorder="1" applyAlignment="1">
      <alignment vertical="top"/>
    </xf>
    <xf numFmtId="0" fontId="5" fillId="0" borderId="0" xfId="0" applyFont="1">
      <alignment vertical="top"/>
    </xf>
    <xf numFmtId="0" fontId="5" fillId="0" borderId="0" xfId="0" applyNumberFormat="1" applyFont="1">
      <alignment vertical="top"/>
    </xf>
    <xf numFmtId="0" fontId="6" fillId="0" borderId="0" xfId="0" applyFont="1">
      <alignment vertical="top"/>
    </xf>
    <xf numFmtId="0" fontId="6" fillId="0" borderId="0" xfId="0" applyFont="1" applyBorder="1">
      <alignment vertical="top"/>
    </xf>
    <xf numFmtId="0" fontId="7" fillId="0" borderId="0" xfId="0" applyFont="1">
      <alignment vertical="top"/>
    </xf>
    <xf numFmtId="0" fontId="8" fillId="0" borderId="0" xfId="0" applyFont="1">
      <alignment vertical="top"/>
    </xf>
    <xf numFmtId="0" fontId="5" fillId="0" borderId="0" xfId="0" pivotButton="1" applyFont="1">
      <alignment vertical="top"/>
    </xf>
    <xf numFmtId="0" fontId="5" fillId="0" borderId="0" xfId="0" applyFont="1" applyAlignment="1">
      <alignment horizontal="left" vertical="top"/>
    </xf>
    <xf numFmtId="14" fontId="5" fillId="0" borderId="0" xfId="0" applyNumberFormat="1" applyFont="1">
      <alignment vertical="top"/>
    </xf>
    <xf numFmtId="0" fontId="9" fillId="0" borderId="0" xfId="0" applyFont="1">
      <alignment vertical="top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strike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strike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strike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scheme val="none"/>
      </font>
    </dxf>
    <dxf>
      <font>
        <strike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strike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strike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indexed="8"/>
        <name val="Arial"/>
        <scheme val="none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alignment vertical="top" readingOrder="0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[19253963040_Ameya Gurjar_Excel-240726.xlsx]Summary!PivotTable2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Summary!$B$7:$B$8</c:f>
              <c:strCache>
                <c:ptCount val="1"/>
                <c:pt idx="0">
                  <c:v>Med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Summary!$A$9:$A$15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Summary!$B$9:$B$15</c:f>
              <c:numCache>
                <c:formatCode>General</c:formatCode>
                <c:ptCount val="6"/>
                <c:pt idx="0">
                  <c:v>4303700</c:v>
                </c:pt>
                <c:pt idx="1">
                  <c:v>4477100</c:v>
                </c:pt>
                <c:pt idx="2">
                  <c:v>849900</c:v>
                </c:pt>
                <c:pt idx="4">
                  <c:v>75300</c:v>
                </c:pt>
                <c:pt idx="5">
                  <c:v>10200</c:v>
                </c:pt>
              </c:numCache>
            </c:numRef>
          </c:val>
        </c:ser>
        <c:ser>
          <c:idx val="1"/>
          <c:order val="1"/>
          <c:tx>
            <c:strRef>
              <c:f>Summary!$C$7:$C$8</c:f>
              <c:strCache>
                <c:ptCount val="1"/>
                <c:pt idx="0">
                  <c:v>Med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Summary!$A$9:$A$15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Summary!$C$9:$C$15</c:f>
              <c:numCache>
                <c:formatCode>General</c:formatCode>
                <c:ptCount val="6"/>
                <c:pt idx="2">
                  <c:v>535</c:v>
                </c:pt>
                <c:pt idx="3">
                  <c:v>393</c:v>
                </c:pt>
                <c:pt idx="4">
                  <c:v>420</c:v>
                </c:pt>
                <c:pt idx="5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216402592"/>
        <c:axId val="-1216401504"/>
      </c:barChart>
      <c:catAx>
        <c:axId val="-12164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16401504"/>
        <c:crosses val="autoZero"/>
        <c:auto val="1"/>
        <c:lblAlgn val="ctr"/>
        <c:lblOffset val="100"/>
        <c:noMultiLvlLbl val="0"/>
      </c:catAx>
      <c:valAx>
        <c:axId val="-12164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1640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[19253963040_Ameya Gurjar_Excel-240726.xlsx]Summary!PivotTable12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Summary!$B$45:$B$46</c:f>
              <c:strCache>
                <c:ptCount val="1"/>
                <c:pt idx="0">
                  <c:v>Med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Summary!$A$47:$A$52</c:f>
              <c:strCache>
                <c:ptCount val="5"/>
                <c:pt idx="0">
                  <c:v>Jul 2012</c:v>
                </c:pt>
                <c:pt idx="1">
                  <c:v>Aug 2012</c:v>
                </c:pt>
                <c:pt idx="2">
                  <c:v>Sep 2012</c:v>
                </c:pt>
                <c:pt idx="3">
                  <c:v>Oct 2012</c:v>
                </c:pt>
                <c:pt idx="4">
                  <c:v>Nov 2012</c:v>
                </c:pt>
              </c:strCache>
            </c:strRef>
          </c:cat>
          <c:val>
            <c:numRef>
              <c:f>Summary!$B$47:$B$52</c:f>
              <c:numCache>
                <c:formatCode>General</c:formatCode>
                <c:ptCount val="5"/>
                <c:pt idx="0">
                  <c:v>92</c:v>
                </c:pt>
                <c:pt idx="1">
                  <c:v>92</c:v>
                </c:pt>
                <c:pt idx="2">
                  <c:v>73</c:v>
                </c:pt>
                <c:pt idx="4">
                  <c:v>4</c:v>
                </c:pt>
              </c:numCache>
            </c:numRef>
          </c:val>
        </c:ser>
        <c:ser>
          <c:idx val="1"/>
          <c:order val="1"/>
          <c:tx>
            <c:strRef>
              <c:f>Summary!$C$45:$C$46</c:f>
              <c:strCache>
                <c:ptCount val="1"/>
                <c:pt idx="0">
                  <c:v>Med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Summary!$A$47:$A$52</c:f>
              <c:strCache>
                <c:ptCount val="5"/>
                <c:pt idx="0">
                  <c:v>Jul 2012</c:v>
                </c:pt>
                <c:pt idx="1">
                  <c:v>Aug 2012</c:v>
                </c:pt>
                <c:pt idx="2">
                  <c:v>Sep 2012</c:v>
                </c:pt>
                <c:pt idx="3">
                  <c:v>Oct 2012</c:v>
                </c:pt>
                <c:pt idx="4">
                  <c:v>Nov 2012</c:v>
                </c:pt>
              </c:strCache>
            </c:strRef>
          </c:cat>
          <c:val>
            <c:numRef>
              <c:f>Summary!$C$47:$C$52</c:f>
              <c:numCache>
                <c:formatCode>General</c:formatCode>
                <c:ptCount val="5"/>
                <c:pt idx="2">
                  <c:v>76</c:v>
                </c:pt>
                <c:pt idx="3">
                  <c:v>66</c:v>
                </c:pt>
                <c:pt idx="4">
                  <c:v>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032395456"/>
        <c:axId val="-1032397632"/>
        <c:axId val="0"/>
      </c:bar3DChart>
      <c:catAx>
        <c:axId val="-103239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2397632"/>
        <c:crosses val="autoZero"/>
        <c:auto val="1"/>
        <c:lblAlgn val="ctr"/>
        <c:lblOffset val="100"/>
        <c:noMultiLvlLbl val="0"/>
      </c:catAx>
      <c:valAx>
        <c:axId val="-10323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23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accent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Summary!$B$80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Summary!$A$81:$A$82</c:f>
              <c:strCache>
                <c:ptCount val="2"/>
                <c:pt idx="0">
                  <c:v>Med A</c:v>
                </c:pt>
                <c:pt idx="1">
                  <c:v>Med B</c:v>
                </c:pt>
              </c:strCache>
            </c:strRef>
          </c:cat>
          <c:val>
            <c:numRef>
              <c:f>Summary!$B$81:$B$82</c:f>
              <c:numCache>
                <c:formatCode>General</c:formatCode>
                <c:ptCount val="2"/>
                <c:pt idx="0">
                  <c:v>46779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Summary!$C$80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Summary!$A$81:$A$82</c:f>
              <c:strCache>
                <c:ptCount val="2"/>
                <c:pt idx="0">
                  <c:v>Med A</c:v>
                </c:pt>
                <c:pt idx="1">
                  <c:v>Med B</c:v>
                </c:pt>
              </c:strCache>
            </c:strRef>
          </c:cat>
          <c:val>
            <c:numRef>
              <c:f>Summary!$C$81:$C$82</c:f>
              <c:numCache>
                <c:formatCode>General</c:formatCode>
                <c:ptCount val="2"/>
                <c:pt idx="0">
                  <c:v>48664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Summary!$D$80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Summary!$A$81:$A$82</c:f>
              <c:strCache>
                <c:ptCount val="2"/>
                <c:pt idx="0">
                  <c:v>Med A</c:v>
                </c:pt>
                <c:pt idx="1">
                  <c:v>Med B</c:v>
                </c:pt>
              </c:strCache>
            </c:strRef>
          </c:cat>
          <c:val>
            <c:numRef>
              <c:f>Summary!$D$81:$D$82</c:f>
              <c:numCache>
                <c:formatCode>General</c:formatCode>
                <c:ptCount val="2"/>
                <c:pt idx="0">
                  <c:v>11642</c:v>
                </c:pt>
                <c:pt idx="1">
                  <c:v>7</c:v>
                </c:pt>
              </c:numCache>
            </c:numRef>
          </c:val>
        </c:ser>
        <c:ser>
          <c:idx val="3"/>
          <c:order val="3"/>
          <c:tx>
            <c:strRef>
              <c:f>Summary!$E$80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Summary!$A$81:$A$82</c:f>
              <c:strCache>
                <c:ptCount val="2"/>
                <c:pt idx="0">
                  <c:v>Med A</c:v>
                </c:pt>
                <c:pt idx="1">
                  <c:v>Med B</c:v>
                </c:pt>
              </c:strCache>
            </c:strRef>
          </c:cat>
          <c:val>
            <c:numRef>
              <c:f>Summary!$E$81:$E$82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val>
        </c:ser>
        <c:ser>
          <c:idx val="4"/>
          <c:order val="4"/>
          <c:tx>
            <c:strRef>
              <c:f>Summary!$F$80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Summary!$A$81:$A$82</c:f>
              <c:strCache>
                <c:ptCount val="2"/>
                <c:pt idx="0">
                  <c:v>Med A</c:v>
                </c:pt>
                <c:pt idx="1">
                  <c:v>Med B</c:v>
                </c:pt>
              </c:strCache>
            </c:strRef>
          </c:cat>
          <c:val>
            <c:numRef>
              <c:f>Summary!$F$81:$F$82</c:f>
              <c:numCache>
                <c:formatCode>General</c:formatCode>
                <c:ptCount val="2"/>
                <c:pt idx="0">
                  <c:v>18825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032398720"/>
        <c:axId val="-1032408512"/>
        <c:axId val="0"/>
      </c:bar3DChart>
      <c:catAx>
        <c:axId val="-1032398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032408512"/>
        <c:crosses val="autoZero"/>
        <c:auto val="1"/>
        <c:lblAlgn val="ctr"/>
        <c:lblOffset val="100"/>
        <c:noMultiLvlLbl val="0"/>
      </c:catAx>
      <c:valAx>
        <c:axId val="-10324085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0323987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Summary!$B$250</c:f>
              <c:strCache>
                <c:ptCount val="1"/>
                <c:pt idx="0">
                  <c:v>A -&gt; 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Summary!$A$251:$A$254</c:f>
              <c:strCache>
                <c:ptCount val="4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Sept-Nov</c:v>
                </c:pt>
              </c:strCache>
            </c:strRef>
          </c:cat>
          <c:val>
            <c:numRef>
              <c:f>Summary!$B$251:$B$254</c:f>
              <c:numCache>
                <c:formatCode>General</c:formatCode>
                <c:ptCount val="4"/>
                <c:pt idx="0">
                  <c:v>71</c:v>
                </c:pt>
                <c:pt idx="1">
                  <c:v>10</c:v>
                </c:pt>
                <c:pt idx="2">
                  <c:v>0</c:v>
                </c:pt>
                <c:pt idx="3">
                  <c:v>81</c:v>
                </c:pt>
              </c:numCache>
            </c:numRef>
          </c:val>
        </c:ser>
        <c:ser>
          <c:idx val="1"/>
          <c:order val="1"/>
          <c:tx>
            <c:strRef>
              <c:f>Summary!$C$250</c:f>
              <c:strCache>
                <c:ptCount val="1"/>
                <c:pt idx="0">
                  <c:v>Directly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Summary!$A$251:$A$254</c:f>
              <c:strCache>
                <c:ptCount val="4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Sept-Nov</c:v>
                </c:pt>
              </c:strCache>
            </c:strRef>
          </c:cat>
          <c:val>
            <c:numRef>
              <c:f>Summary!$C$251:$C$254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16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032401440"/>
        <c:axId val="-1032397088"/>
      </c:barChart>
      <c:catAx>
        <c:axId val="-103240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2397088"/>
        <c:crosses val="autoZero"/>
        <c:auto val="1"/>
        <c:lblAlgn val="ctr"/>
        <c:lblOffset val="100"/>
        <c:noMultiLvlLbl val="0"/>
      </c:catAx>
      <c:valAx>
        <c:axId val="-103239708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240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Summary!$B$283</c:f>
              <c:strCache>
                <c:ptCount val="1"/>
                <c:pt idx="0">
                  <c:v>Avg Weeks on A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635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Summary!$A$284:$A$287</c:f>
              <c:strCache>
                <c:ptCount val="4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Sept-Nov</c:v>
                </c:pt>
              </c:strCache>
            </c:strRef>
          </c:cat>
          <c:val>
            <c:numRef>
              <c:f>Summary!$B$284:$B$287</c:f>
              <c:numCache>
                <c:formatCode>General</c:formatCode>
                <c:ptCount val="4"/>
                <c:pt idx="0">
                  <c:v>7.9</c:v>
                </c:pt>
                <c:pt idx="1">
                  <c:v>7.2</c:v>
                </c:pt>
                <c:pt idx="2">
                  <c:v>0</c:v>
                </c:pt>
                <c:pt idx="3">
                  <c:v>7.8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90"/>
        <c:overlap val="-100"/>
        <c:axId val="-1032402528"/>
        <c:axId val="-1032396000"/>
      </c:barChart>
      <c:catAx>
        <c:axId val="-103240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032396000"/>
        <c:crosses val="autoZero"/>
        <c:auto val="1"/>
        <c:lblAlgn val="ctr"/>
        <c:lblOffset val="100"/>
        <c:noMultiLvlLbl val="0"/>
      </c:catAx>
      <c:valAx>
        <c:axId val="-1032396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0324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41915</xdr:rowOff>
    </xdr:from>
    <xdr:to>
      <xdr:col>4</xdr:col>
      <xdr:colOff>7620</xdr:colOff>
      <xdr:row>39</xdr:row>
      <xdr:rowOff>12654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52</xdr:row>
      <xdr:rowOff>41910</xdr:rowOff>
    </xdr:from>
    <xdr:to>
      <xdr:col>4</xdr:col>
      <xdr:colOff>7620</xdr:colOff>
      <xdr:row>73</xdr:row>
      <xdr:rowOff>22860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82</xdr:row>
      <xdr:rowOff>49530</xdr:rowOff>
    </xdr:from>
    <xdr:to>
      <xdr:col>6</xdr:col>
      <xdr:colOff>22860</xdr:colOff>
      <xdr:row>107</xdr:row>
      <xdr:rowOff>129540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254</xdr:row>
      <xdr:rowOff>26670</xdr:rowOff>
    </xdr:from>
    <xdr:to>
      <xdr:col>3</xdr:col>
      <xdr:colOff>1493520</xdr:colOff>
      <xdr:row>277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287</xdr:row>
      <xdr:rowOff>41910</xdr:rowOff>
    </xdr:from>
    <xdr:to>
      <xdr:col>3</xdr:col>
      <xdr:colOff>15240</xdr:colOff>
      <xdr:row>308</xdr:row>
      <xdr:rowOff>22860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tadmin" refreshedDate="46014.540612384262" createdVersion="5" refreshedVersion="5" minRefreshableVersion="3" recordCount="2022">
  <cacheSource type="worksheet">
    <worksheetSource ref="A1:D2023" sheet="Admin"/>
  </cacheSource>
  <cacheFields count="4">
    <cacheField name="ID" numFmtId="0">
      <sharedItems containsSemiMixedTypes="0" containsString="0" containsNumber="1" containsInteger="1" minValue="1" maxValue="129"/>
    </cacheField>
    <cacheField name="Med" numFmtId="0">
      <sharedItems count="2">
        <s v="Med A"/>
        <s v="Med B"/>
      </sharedItems>
    </cacheField>
    <cacheField name="Admin Date" numFmtId="14">
      <sharedItems containsSemiMixedTypes="0" containsNonDate="0" containsDate="1" containsString="0" minDate="2012-07-02T00:00:00" maxDate="2012-12-05T00:00:00" count="96">
        <d v="2012-07-02T00:00:00"/>
        <d v="2012-07-06T00:00:00"/>
        <d v="2012-07-09T00:00:00"/>
        <d v="2012-07-11T00:00:00"/>
        <d v="2012-07-13T00:00:00"/>
        <d v="2012-07-16T00:00:00"/>
        <d v="2012-07-20T00:00:00"/>
        <d v="2012-07-23T00:00:00"/>
        <d v="2012-07-25T00:00:00"/>
        <d v="2012-07-27T00:00:00"/>
        <d v="2012-07-30T00:00:00"/>
        <d v="2012-08-01T00:00:00"/>
        <d v="2012-08-03T00:00:00"/>
        <d v="2012-08-06T00:00:00"/>
        <d v="2012-08-08T00:00:00"/>
        <d v="2012-08-10T00:00:00"/>
        <d v="2012-08-13T00:00:00"/>
        <d v="2012-08-17T00:00:00"/>
        <d v="2012-08-20T00:00:00"/>
        <d v="2012-08-22T00:00:00"/>
        <d v="2012-08-24T00:00:00"/>
        <d v="2012-08-27T00:00:00"/>
        <d v="2012-08-29T00:00:00"/>
        <d v="2012-08-31T00:00:00"/>
        <d v="2012-09-03T00:00:00"/>
        <d v="2012-09-05T00:00:00"/>
        <d v="2012-09-12T00:00:00"/>
        <d v="2012-10-17T00:00:00"/>
        <d v="2012-11-28T00:00:00"/>
        <d v="2012-07-03T00:00:00"/>
        <d v="2012-07-05T00:00:00"/>
        <d v="2012-07-07T00:00:00"/>
        <d v="2012-07-10T00:00:00"/>
        <d v="2012-07-12T00:00:00"/>
        <d v="2012-07-14T00:00:00"/>
        <d v="2012-07-17T00:00:00"/>
        <d v="2012-07-19T00:00:00"/>
        <d v="2012-07-21T00:00:00"/>
        <d v="2012-07-24T00:00:00"/>
        <d v="2012-07-26T00:00:00"/>
        <d v="2012-07-28T00:00:00"/>
        <d v="2012-07-31T00:00:00"/>
        <d v="2012-08-02T00:00:00"/>
        <d v="2012-08-04T00:00:00"/>
        <d v="2012-08-07T00:00:00"/>
        <d v="2012-08-09T00:00:00"/>
        <d v="2012-08-14T00:00:00"/>
        <d v="2012-08-18T00:00:00"/>
        <d v="2012-09-13T00:00:00"/>
        <d v="2012-07-04T00:00:00"/>
        <d v="2012-07-18T00:00:00"/>
        <d v="2012-08-15T00:00:00"/>
        <d v="2012-08-21T00:00:00"/>
        <d v="2012-11-14T00:00:00"/>
        <d v="2012-12-03T00:00:00"/>
        <d v="2012-08-11T00:00:00"/>
        <d v="2012-08-16T00:00:00"/>
        <d v="2012-08-23T00:00:00"/>
        <d v="2012-08-25T00:00:00"/>
        <d v="2012-08-28T00:00:00"/>
        <d v="2012-08-30T00:00:00"/>
        <d v="2012-09-01T00:00:00"/>
        <d v="2012-09-04T00:00:00"/>
        <d v="2012-09-06T00:00:00"/>
        <d v="2012-10-11T00:00:00"/>
        <d v="2012-11-15T00:00:00"/>
        <d v="2012-11-26T00:00:00"/>
        <d v="2012-10-10T00:00:00"/>
        <d v="2012-11-23T00:00:00"/>
        <d v="2012-11-10T00:00:00"/>
        <d v="2012-09-21T00:00:00"/>
        <d v="2012-09-25T00:00:00"/>
        <d v="2012-10-06T00:00:00"/>
        <d v="2012-10-12T00:00:00"/>
        <d v="2012-11-20T00:00:00"/>
        <d v="2012-11-17T00:00:00"/>
        <d v="2012-10-18T00:00:00"/>
        <d v="2012-09-15T00:00:00"/>
        <d v="2012-10-23T00:00:00"/>
        <d v="2012-11-16T00:00:00"/>
        <d v="2012-10-13T00:00:00"/>
        <d v="2012-10-15T00:00:00"/>
        <d v="2012-09-27T00:00:00"/>
        <d v="2012-10-26T00:00:00"/>
        <d v="2012-10-31T00:00:00"/>
        <d v="2012-11-29T00:00:00"/>
        <d v="2012-09-14T00:00:00"/>
        <d v="2012-09-20T00:00:00"/>
        <d v="2012-10-16T00:00:00"/>
        <d v="2012-11-01T00:00:00"/>
        <d v="2012-11-30T00:00:00"/>
        <d v="2012-12-04T00:00:00"/>
        <d v="2012-12-01T00:00:00"/>
        <d v="2012-09-26T00:00:00"/>
        <d v="2012-11-21T00:00:00"/>
        <d v="2012-09-18T00:00:00"/>
      </sharedItems>
      <fieldGroup base="2">
        <rangePr groupBy="months" startDate="2012-07-02T00:00:00" endDate="2012-12-05T00:00:00"/>
        <groupItems count="14">
          <s v="&lt;7/2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5/2012"/>
        </groupItems>
      </fieldGroup>
    </cacheField>
    <cacheField name="Units" numFmtId="4">
      <sharedItems containsSemiMixedTypes="0" containsString="0" containsNumber="1" containsInteger="1" minValue="1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itadmin" refreshedDate="46014.648451157409" backgroundQuery="1" createdVersion="5" refreshedVersion="5" minRefreshableVersion="3" recordCount="0" supportSubquery="1" supportAdvancedDrill="1">
  <cacheSource type="external" connectionId="1"/>
  <cacheFields count="3">
    <cacheField name="[Range].[Month].[Month]" caption="Month" numFmtId="0" hierarchy="4" level="1">
      <sharedItems count="5">
        <s v="Aug 2012"/>
        <s v="Jul 2012"/>
        <s v="Nov 2012"/>
        <s v="Oct 2012"/>
        <s v="Sep 2012"/>
      </sharedItems>
    </cacheField>
    <cacheField name="[Measures].[Distinct Count of ID]" caption="Distinct Count of ID" numFmtId="0" hierarchy="6" level="32767"/>
    <cacheField name="[Range].[Med].[Med]" caption="Med" numFmtId="0" hierarchy="1" level="1">
      <sharedItems count="2">
        <s v="Med A"/>
        <s v="Med B"/>
      </sharedItems>
    </cacheField>
  </cacheFields>
  <cacheHierarchies count="9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Med]" caption="Med" attribute="1" defaultMemberUniqueName="[Range].[Med].[All]" allUniqueName="[Range].[Med].[All]" dimensionUniqueName="[Range]" displayFolder="" count="2" memberValueDatatype="130" unbalanced="0">
      <fieldsUsage count="2">
        <fieldUsage x="-1"/>
        <fieldUsage x="2"/>
      </fieldsUsage>
    </cacheHierarchy>
    <cacheHierarchy uniqueName="[Range].[Admin Date]" caption="Admin Date" attribute="1" time="1" defaultMemberUniqueName="[Range].[Admin Date].[All]" allUniqueName="[Range].[Admin Date].[All]" dimensionUniqueName="[Range]" displayFolder="" count="0" memberValueDatatype="7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Sum of ID]" caption="Sum of 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Rang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itadmin" refreshedDate="46015.623417939816" createdVersion="5" refreshedVersion="5" minRefreshableVersion="3" recordCount="2022">
  <cacheSource type="worksheet">
    <worksheetSource ref="A1:E2023" sheet="Admin"/>
  </cacheSource>
  <cacheFields count="5">
    <cacheField name="ID" numFmtId="0">
      <sharedItems containsSemiMixedTypes="0" containsString="0" containsNumber="1" containsInteger="1" minValue="1" maxValue="129" count="1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</sharedItems>
    </cacheField>
    <cacheField name="Med" numFmtId="0">
      <sharedItems count="2">
        <s v="Med A"/>
        <s v="Med B"/>
      </sharedItems>
    </cacheField>
    <cacheField name="Admin Date" numFmtId="14">
      <sharedItems containsSemiMixedTypes="0" containsNonDate="0" containsDate="1" containsString="0" minDate="2012-07-02T00:00:00" maxDate="2012-12-05T00:00:00"/>
    </cacheField>
    <cacheField name="Units" numFmtId="4">
      <sharedItems containsSemiMixedTypes="0" containsString="0" containsNumber="1" containsInteger="1" minValue="1" maxValue="20000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22">
  <r>
    <n v="1"/>
    <x v="0"/>
    <x v="0"/>
    <n v="1500"/>
  </r>
  <r>
    <n v="1"/>
    <x v="0"/>
    <x v="1"/>
    <n v="1500"/>
  </r>
  <r>
    <n v="1"/>
    <x v="0"/>
    <x v="2"/>
    <n v="1500"/>
  </r>
  <r>
    <n v="1"/>
    <x v="0"/>
    <x v="3"/>
    <n v="1500"/>
  </r>
  <r>
    <n v="1"/>
    <x v="0"/>
    <x v="4"/>
    <n v="1500"/>
  </r>
  <r>
    <n v="1"/>
    <x v="0"/>
    <x v="5"/>
    <n v="1500"/>
  </r>
  <r>
    <n v="1"/>
    <x v="0"/>
    <x v="6"/>
    <n v="1500"/>
  </r>
  <r>
    <n v="1"/>
    <x v="0"/>
    <x v="7"/>
    <n v="1500"/>
  </r>
  <r>
    <n v="1"/>
    <x v="0"/>
    <x v="8"/>
    <n v="1700"/>
  </r>
  <r>
    <n v="1"/>
    <x v="0"/>
    <x v="9"/>
    <n v="1700"/>
  </r>
  <r>
    <n v="1"/>
    <x v="0"/>
    <x v="10"/>
    <n v="1700"/>
  </r>
  <r>
    <n v="1"/>
    <x v="0"/>
    <x v="11"/>
    <n v="1700"/>
  </r>
  <r>
    <n v="1"/>
    <x v="0"/>
    <x v="12"/>
    <n v="1700"/>
  </r>
  <r>
    <n v="1"/>
    <x v="0"/>
    <x v="13"/>
    <n v="1700"/>
  </r>
  <r>
    <n v="1"/>
    <x v="0"/>
    <x v="14"/>
    <n v="1700"/>
  </r>
  <r>
    <n v="1"/>
    <x v="0"/>
    <x v="15"/>
    <n v="1700"/>
  </r>
  <r>
    <n v="1"/>
    <x v="0"/>
    <x v="16"/>
    <n v="1700"/>
  </r>
  <r>
    <n v="1"/>
    <x v="0"/>
    <x v="17"/>
    <n v="1700"/>
  </r>
  <r>
    <n v="1"/>
    <x v="0"/>
    <x v="18"/>
    <n v="1700"/>
  </r>
  <r>
    <n v="1"/>
    <x v="0"/>
    <x v="19"/>
    <n v="1700"/>
  </r>
  <r>
    <n v="1"/>
    <x v="0"/>
    <x v="20"/>
    <n v="1900"/>
  </r>
  <r>
    <n v="1"/>
    <x v="0"/>
    <x v="21"/>
    <n v="1900"/>
  </r>
  <r>
    <n v="1"/>
    <x v="0"/>
    <x v="22"/>
    <n v="1900"/>
  </r>
  <r>
    <n v="1"/>
    <x v="0"/>
    <x v="23"/>
    <n v="1900"/>
  </r>
  <r>
    <n v="1"/>
    <x v="0"/>
    <x v="24"/>
    <n v="1900"/>
  </r>
  <r>
    <n v="1"/>
    <x v="0"/>
    <x v="25"/>
    <n v="1900"/>
  </r>
  <r>
    <n v="1"/>
    <x v="1"/>
    <x v="26"/>
    <n v="4"/>
  </r>
  <r>
    <n v="1"/>
    <x v="1"/>
    <x v="27"/>
    <n v="3"/>
  </r>
  <r>
    <n v="1"/>
    <x v="1"/>
    <x v="28"/>
    <n v="1"/>
  </r>
  <r>
    <n v="2"/>
    <x v="0"/>
    <x v="29"/>
    <n v="1100"/>
  </r>
  <r>
    <n v="2"/>
    <x v="0"/>
    <x v="30"/>
    <n v="1100"/>
  </r>
  <r>
    <n v="2"/>
    <x v="0"/>
    <x v="1"/>
    <n v="1300"/>
  </r>
  <r>
    <n v="2"/>
    <x v="0"/>
    <x v="31"/>
    <n v="1300"/>
  </r>
  <r>
    <n v="2"/>
    <x v="0"/>
    <x v="32"/>
    <n v="1300"/>
  </r>
  <r>
    <n v="2"/>
    <x v="0"/>
    <x v="33"/>
    <n v="1300"/>
  </r>
  <r>
    <n v="2"/>
    <x v="0"/>
    <x v="34"/>
    <n v="1300"/>
  </r>
  <r>
    <n v="2"/>
    <x v="0"/>
    <x v="35"/>
    <n v="1300"/>
  </r>
  <r>
    <n v="2"/>
    <x v="0"/>
    <x v="36"/>
    <n v="1300"/>
  </r>
  <r>
    <n v="2"/>
    <x v="0"/>
    <x v="37"/>
    <n v="1300"/>
  </r>
  <r>
    <n v="2"/>
    <x v="0"/>
    <x v="38"/>
    <n v="1300"/>
  </r>
  <r>
    <n v="2"/>
    <x v="0"/>
    <x v="39"/>
    <n v="1300"/>
  </r>
  <r>
    <n v="2"/>
    <x v="0"/>
    <x v="40"/>
    <n v="1300"/>
  </r>
  <r>
    <n v="2"/>
    <x v="0"/>
    <x v="41"/>
    <n v="1300"/>
  </r>
  <r>
    <n v="2"/>
    <x v="0"/>
    <x v="42"/>
    <n v="1300"/>
  </r>
  <r>
    <n v="2"/>
    <x v="0"/>
    <x v="43"/>
    <n v="1300"/>
  </r>
  <r>
    <n v="2"/>
    <x v="0"/>
    <x v="44"/>
    <n v="1300"/>
  </r>
  <r>
    <n v="2"/>
    <x v="0"/>
    <x v="45"/>
    <n v="1300"/>
  </r>
  <r>
    <n v="2"/>
    <x v="0"/>
    <x v="15"/>
    <n v="1300"/>
  </r>
  <r>
    <n v="2"/>
    <x v="0"/>
    <x v="46"/>
    <n v="1300"/>
  </r>
  <r>
    <n v="2"/>
    <x v="0"/>
    <x v="47"/>
    <n v="1300"/>
  </r>
  <r>
    <n v="2"/>
    <x v="1"/>
    <x v="48"/>
    <n v="3"/>
  </r>
  <r>
    <n v="3"/>
    <x v="0"/>
    <x v="0"/>
    <n v="100"/>
  </r>
  <r>
    <n v="3"/>
    <x v="0"/>
    <x v="49"/>
    <n v="100"/>
  </r>
  <r>
    <n v="4"/>
    <x v="0"/>
    <x v="0"/>
    <n v="1200"/>
  </r>
  <r>
    <n v="4"/>
    <x v="0"/>
    <x v="49"/>
    <n v="1200"/>
  </r>
  <r>
    <n v="4"/>
    <x v="0"/>
    <x v="1"/>
    <n v="1200"/>
  </r>
  <r>
    <n v="4"/>
    <x v="0"/>
    <x v="2"/>
    <n v="1200"/>
  </r>
  <r>
    <n v="4"/>
    <x v="0"/>
    <x v="3"/>
    <n v="1200"/>
  </r>
  <r>
    <n v="4"/>
    <x v="0"/>
    <x v="4"/>
    <n v="1200"/>
  </r>
  <r>
    <n v="4"/>
    <x v="0"/>
    <x v="5"/>
    <n v="1200"/>
  </r>
  <r>
    <n v="4"/>
    <x v="0"/>
    <x v="50"/>
    <n v="1200"/>
  </r>
  <r>
    <n v="4"/>
    <x v="0"/>
    <x v="6"/>
    <n v="1200"/>
  </r>
  <r>
    <n v="4"/>
    <x v="0"/>
    <x v="7"/>
    <n v="1200"/>
  </r>
  <r>
    <n v="4"/>
    <x v="0"/>
    <x v="8"/>
    <n v="1200"/>
  </r>
  <r>
    <n v="4"/>
    <x v="0"/>
    <x v="9"/>
    <n v="1200"/>
  </r>
  <r>
    <n v="4"/>
    <x v="0"/>
    <x v="10"/>
    <n v="1200"/>
  </r>
  <r>
    <n v="4"/>
    <x v="0"/>
    <x v="11"/>
    <n v="1200"/>
  </r>
  <r>
    <n v="4"/>
    <x v="0"/>
    <x v="12"/>
    <n v="1200"/>
  </r>
  <r>
    <n v="4"/>
    <x v="0"/>
    <x v="13"/>
    <n v="1300"/>
  </r>
  <r>
    <n v="4"/>
    <x v="0"/>
    <x v="14"/>
    <n v="1300"/>
  </r>
  <r>
    <n v="4"/>
    <x v="0"/>
    <x v="15"/>
    <n v="1300"/>
  </r>
  <r>
    <n v="4"/>
    <x v="0"/>
    <x v="16"/>
    <n v="1300"/>
  </r>
  <r>
    <n v="4"/>
    <x v="0"/>
    <x v="51"/>
    <n v="1300"/>
  </r>
  <r>
    <n v="4"/>
    <x v="0"/>
    <x v="17"/>
    <n v="1300"/>
  </r>
  <r>
    <n v="4"/>
    <x v="0"/>
    <x v="52"/>
    <n v="1300"/>
  </r>
  <r>
    <n v="4"/>
    <x v="0"/>
    <x v="19"/>
    <n v="1300"/>
  </r>
  <r>
    <n v="4"/>
    <x v="0"/>
    <x v="20"/>
    <n v="1300"/>
  </r>
  <r>
    <n v="4"/>
    <x v="0"/>
    <x v="21"/>
    <n v="1300"/>
  </r>
  <r>
    <n v="4"/>
    <x v="0"/>
    <x v="22"/>
    <n v="1300"/>
  </r>
  <r>
    <n v="4"/>
    <x v="0"/>
    <x v="23"/>
    <n v="1300"/>
  </r>
  <r>
    <n v="4"/>
    <x v="0"/>
    <x v="24"/>
    <n v="1300"/>
  </r>
  <r>
    <n v="4"/>
    <x v="0"/>
    <x v="25"/>
    <n v="1300"/>
  </r>
  <r>
    <n v="4"/>
    <x v="1"/>
    <x v="26"/>
    <n v="3"/>
  </r>
  <r>
    <n v="4"/>
    <x v="1"/>
    <x v="53"/>
    <n v="1"/>
  </r>
  <r>
    <n v="5"/>
    <x v="0"/>
    <x v="1"/>
    <n v="5700"/>
  </r>
  <r>
    <n v="5"/>
    <x v="0"/>
    <x v="2"/>
    <n v="5700"/>
  </r>
  <r>
    <n v="5"/>
    <x v="0"/>
    <x v="3"/>
    <n v="5700"/>
  </r>
  <r>
    <n v="5"/>
    <x v="0"/>
    <x v="4"/>
    <n v="5700"/>
  </r>
  <r>
    <n v="5"/>
    <x v="0"/>
    <x v="5"/>
    <n v="5700"/>
  </r>
  <r>
    <n v="5"/>
    <x v="0"/>
    <x v="50"/>
    <n v="5700"/>
  </r>
  <r>
    <n v="5"/>
    <x v="0"/>
    <x v="6"/>
    <n v="5700"/>
  </r>
  <r>
    <n v="5"/>
    <x v="0"/>
    <x v="7"/>
    <n v="5700"/>
  </r>
  <r>
    <n v="5"/>
    <x v="0"/>
    <x v="8"/>
    <n v="5700"/>
  </r>
  <r>
    <n v="5"/>
    <x v="0"/>
    <x v="9"/>
    <n v="5700"/>
  </r>
  <r>
    <n v="5"/>
    <x v="0"/>
    <x v="11"/>
    <n v="5700"/>
  </r>
  <r>
    <n v="5"/>
    <x v="0"/>
    <x v="12"/>
    <n v="5700"/>
  </r>
  <r>
    <n v="5"/>
    <x v="0"/>
    <x v="13"/>
    <n v="5700"/>
  </r>
  <r>
    <n v="5"/>
    <x v="0"/>
    <x v="14"/>
    <n v="5700"/>
  </r>
  <r>
    <n v="5"/>
    <x v="0"/>
    <x v="15"/>
    <n v="5700"/>
  </r>
  <r>
    <n v="5"/>
    <x v="0"/>
    <x v="16"/>
    <n v="5700"/>
  </r>
  <r>
    <n v="5"/>
    <x v="0"/>
    <x v="51"/>
    <n v="5700"/>
  </r>
  <r>
    <n v="5"/>
    <x v="1"/>
    <x v="26"/>
    <n v="8"/>
  </r>
  <r>
    <n v="5"/>
    <x v="1"/>
    <x v="27"/>
    <n v="8"/>
  </r>
  <r>
    <n v="5"/>
    <x v="1"/>
    <x v="53"/>
    <n v="8"/>
  </r>
  <r>
    <n v="6"/>
    <x v="0"/>
    <x v="54"/>
    <n v="3800"/>
  </r>
  <r>
    <n v="7"/>
    <x v="0"/>
    <x v="29"/>
    <n v="6400"/>
  </r>
  <r>
    <n v="7"/>
    <x v="0"/>
    <x v="31"/>
    <n v="6400"/>
  </r>
  <r>
    <n v="7"/>
    <x v="0"/>
    <x v="32"/>
    <n v="6400"/>
  </r>
  <r>
    <n v="7"/>
    <x v="0"/>
    <x v="33"/>
    <n v="6400"/>
  </r>
  <r>
    <n v="7"/>
    <x v="0"/>
    <x v="34"/>
    <n v="6400"/>
  </r>
  <r>
    <n v="7"/>
    <x v="0"/>
    <x v="35"/>
    <n v="6400"/>
  </r>
  <r>
    <n v="7"/>
    <x v="0"/>
    <x v="36"/>
    <n v="6400"/>
  </r>
  <r>
    <n v="8"/>
    <x v="0"/>
    <x v="29"/>
    <n v="2000"/>
  </r>
  <r>
    <n v="8"/>
    <x v="0"/>
    <x v="30"/>
    <n v="2000"/>
  </r>
  <r>
    <n v="8"/>
    <x v="0"/>
    <x v="31"/>
    <n v="2000"/>
  </r>
  <r>
    <n v="8"/>
    <x v="0"/>
    <x v="32"/>
    <n v="2000"/>
  </r>
  <r>
    <n v="8"/>
    <x v="0"/>
    <x v="33"/>
    <n v="2000"/>
  </r>
  <r>
    <n v="8"/>
    <x v="0"/>
    <x v="34"/>
    <n v="2000"/>
  </r>
  <r>
    <n v="8"/>
    <x v="0"/>
    <x v="35"/>
    <n v="2000"/>
  </r>
  <r>
    <n v="8"/>
    <x v="0"/>
    <x v="36"/>
    <n v="2000"/>
  </r>
  <r>
    <n v="8"/>
    <x v="0"/>
    <x v="37"/>
    <n v="2000"/>
  </r>
  <r>
    <n v="8"/>
    <x v="0"/>
    <x v="38"/>
    <n v="2000"/>
  </r>
  <r>
    <n v="8"/>
    <x v="0"/>
    <x v="39"/>
    <n v="2000"/>
  </r>
  <r>
    <n v="8"/>
    <x v="0"/>
    <x v="40"/>
    <n v="2000"/>
  </r>
  <r>
    <n v="8"/>
    <x v="0"/>
    <x v="41"/>
    <n v="2000"/>
  </r>
  <r>
    <n v="8"/>
    <x v="0"/>
    <x v="42"/>
    <n v="2000"/>
  </r>
  <r>
    <n v="8"/>
    <x v="0"/>
    <x v="43"/>
    <n v="2000"/>
  </r>
  <r>
    <n v="8"/>
    <x v="0"/>
    <x v="44"/>
    <n v="2000"/>
  </r>
  <r>
    <n v="8"/>
    <x v="0"/>
    <x v="45"/>
    <n v="2000"/>
  </r>
  <r>
    <n v="8"/>
    <x v="0"/>
    <x v="55"/>
    <n v="2000"/>
  </r>
  <r>
    <n v="8"/>
    <x v="0"/>
    <x v="46"/>
    <n v="2000"/>
  </r>
  <r>
    <n v="8"/>
    <x v="0"/>
    <x v="56"/>
    <n v="2000"/>
  </r>
  <r>
    <n v="8"/>
    <x v="0"/>
    <x v="47"/>
    <n v="2400"/>
  </r>
  <r>
    <n v="8"/>
    <x v="0"/>
    <x v="52"/>
    <n v="2400"/>
  </r>
  <r>
    <n v="8"/>
    <x v="0"/>
    <x v="57"/>
    <n v="2400"/>
  </r>
  <r>
    <n v="8"/>
    <x v="0"/>
    <x v="58"/>
    <n v="2400"/>
  </r>
  <r>
    <n v="8"/>
    <x v="0"/>
    <x v="59"/>
    <n v="2400"/>
  </r>
  <r>
    <n v="8"/>
    <x v="0"/>
    <x v="60"/>
    <n v="2400"/>
  </r>
  <r>
    <n v="8"/>
    <x v="0"/>
    <x v="61"/>
    <n v="2400"/>
  </r>
  <r>
    <n v="8"/>
    <x v="0"/>
    <x v="62"/>
    <n v="2400"/>
  </r>
  <r>
    <n v="8"/>
    <x v="0"/>
    <x v="63"/>
    <n v="2900"/>
  </r>
  <r>
    <n v="8"/>
    <x v="1"/>
    <x v="48"/>
    <n v="5"/>
  </r>
  <r>
    <n v="8"/>
    <x v="1"/>
    <x v="64"/>
    <n v="4"/>
  </r>
  <r>
    <n v="8"/>
    <x v="1"/>
    <x v="65"/>
    <n v="4"/>
  </r>
  <r>
    <n v="9"/>
    <x v="0"/>
    <x v="29"/>
    <n v="4000"/>
  </r>
  <r>
    <n v="9"/>
    <x v="0"/>
    <x v="30"/>
    <n v="4000"/>
  </r>
  <r>
    <n v="9"/>
    <x v="0"/>
    <x v="31"/>
    <n v="3200"/>
  </r>
  <r>
    <n v="9"/>
    <x v="0"/>
    <x v="32"/>
    <n v="3200"/>
  </r>
  <r>
    <n v="9"/>
    <x v="0"/>
    <x v="33"/>
    <n v="3200"/>
  </r>
  <r>
    <n v="9"/>
    <x v="0"/>
    <x v="34"/>
    <n v="3200"/>
  </r>
  <r>
    <n v="9"/>
    <x v="0"/>
    <x v="35"/>
    <n v="3200"/>
  </r>
  <r>
    <n v="9"/>
    <x v="0"/>
    <x v="36"/>
    <n v="3200"/>
  </r>
  <r>
    <n v="9"/>
    <x v="0"/>
    <x v="47"/>
    <n v="4500"/>
  </r>
  <r>
    <n v="9"/>
    <x v="0"/>
    <x v="52"/>
    <n v="4500"/>
  </r>
  <r>
    <n v="9"/>
    <x v="0"/>
    <x v="57"/>
    <n v="4500"/>
  </r>
  <r>
    <n v="9"/>
    <x v="0"/>
    <x v="58"/>
    <n v="4500"/>
  </r>
  <r>
    <n v="9"/>
    <x v="0"/>
    <x v="59"/>
    <n v="4500"/>
  </r>
  <r>
    <n v="9"/>
    <x v="0"/>
    <x v="60"/>
    <n v="4500"/>
  </r>
  <r>
    <n v="9"/>
    <x v="0"/>
    <x v="61"/>
    <n v="4500"/>
  </r>
  <r>
    <n v="9"/>
    <x v="0"/>
    <x v="62"/>
    <n v="4500"/>
  </r>
  <r>
    <n v="9"/>
    <x v="0"/>
    <x v="63"/>
    <n v="4500"/>
  </r>
  <r>
    <n v="9"/>
    <x v="1"/>
    <x v="48"/>
    <n v="8"/>
  </r>
  <r>
    <n v="9"/>
    <x v="1"/>
    <x v="64"/>
    <n v="6"/>
  </r>
  <r>
    <n v="9"/>
    <x v="1"/>
    <x v="65"/>
    <n v="6"/>
  </r>
  <r>
    <n v="10"/>
    <x v="0"/>
    <x v="61"/>
    <n v="3600"/>
  </r>
  <r>
    <n v="10"/>
    <x v="0"/>
    <x v="62"/>
    <n v="3600"/>
  </r>
  <r>
    <n v="10"/>
    <x v="0"/>
    <x v="63"/>
    <n v="4700"/>
  </r>
  <r>
    <n v="10"/>
    <x v="1"/>
    <x v="48"/>
    <n v="8"/>
  </r>
  <r>
    <n v="10"/>
    <x v="1"/>
    <x v="64"/>
    <n v="8"/>
  </r>
  <r>
    <n v="10"/>
    <x v="1"/>
    <x v="65"/>
    <n v="8"/>
  </r>
  <r>
    <n v="11"/>
    <x v="1"/>
    <x v="66"/>
    <n v="2"/>
  </r>
  <r>
    <n v="12"/>
    <x v="0"/>
    <x v="0"/>
    <n v="4000"/>
  </r>
  <r>
    <n v="12"/>
    <x v="0"/>
    <x v="1"/>
    <n v="4000"/>
  </r>
  <r>
    <n v="12"/>
    <x v="0"/>
    <x v="32"/>
    <n v="4000"/>
  </r>
  <r>
    <n v="12"/>
    <x v="0"/>
    <x v="3"/>
    <n v="4000"/>
  </r>
  <r>
    <n v="12"/>
    <x v="0"/>
    <x v="5"/>
    <n v="4000"/>
  </r>
  <r>
    <n v="12"/>
    <x v="0"/>
    <x v="6"/>
    <n v="4000"/>
  </r>
  <r>
    <n v="12"/>
    <x v="0"/>
    <x v="7"/>
    <n v="4000"/>
  </r>
  <r>
    <n v="12"/>
    <x v="0"/>
    <x v="8"/>
    <n v="4800"/>
  </r>
  <r>
    <n v="12"/>
    <x v="0"/>
    <x v="9"/>
    <n v="4800"/>
  </r>
  <r>
    <n v="12"/>
    <x v="0"/>
    <x v="10"/>
    <n v="4800"/>
  </r>
  <r>
    <n v="12"/>
    <x v="0"/>
    <x v="12"/>
    <n v="4800"/>
  </r>
  <r>
    <n v="12"/>
    <x v="0"/>
    <x v="13"/>
    <n v="6200"/>
  </r>
  <r>
    <n v="12"/>
    <x v="0"/>
    <x v="59"/>
    <n v="5800"/>
  </r>
  <r>
    <n v="12"/>
    <x v="0"/>
    <x v="22"/>
    <n v="5800"/>
  </r>
  <r>
    <n v="12"/>
    <x v="0"/>
    <x v="23"/>
    <n v="7800"/>
  </r>
  <r>
    <n v="12"/>
    <x v="0"/>
    <x v="24"/>
    <n v="7800"/>
  </r>
  <r>
    <n v="12"/>
    <x v="0"/>
    <x v="25"/>
    <n v="7800"/>
  </r>
  <r>
    <n v="12"/>
    <x v="1"/>
    <x v="26"/>
    <n v="10"/>
  </r>
  <r>
    <n v="12"/>
    <x v="1"/>
    <x v="67"/>
    <n v="10"/>
  </r>
  <r>
    <n v="13"/>
    <x v="0"/>
    <x v="68"/>
    <n v="20000"/>
  </r>
  <r>
    <n v="13"/>
    <x v="0"/>
    <x v="66"/>
    <n v="20000"/>
  </r>
  <r>
    <n v="14"/>
    <x v="0"/>
    <x v="0"/>
    <n v="300"/>
  </r>
  <r>
    <n v="14"/>
    <x v="0"/>
    <x v="2"/>
    <n v="300"/>
  </r>
  <r>
    <n v="14"/>
    <x v="0"/>
    <x v="5"/>
    <n v="300"/>
  </r>
  <r>
    <n v="14"/>
    <x v="0"/>
    <x v="7"/>
    <n v="300"/>
  </r>
  <r>
    <n v="14"/>
    <x v="0"/>
    <x v="10"/>
    <n v="300"/>
  </r>
  <r>
    <n v="14"/>
    <x v="0"/>
    <x v="13"/>
    <n v="300"/>
  </r>
  <r>
    <n v="14"/>
    <x v="0"/>
    <x v="16"/>
    <n v="300"/>
  </r>
  <r>
    <n v="14"/>
    <x v="0"/>
    <x v="18"/>
    <n v="300"/>
  </r>
  <r>
    <n v="14"/>
    <x v="0"/>
    <x v="21"/>
    <n v="300"/>
  </r>
  <r>
    <n v="14"/>
    <x v="0"/>
    <x v="24"/>
    <n v="300"/>
  </r>
  <r>
    <n v="15"/>
    <x v="0"/>
    <x v="1"/>
    <n v="1400"/>
  </r>
  <r>
    <n v="15"/>
    <x v="0"/>
    <x v="2"/>
    <n v="1400"/>
  </r>
  <r>
    <n v="15"/>
    <x v="0"/>
    <x v="3"/>
    <n v="1400"/>
  </r>
  <r>
    <n v="15"/>
    <x v="0"/>
    <x v="4"/>
    <n v="1400"/>
  </r>
  <r>
    <n v="15"/>
    <x v="0"/>
    <x v="5"/>
    <n v="1400"/>
  </r>
  <r>
    <n v="15"/>
    <x v="0"/>
    <x v="50"/>
    <n v="1400"/>
  </r>
  <r>
    <n v="15"/>
    <x v="0"/>
    <x v="6"/>
    <n v="1400"/>
  </r>
  <r>
    <n v="15"/>
    <x v="0"/>
    <x v="7"/>
    <n v="1400"/>
  </r>
  <r>
    <n v="15"/>
    <x v="0"/>
    <x v="8"/>
    <n v="1400"/>
  </r>
  <r>
    <n v="15"/>
    <x v="0"/>
    <x v="9"/>
    <n v="1400"/>
  </r>
  <r>
    <n v="15"/>
    <x v="0"/>
    <x v="41"/>
    <n v="1400"/>
  </r>
  <r>
    <n v="15"/>
    <x v="0"/>
    <x v="11"/>
    <n v="1400"/>
  </r>
  <r>
    <n v="15"/>
    <x v="0"/>
    <x v="24"/>
    <n v="1000"/>
  </r>
  <r>
    <n v="15"/>
    <x v="0"/>
    <x v="25"/>
    <n v="1000"/>
  </r>
  <r>
    <n v="15"/>
    <x v="1"/>
    <x v="26"/>
    <n v="3"/>
  </r>
  <r>
    <n v="15"/>
    <x v="1"/>
    <x v="53"/>
    <n v="1"/>
  </r>
  <r>
    <n v="16"/>
    <x v="0"/>
    <x v="29"/>
    <n v="5000"/>
  </r>
  <r>
    <n v="16"/>
    <x v="0"/>
    <x v="30"/>
    <n v="5000"/>
  </r>
  <r>
    <n v="16"/>
    <x v="0"/>
    <x v="31"/>
    <n v="5000"/>
  </r>
  <r>
    <n v="16"/>
    <x v="0"/>
    <x v="32"/>
    <n v="5000"/>
  </r>
  <r>
    <n v="16"/>
    <x v="0"/>
    <x v="33"/>
    <n v="5000"/>
  </r>
  <r>
    <n v="16"/>
    <x v="0"/>
    <x v="34"/>
    <n v="5000"/>
  </r>
  <r>
    <n v="16"/>
    <x v="0"/>
    <x v="36"/>
    <n v="5000"/>
  </r>
  <r>
    <n v="16"/>
    <x v="0"/>
    <x v="37"/>
    <n v="4500"/>
  </r>
  <r>
    <n v="16"/>
    <x v="0"/>
    <x v="38"/>
    <n v="4500"/>
  </r>
  <r>
    <n v="16"/>
    <x v="0"/>
    <x v="39"/>
    <n v="4500"/>
  </r>
  <r>
    <n v="16"/>
    <x v="0"/>
    <x v="40"/>
    <n v="4500"/>
  </r>
  <r>
    <n v="16"/>
    <x v="0"/>
    <x v="41"/>
    <n v="4500"/>
  </r>
  <r>
    <n v="16"/>
    <x v="0"/>
    <x v="42"/>
    <n v="4500"/>
  </r>
  <r>
    <n v="16"/>
    <x v="0"/>
    <x v="43"/>
    <n v="4500"/>
  </r>
  <r>
    <n v="16"/>
    <x v="0"/>
    <x v="44"/>
    <n v="4500"/>
  </r>
  <r>
    <n v="16"/>
    <x v="0"/>
    <x v="45"/>
    <n v="4500"/>
  </r>
  <r>
    <n v="16"/>
    <x v="0"/>
    <x v="55"/>
    <n v="4500"/>
  </r>
  <r>
    <n v="16"/>
    <x v="0"/>
    <x v="46"/>
    <n v="4500"/>
  </r>
  <r>
    <n v="16"/>
    <x v="0"/>
    <x v="56"/>
    <n v="4500"/>
  </r>
  <r>
    <n v="16"/>
    <x v="0"/>
    <x v="47"/>
    <n v="5900"/>
  </r>
  <r>
    <n v="16"/>
    <x v="0"/>
    <x v="52"/>
    <n v="5900"/>
  </r>
  <r>
    <n v="16"/>
    <x v="0"/>
    <x v="57"/>
    <n v="5900"/>
  </r>
  <r>
    <n v="16"/>
    <x v="0"/>
    <x v="58"/>
    <n v="5900"/>
  </r>
  <r>
    <n v="16"/>
    <x v="0"/>
    <x v="59"/>
    <n v="5900"/>
  </r>
  <r>
    <n v="16"/>
    <x v="0"/>
    <x v="60"/>
    <n v="5900"/>
  </r>
  <r>
    <n v="16"/>
    <x v="0"/>
    <x v="61"/>
    <n v="5900"/>
  </r>
  <r>
    <n v="16"/>
    <x v="0"/>
    <x v="62"/>
    <n v="5900"/>
  </r>
  <r>
    <n v="16"/>
    <x v="0"/>
    <x v="63"/>
    <n v="5900"/>
  </r>
  <r>
    <n v="16"/>
    <x v="1"/>
    <x v="48"/>
    <n v="8"/>
  </r>
  <r>
    <n v="16"/>
    <x v="1"/>
    <x v="69"/>
    <n v="2"/>
  </r>
  <r>
    <n v="17"/>
    <x v="0"/>
    <x v="29"/>
    <n v="800"/>
  </r>
  <r>
    <n v="17"/>
    <x v="0"/>
    <x v="30"/>
    <n v="800"/>
  </r>
  <r>
    <n v="17"/>
    <x v="0"/>
    <x v="32"/>
    <n v="900"/>
  </r>
  <r>
    <n v="17"/>
    <x v="0"/>
    <x v="33"/>
    <n v="900"/>
  </r>
  <r>
    <n v="17"/>
    <x v="0"/>
    <x v="42"/>
    <n v="5000"/>
  </r>
  <r>
    <n v="17"/>
    <x v="0"/>
    <x v="43"/>
    <n v="5000"/>
  </r>
  <r>
    <n v="17"/>
    <x v="0"/>
    <x v="44"/>
    <n v="5000"/>
  </r>
  <r>
    <n v="17"/>
    <x v="0"/>
    <x v="59"/>
    <n v="3200"/>
  </r>
  <r>
    <n v="17"/>
    <x v="0"/>
    <x v="60"/>
    <n v="3200"/>
  </r>
  <r>
    <n v="17"/>
    <x v="0"/>
    <x v="61"/>
    <n v="3200"/>
  </r>
  <r>
    <n v="17"/>
    <x v="0"/>
    <x v="62"/>
    <n v="3200"/>
  </r>
  <r>
    <n v="17"/>
    <x v="0"/>
    <x v="63"/>
    <n v="3200"/>
  </r>
  <r>
    <n v="17"/>
    <x v="1"/>
    <x v="48"/>
    <n v="6"/>
  </r>
  <r>
    <n v="17"/>
    <x v="1"/>
    <x v="64"/>
    <n v="5"/>
  </r>
  <r>
    <n v="17"/>
    <x v="1"/>
    <x v="65"/>
    <n v="16"/>
  </r>
  <r>
    <n v="18"/>
    <x v="0"/>
    <x v="1"/>
    <n v="3300"/>
  </r>
  <r>
    <n v="18"/>
    <x v="0"/>
    <x v="2"/>
    <n v="3300"/>
  </r>
  <r>
    <n v="18"/>
    <x v="0"/>
    <x v="3"/>
    <n v="3300"/>
  </r>
  <r>
    <n v="18"/>
    <x v="0"/>
    <x v="4"/>
    <n v="3300"/>
  </r>
  <r>
    <n v="18"/>
    <x v="0"/>
    <x v="5"/>
    <n v="3300"/>
  </r>
  <r>
    <n v="18"/>
    <x v="0"/>
    <x v="50"/>
    <n v="3300"/>
  </r>
  <r>
    <n v="18"/>
    <x v="0"/>
    <x v="6"/>
    <n v="4300"/>
  </r>
  <r>
    <n v="18"/>
    <x v="0"/>
    <x v="7"/>
    <n v="4300"/>
  </r>
  <r>
    <n v="18"/>
    <x v="0"/>
    <x v="8"/>
    <n v="4300"/>
  </r>
  <r>
    <n v="18"/>
    <x v="0"/>
    <x v="9"/>
    <n v="4300"/>
  </r>
  <r>
    <n v="18"/>
    <x v="0"/>
    <x v="10"/>
    <n v="4300"/>
  </r>
  <r>
    <n v="18"/>
    <x v="0"/>
    <x v="11"/>
    <n v="4300"/>
  </r>
  <r>
    <n v="18"/>
    <x v="0"/>
    <x v="12"/>
    <n v="4300"/>
  </r>
  <r>
    <n v="18"/>
    <x v="0"/>
    <x v="13"/>
    <n v="4800"/>
  </r>
  <r>
    <n v="18"/>
    <x v="0"/>
    <x v="14"/>
    <n v="4800"/>
  </r>
  <r>
    <n v="18"/>
    <x v="0"/>
    <x v="15"/>
    <n v="4800"/>
  </r>
  <r>
    <n v="18"/>
    <x v="0"/>
    <x v="16"/>
    <n v="4800"/>
  </r>
  <r>
    <n v="18"/>
    <x v="0"/>
    <x v="51"/>
    <n v="4800"/>
  </r>
  <r>
    <n v="18"/>
    <x v="0"/>
    <x v="17"/>
    <n v="4800"/>
  </r>
  <r>
    <n v="18"/>
    <x v="0"/>
    <x v="18"/>
    <n v="5800"/>
  </r>
  <r>
    <n v="18"/>
    <x v="0"/>
    <x v="19"/>
    <n v="5800"/>
  </r>
  <r>
    <n v="18"/>
    <x v="0"/>
    <x v="20"/>
    <n v="5800"/>
  </r>
  <r>
    <n v="18"/>
    <x v="0"/>
    <x v="21"/>
    <n v="5800"/>
  </r>
  <r>
    <n v="18"/>
    <x v="0"/>
    <x v="22"/>
    <n v="5800"/>
  </r>
  <r>
    <n v="18"/>
    <x v="0"/>
    <x v="23"/>
    <n v="5800"/>
  </r>
  <r>
    <n v="18"/>
    <x v="0"/>
    <x v="24"/>
    <n v="5800"/>
  </r>
  <r>
    <n v="18"/>
    <x v="0"/>
    <x v="25"/>
    <n v="5800"/>
  </r>
  <r>
    <n v="18"/>
    <x v="1"/>
    <x v="70"/>
    <n v="8"/>
  </r>
  <r>
    <n v="18"/>
    <x v="1"/>
    <x v="67"/>
    <n v="8"/>
  </r>
  <r>
    <n v="18"/>
    <x v="1"/>
    <x v="65"/>
    <n v="8"/>
  </r>
  <r>
    <n v="19"/>
    <x v="0"/>
    <x v="0"/>
    <n v="1700"/>
  </r>
  <r>
    <n v="19"/>
    <x v="0"/>
    <x v="49"/>
    <n v="1700"/>
  </r>
  <r>
    <n v="19"/>
    <x v="0"/>
    <x v="1"/>
    <n v="1700"/>
  </r>
  <r>
    <n v="19"/>
    <x v="0"/>
    <x v="2"/>
    <n v="1700"/>
  </r>
  <r>
    <n v="19"/>
    <x v="0"/>
    <x v="3"/>
    <n v="1700"/>
  </r>
  <r>
    <n v="19"/>
    <x v="0"/>
    <x v="4"/>
    <n v="1700"/>
  </r>
  <r>
    <n v="19"/>
    <x v="0"/>
    <x v="5"/>
    <n v="1700"/>
  </r>
  <r>
    <n v="19"/>
    <x v="0"/>
    <x v="50"/>
    <n v="1700"/>
  </r>
  <r>
    <n v="19"/>
    <x v="0"/>
    <x v="6"/>
    <n v="1700"/>
  </r>
  <r>
    <n v="19"/>
    <x v="0"/>
    <x v="7"/>
    <n v="1700"/>
  </r>
  <r>
    <n v="19"/>
    <x v="0"/>
    <x v="8"/>
    <n v="1700"/>
  </r>
  <r>
    <n v="19"/>
    <x v="0"/>
    <x v="9"/>
    <n v="1700"/>
  </r>
  <r>
    <n v="19"/>
    <x v="0"/>
    <x v="10"/>
    <n v="1700"/>
  </r>
  <r>
    <n v="19"/>
    <x v="0"/>
    <x v="11"/>
    <n v="1700"/>
  </r>
  <r>
    <n v="19"/>
    <x v="0"/>
    <x v="12"/>
    <n v="1700"/>
  </r>
  <r>
    <n v="19"/>
    <x v="0"/>
    <x v="13"/>
    <n v="1700"/>
  </r>
  <r>
    <n v="19"/>
    <x v="0"/>
    <x v="14"/>
    <n v="1700"/>
  </r>
  <r>
    <n v="19"/>
    <x v="0"/>
    <x v="15"/>
    <n v="1700"/>
  </r>
  <r>
    <n v="19"/>
    <x v="0"/>
    <x v="16"/>
    <n v="1700"/>
  </r>
  <r>
    <n v="19"/>
    <x v="0"/>
    <x v="51"/>
    <n v="1700"/>
  </r>
  <r>
    <n v="19"/>
    <x v="0"/>
    <x v="17"/>
    <n v="1700"/>
  </r>
  <r>
    <n v="19"/>
    <x v="0"/>
    <x v="18"/>
    <n v="1700"/>
  </r>
  <r>
    <n v="19"/>
    <x v="0"/>
    <x v="19"/>
    <n v="1700"/>
  </r>
  <r>
    <n v="19"/>
    <x v="0"/>
    <x v="20"/>
    <n v="1700"/>
  </r>
  <r>
    <n v="19"/>
    <x v="0"/>
    <x v="21"/>
    <n v="1700"/>
  </r>
  <r>
    <n v="19"/>
    <x v="0"/>
    <x v="22"/>
    <n v="1700"/>
  </r>
  <r>
    <n v="19"/>
    <x v="0"/>
    <x v="23"/>
    <n v="1700"/>
  </r>
  <r>
    <n v="19"/>
    <x v="0"/>
    <x v="24"/>
    <n v="1700"/>
  </r>
  <r>
    <n v="19"/>
    <x v="0"/>
    <x v="25"/>
    <n v="1700"/>
  </r>
  <r>
    <n v="19"/>
    <x v="1"/>
    <x v="26"/>
    <n v="4"/>
  </r>
  <r>
    <n v="19"/>
    <x v="1"/>
    <x v="67"/>
    <n v="3"/>
  </r>
  <r>
    <n v="19"/>
    <x v="1"/>
    <x v="53"/>
    <n v="5"/>
  </r>
  <r>
    <n v="20"/>
    <x v="0"/>
    <x v="0"/>
    <n v="3400"/>
  </r>
  <r>
    <n v="20"/>
    <x v="0"/>
    <x v="49"/>
    <n v="3400"/>
  </r>
  <r>
    <n v="20"/>
    <x v="0"/>
    <x v="1"/>
    <n v="3400"/>
  </r>
  <r>
    <n v="20"/>
    <x v="0"/>
    <x v="2"/>
    <n v="3400"/>
  </r>
  <r>
    <n v="20"/>
    <x v="0"/>
    <x v="3"/>
    <n v="3400"/>
  </r>
  <r>
    <n v="20"/>
    <x v="0"/>
    <x v="4"/>
    <n v="3400"/>
  </r>
  <r>
    <n v="20"/>
    <x v="0"/>
    <x v="5"/>
    <n v="3400"/>
  </r>
  <r>
    <n v="20"/>
    <x v="0"/>
    <x v="50"/>
    <n v="3400"/>
  </r>
  <r>
    <n v="20"/>
    <x v="0"/>
    <x v="6"/>
    <n v="4100"/>
  </r>
  <r>
    <n v="20"/>
    <x v="0"/>
    <x v="7"/>
    <n v="4100"/>
  </r>
  <r>
    <n v="20"/>
    <x v="0"/>
    <x v="8"/>
    <n v="4100"/>
  </r>
  <r>
    <n v="20"/>
    <x v="0"/>
    <x v="9"/>
    <n v="4100"/>
  </r>
  <r>
    <n v="20"/>
    <x v="0"/>
    <x v="10"/>
    <n v="4100"/>
  </r>
  <r>
    <n v="20"/>
    <x v="0"/>
    <x v="11"/>
    <n v="4100"/>
  </r>
  <r>
    <n v="20"/>
    <x v="0"/>
    <x v="12"/>
    <n v="4600"/>
  </r>
  <r>
    <n v="20"/>
    <x v="0"/>
    <x v="13"/>
    <n v="4600"/>
  </r>
  <r>
    <n v="20"/>
    <x v="0"/>
    <x v="14"/>
    <n v="4600"/>
  </r>
  <r>
    <n v="20"/>
    <x v="0"/>
    <x v="15"/>
    <n v="4600"/>
  </r>
  <r>
    <n v="20"/>
    <x v="0"/>
    <x v="16"/>
    <n v="4600"/>
  </r>
  <r>
    <n v="20"/>
    <x v="0"/>
    <x v="51"/>
    <n v="4600"/>
  </r>
  <r>
    <n v="20"/>
    <x v="0"/>
    <x v="17"/>
    <n v="4600"/>
  </r>
  <r>
    <n v="20"/>
    <x v="0"/>
    <x v="18"/>
    <n v="5600"/>
  </r>
  <r>
    <n v="20"/>
    <x v="0"/>
    <x v="19"/>
    <n v="5600"/>
  </r>
  <r>
    <n v="20"/>
    <x v="0"/>
    <x v="20"/>
    <n v="5600"/>
  </r>
  <r>
    <n v="20"/>
    <x v="0"/>
    <x v="21"/>
    <n v="5600"/>
  </r>
  <r>
    <n v="20"/>
    <x v="0"/>
    <x v="22"/>
    <n v="5600"/>
  </r>
  <r>
    <n v="20"/>
    <x v="0"/>
    <x v="23"/>
    <n v="5600"/>
  </r>
  <r>
    <n v="20"/>
    <x v="0"/>
    <x v="24"/>
    <n v="5600"/>
  </r>
  <r>
    <n v="20"/>
    <x v="0"/>
    <x v="25"/>
    <n v="5600"/>
  </r>
  <r>
    <n v="20"/>
    <x v="1"/>
    <x v="26"/>
    <n v="8"/>
  </r>
  <r>
    <n v="20"/>
    <x v="1"/>
    <x v="53"/>
    <n v="2"/>
  </r>
  <r>
    <n v="21"/>
    <x v="0"/>
    <x v="0"/>
    <n v="1900"/>
  </r>
  <r>
    <n v="21"/>
    <x v="0"/>
    <x v="49"/>
    <n v="1900"/>
  </r>
  <r>
    <n v="21"/>
    <x v="0"/>
    <x v="1"/>
    <n v="1900"/>
  </r>
  <r>
    <n v="21"/>
    <x v="0"/>
    <x v="2"/>
    <n v="1900"/>
  </r>
  <r>
    <n v="21"/>
    <x v="0"/>
    <x v="3"/>
    <n v="1900"/>
  </r>
  <r>
    <n v="21"/>
    <x v="0"/>
    <x v="4"/>
    <n v="1900"/>
  </r>
  <r>
    <n v="21"/>
    <x v="0"/>
    <x v="5"/>
    <n v="1900"/>
  </r>
  <r>
    <n v="21"/>
    <x v="0"/>
    <x v="50"/>
    <n v="1900"/>
  </r>
  <r>
    <n v="21"/>
    <x v="0"/>
    <x v="6"/>
    <n v="2500"/>
  </r>
  <r>
    <n v="21"/>
    <x v="0"/>
    <x v="7"/>
    <n v="2500"/>
  </r>
  <r>
    <n v="21"/>
    <x v="0"/>
    <x v="9"/>
    <n v="2500"/>
  </r>
  <r>
    <n v="21"/>
    <x v="0"/>
    <x v="10"/>
    <n v="2500"/>
  </r>
  <r>
    <n v="21"/>
    <x v="0"/>
    <x v="11"/>
    <n v="2500"/>
  </r>
  <r>
    <n v="21"/>
    <x v="0"/>
    <x v="13"/>
    <n v="2500"/>
  </r>
  <r>
    <n v="21"/>
    <x v="0"/>
    <x v="14"/>
    <n v="2500"/>
  </r>
  <r>
    <n v="21"/>
    <x v="0"/>
    <x v="15"/>
    <n v="2500"/>
  </r>
  <r>
    <n v="21"/>
    <x v="0"/>
    <x v="16"/>
    <n v="2500"/>
  </r>
  <r>
    <n v="21"/>
    <x v="0"/>
    <x v="51"/>
    <n v="2500"/>
  </r>
  <r>
    <n v="21"/>
    <x v="0"/>
    <x v="17"/>
    <n v="3300"/>
  </r>
  <r>
    <n v="21"/>
    <x v="0"/>
    <x v="18"/>
    <n v="3300"/>
  </r>
  <r>
    <n v="21"/>
    <x v="0"/>
    <x v="19"/>
    <n v="3300"/>
  </r>
  <r>
    <n v="21"/>
    <x v="0"/>
    <x v="20"/>
    <n v="3300"/>
  </r>
  <r>
    <n v="21"/>
    <x v="0"/>
    <x v="21"/>
    <n v="3300"/>
  </r>
  <r>
    <n v="21"/>
    <x v="0"/>
    <x v="22"/>
    <n v="3300"/>
  </r>
  <r>
    <n v="21"/>
    <x v="0"/>
    <x v="24"/>
    <n v="3300"/>
  </r>
  <r>
    <n v="21"/>
    <x v="0"/>
    <x v="25"/>
    <n v="3300"/>
  </r>
  <r>
    <n v="21"/>
    <x v="1"/>
    <x v="26"/>
    <n v="6"/>
  </r>
  <r>
    <n v="21"/>
    <x v="1"/>
    <x v="67"/>
    <n v="6"/>
  </r>
  <r>
    <n v="22"/>
    <x v="0"/>
    <x v="0"/>
    <n v="8000"/>
  </r>
  <r>
    <n v="22"/>
    <x v="0"/>
    <x v="49"/>
    <n v="8000"/>
  </r>
  <r>
    <n v="22"/>
    <x v="0"/>
    <x v="7"/>
    <n v="5600"/>
  </r>
  <r>
    <n v="22"/>
    <x v="0"/>
    <x v="8"/>
    <n v="5600"/>
  </r>
  <r>
    <n v="22"/>
    <x v="0"/>
    <x v="9"/>
    <n v="5600"/>
  </r>
  <r>
    <n v="22"/>
    <x v="0"/>
    <x v="10"/>
    <n v="5600"/>
  </r>
  <r>
    <n v="22"/>
    <x v="0"/>
    <x v="11"/>
    <n v="5600"/>
  </r>
  <r>
    <n v="22"/>
    <x v="0"/>
    <x v="12"/>
    <n v="7300"/>
  </r>
  <r>
    <n v="22"/>
    <x v="0"/>
    <x v="13"/>
    <n v="7300"/>
  </r>
  <r>
    <n v="22"/>
    <x v="0"/>
    <x v="14"/>
    <n v="7300"/>
  </r>
  <r>
    <n v="22"/>
    <x v="0"/>
    <x v="15"/>
    <n v="7300"/>
  </r>
  <r>
    <n v="22"/>
    <x v="0"/>
    <x v="16"/>
    <n v="7300"/>
  </r>
  <r>
    <n v="22"/>
    <x v="0"/>
    <x v="51"/>
    <n v="7300"/>
  </r>
  <r>
    <n v="22"/>
    <x v="0"/>
    <x v="17"/>
    <n v="7300"/>
  </r>
  <r>
    <n v="22"/>
    <x v="0"/>
    <x v="18"/>
    <n v="7300"/>
  </r>
  <r>
    <n v="22"/>
    <x v="0"/>
    <x v="19"/>
    <n v="7300"/>
  </r>
  <r>
    <n v="22"/>
    <x v="0"/>
    <x v="20"/>
    <n v="7300"/>
  </r>
  <r>
    <n v="22"/>
    <x v="0"/>
    <x v="21"/>
    <n v="7300"/>
  </r>
  <r>
    <n v="22"/>
    <x v="0"/>
    <x v="22"/>
    <n v="7300"/>
  </r>
  <r>
    <n v="22"/>
    <x v="0"/>
    <x v="24"/>
    <n v="7300"/>
  </r>
  <r>
    <n v="22"/>
    <x v="0"/>
    <x v="25"/>
    <n v="7300"/>
  </r>
  <r>
    <n v="22"/>
    <x v="1"/>
    <x v="67"/>
    <n v="2"/>
  </r>
  <r>
    <n v="22"/>
    <x v="1"/>
    <x v="53"/>
    <n v="4"/>
  </r>
  <r>
    <n v="23"/>
    <x v="0"/>
    <x v="33"/>
    <n v="7000"/>
  </r>
  <r>
    <n v="23"/>
    <x v="0"/>
    <x v="34"/>
    <n v="7000"/>
  </r>
  <r>
    <n v="23"/>
    <x v="0"/>
    <x v="36"/>
    <n v="7000"/>
  </r>
  <r>
    <n v="23"/>
    <x v="0"/>
    <x v="37"/>
    <n v="9100"/>
  </r>
  <r>
    <n v="23"/>
    <x v="0"/>
    <x v="38"/>
    <n v="9100"/>
  </r>
  <r>
    <n v="23"/>
    <x v="0"/>
    <x v="40"/>
    <n v="9100"/>
  </r>
  <r>
    <n v="23"/>
    <x v="0"/>
    <x v="41"/>
    <n v="9100"/>
  </r>
  <r>
    <n v="23"/>
    <x v="0"/>
    <x v="12"/>
    <n v="9100"/>
  </r>
  <r>
    <n v="23"/>
    <x v="0"/>
    <x v="44"/>
    <n v="9100"/>
  </r>
  <r>
    <n v="23"/>
    <x v="0"/>
    <x v="55"/>
    <n v="11400"/>
  </r>
  <r>
    <n v="23"/>
    <x v="0"/>
    <x v="51"/>
    <n v="11400"/>
  </r>
  <r>
    <n v="23"/>
    <x v="0"/>
    <x v="52"/>
    <n v="11400"/>
  </r>
  <r>
    <n v="24"/>
    <x v="1"/>
    <x v="71"/>
    <n v="3"/>
  </r>
  <r>
    <n v="24"/>
    <x v="1"/>
    <x v="72"/>
    <n v="5"/>
  </r>
  <r>
    <n v="25"/>
    <x v="0"/>
    <x v="21"/>
    <n v="3000"/>
  </r>
  <r>
    <n v="25"/>
    <x v="0"/>
    <x v="22"/>
    <n v="3000"/>
  </r>
  <r>
    <n v="25"/>
    <x v="0"/>
    <x v="23"/>
    <n v="3000"/>
  </r>
  <r>
    <n v="25"/>
    <x v="0"/>
    <x v="24"/>
    <n v="3000"/>
  </r>
  <r>
    <n v="25"/>
    <x v="0"/>
    <x v="25"/>
    <n v="3000"/>
  </r>
  <r>
    <n v="25"/>
    <x v="1"/>
    <x v="26"/>
    <n v="6"/>
  </r>
  <r>
    <n v="25"/>
    <x v="1"/>
    <x v="73"/>
    <n v="6"/>
  </r>
  <r>
    <n v="25"/>
    <x v="1"/>
    <x v="53"/>
    <n v="6"/>
  </r>
  <r>
    <n v="26"/>
    <x v="0"/>
    <x v="13"/>
    <n v="13800"/>
  </r>
  <r>
    <n v="27"/>
    <x v="0"/>
    <x v="74"/>
    <n v="1200"/>
  </r>
  <r>
    <n v="27"/>
    <x v="0"/>
    <x v="68"/>
    <n v="1200"/>
  </r>
  <r>
    <n v="28"/>
    <x v="0"/>
    <x v="2"/>
    <n v="5500"/>
  </r>
  <r>
    <n v="28"/>
    <x v="0"/>
    <x v="3"/>
    <n v="5500"/>
  </r>
  <r>
    <n v="28"/>
    <x v="0"/>
    <x v="4"/>
    <n v="5500"/>
  </r>
  <r>
    <n v="28"/>
    <x v="0"/>
    <x v="5"/>
    <n v="5500"/>
  </r>
  <r>
    <n v="28"/>
    <x v="0"/>
    <x v="50"/>
    <n v="5500"/>
  </r>
  <r>
    <n v="28"/>
    <x v="0"/>
    <x v="6"/>
    <n v="5500"/>
  </r>
  <r>
    <n v="28"/>
    <x v="0"/>
    <x v="7"/>
    <n v="5500"/>
  </r>
  <r>
    <n v="28"/>
    <x v="0"/>
    <x v="8"/>
    <n v="5500"/>
  </r>
  <r>
    <n v="28"/>
    <x v="0"/>
    <x v="9"/>
    <n v="5500"/>
  </r>
  <r>
    <n v="28"/>
    <x v="0"/>
    <x v="10"/>
    <n v="5500"/>
  </r>
  <r>
    <n v="28"/>
    <x v="0"/>
    <x v="11"/>
    <n v="5500"/>
  </r>
  <r>
    <n v="28"/>
    <x v="0"/>
    <x v="12"/>
    <n v="5000"/>
  </r>
  <r>
    <n v="28"/>
    <x v="0"/>
    <x v="13"/>
    <n v="5000"/>
  </r>
  <r>
    <n v="28"/>
    <x v="0"/>
    <x v="14"/>
    <n v="5000"/>
  </r>
  <r>
    <n v="28"/>
    <x v="0"/>
    <x v="15"/>
    <n v="5000"/>
  </r>
  <r>
    <n v="28"/>
    <x v="0"/>
    <x v="16"/>
    <n v="5000"/>
  </r>
  <r>
    <n v="28"/>
    <x v="0"/>
    <x v="51"/>
    <n v="5000"/>
  </r>
  <r>
    <n v="28"/>
    <x v="0"/>
    <x v="17"/>
    <n v="5000"/>
  </r>
  <r>
    <n v="28"/>
    <x v="1"/>
    <x v="26"/>
    <n v="6"/>
  </r>
  <r>
    <n v="28"/>
    <x v="1"/>
    <x v="53"/>
    <n v="2"/>
  </r>
  <r>
    <n v="29"/>
    <x v="0"/>
    <x v="29"/>
    <n v="4800"/>
  </r>
  <r>
    <n v="29"/>
    <x v="0"/>
    <x v="30"/>
    <n v="4800"/>
  </r>
  <r>
    <n v="29"/>
    <x v="0"/>
    <x v="37"/>
    <n v="4400"/>
  </r>
  <r>
    <n v="29"/>
    <x v="0"/>
    <x v="39"/>
    <n v="4400"/>
  </r>
  <r>
    <n v="29"/>
    <x v="0"/>
    <x v="40"/>
    <n v="4400"/>
  </r>
  <r>
    <n v="29"/>
    <x v="0"/>
    <x v="41"/>
    <n v="4400"/>
  </r>
  <r>
    <n v="29"/>
    <x v="0"/>
    <x v="42"/>
    <n v="4400"/>
  </r>
  <r>
    <n v="29"/>
    <x v="0"/>
    <x v="47"/>
    <n v="4400"/>
  </r>
  <r>
    <n v="29"/>
    <x v="0"/>
    <x v="52"/>
    <n v="4400"/>
  </r>
  <r>
    <n v="29"/>
    <x v="0"/>
    <x v="57"/>
    <n v="4400"/>
  </r>
  <r>
    <n v="29"/>
    <x v="0"/>
    <x v="58"/>
    <n v="4400"/>
  </r>
  <r>
    <n v="29"/>
    <x v="0"/>
    <x v="61"/>
    <n v="4400"/>
  </r>
  <r>
    <n v="29"/>
    <x v="0"/>
    <x v="62"/>
    <n v="4400"/>
  </r>
  <r>
    <n v="29"/>
    <x v="1"/>
    <x v="48"/>
    <n v="8"/>
  </r>
  <r>
    <n v="29"/>
    <x v="1"/>
    <x v="75"/>
    <n v="10"/>
  </r>
  <r>
    <n v="30"/>
    <x v="0"/>
    <x v="0"/>
    <n v="900"/>
  </r>
  <r>
    <n v="30"/>
    <x v="0"/>
    <x v="49"/>
    <n v="900"/>
  </r>
  <r>
    <n v="30"/>
    <x v="0"/>
    <x v="3"/>
    <n v="900"/>
  </r>
  <r>
    <n v="30"/>
    <x v="0"/>
    <x v="4"/>
    <n v="900"/>
  </r>
  <r>
    <n v="30"/>
    <x v="0"/>
    <x v="5"/>
    <n v="900"/>
  </r>
  <r>
    <n v="30"/>
    <x v="0"/>
    <x v="50"/>
    <n v="900"/>
  </r>
  <r>
    <n v="30"/>
    <x v="0"/>
    <x v="9"/>
    <n v="800"/>
  </r>
  <r>
    <n v="30"/>
    <x v="0"/>
    <x v="40"/>
    <n v="800"/>
  </r>
  <r>
    <n v="30"/>
    <x v="0"/>
    <x v="10"/>
    <n v="800"/>
  </r>
  <r>
    <n v="30"/>
    <x v="0"/>
    <x v="11"/>
    <n v="800"/>
  </r>
  <r>
    <n v="30"/>
    <x v="0"/>
    <x v="12"/>
    <n v="800"/>
  </r>
  <r>
    <n v="30"/>
    <x v="0"/>
    <x v="13"/>
    <n v="800"/>
  </r>
  <r>
    <n v="30"/>
    <x v="0"/>
    <x v="14"/>
    <n v="800"/>
  </r>
  <r>
    <n v="30"/>
    <x v="0"/>
    <x v="15"/>
    <n v="800"/>
  </r>
  <r>
    <n v="30"/>
    <x v="0"/>
    <x v="16"/>
    <n v="800"/>
  </r>
  <r>
    <n v="30"/>
    <x v="0"/>
    <x v="51"/>
    <n v="800"/>
  </r>
  <r>
    <n v="30"/>
    <x v="0"/>
    <x v="20"/>
    <n v="800"/>
  </r>
  <r>
    <n v="30"/>
    <x v="0"/>
    <x v="21"/>
    <n v="800"/>
  </r>
  <r>
    <n v="30"/>
    <x v="0"/>
    <x v="22"/>
    <n v="800"/>
  </r>
  <r>
    <n v="30"/>
    <x v="0"/>
    <x v="23"/>
    <n v="800"/>
  </r>
  <r>
    <n v="30"/>
    <x v="0"/>
    <x v="24"/>
    <n v="800"/>
  </r>
  <r>
    <n v="30"/>
    <x v="0"/>
    <x v="62"/>
    <n v="800"/>
  </r>
  <r>
    <n v="30"/>
    <x v="0"/>
    <x v="63"/>
    <n v="800"/>
  </r>
  <r>
    <n v="30"/>
    <x v="1"/>
    <x v="48"/>
    <n v="2"/>
  </r>
  <r>
    <n v="30"/>
    <x v="1"/>
    <x v="76"/>
    <n v="3"/>
  </r>
  <r>
    <n v="31"/>
    <x v="0"/>
    <x v="31"/>
    <n v="10100"/>
  </r>
  <r>
    <n v="31"/>
    <x v="0"/>
    <x v="33"/>
    <n v="12100"/>
  </r>
  <r>
    <n v="31"/>
    <x v="0"/>
    <x v="34"/>
    <n v="12100"/>
  </r>
  <r>
    <n v="31"/>
    <x v="0"/>
    <x v="36"/>
    <n v="12100"/>
  </r>
  <r>
    <n v="31"/>
    <x v="0"/>
    <x v="37"/>
    <n v="12100"/>
  </r>
  <r>
    <n v="31"/>
    <x v="0"/>
    <x v="39"/>
    <n v="12100"/>
  </r>
  <r>
    <n v="31"/>
    <x v="0"/>
    <x v="40"/>
    <n v="12100"/>
  </r>
  <r>
    <n v="31"/>
    <x v="0"/>
    <x v="41"/>
    <n v="12100"/>
  </r>
  <r>
    <n v="31"/>
    <x v="0"/>
    <x v="43"/>
    <n v="12100"/>
  </r>
  <r>
    <n v="31"/>
    <x v="1"/>
    <x v="77"/>
    <n v="13"/>
  </r>
  <r>
    <n v="31"/>
    <x v="1"/>
    <x v="64"/>
    <n v="13"/>
  </r>
  <r>
    <n v="31"/>
    <x v="1"/>
    <x v="65"/>
    <n v="13"/>
  </r>
  <r>
    <n v="32"/>
    <x v="0"/>
    <x v="74"/>
    <n v="14000"/>
  </r>
  <r>
    <n v="32"/>
    <x v="0"/>
    <x v="68"/>
    <n v="14000"/>
  </r>
  <r>
    <n v="33"/>
    <x v="0"/>
    <x v="29"/>
    <n v="6000"/>
  </r>
  <r>
    <n v="33"/>
    <x v="0"/>
    <x v="30"/>
    <n v="6000"/>
  </r>
  <r>
    <n v="33"/>
    <x v="0"/>
    <x v="31"/>
    <n v="6000"/>
  </r>
  <r>
    <n v="33"/>
    <x v="0"/>
    <x v="32"/>
    <n v="6000"/>
  </r>
  <r>
    <n v="33"/>
    <x v="0"/>
    <x v="33"/>
    <n v="6000"/>
  </r>
  <r>
    <n v="33"/>
    <x v="0"/>
    <x v="34"/>
    <n v="6000"/>
  </r>
  <r>
    <n v="33"/>
    <x v="0"/>
    <x v="35"/>
    <n v="6000"/>
  </r>
  <r>
    <n v="33"/>
    <x v="0"/>
    <x v="36"/>
    <n v="6000"/>
  </r>
  <r>
    <n v="33"/>
    <x v="0"/>
    <x v="47"/>
    <n v="6000"/>
  </r>
  <r>
    <n v="33"/>
    <x v="0"/>
    <x v="52"/>
    <n v="6000"/>
  </r>
  <r>
    <n v="33"/>
    <x v="0"/>
    <x v="57"/>
    <n v="6000"/>
  </r>
  <r>
    <n v="33"/>
    <x v="0"/>
    <x v="58"/>
    <n v="6000"/>
  </r>
  <r>
    <n v="33"/>
    <x v="0"/>
    <x v="59"/>
    <n v="6000"/>
  </r>
  <r>
    <n v="33"/>
    <x v="0"/>
    <x v="60"/>
    <n v="6000"/>
  </r>
  <r>
    <n v="33"/>
    <x v="0"/>
    <x v="62"/>
    <n v="6000"/>
  </r>
  <r>
    <n v="33"/>
    <x v="1"/>
    <x v="78"/>
    <n v="5"/>
  </r>
  <r>
    <n v="33"/>
    <x v="1"/>
    <x v="79"/>
    <n v="5"/>
  </r>
  <r>
    <n v="34"/>
    <x v="1"/>
    <x v="67"/>
    <n v="3"/>
  </r>
  <r>
    <n v="34"/>
    <x v="1"/>
    <x v="53"/>
    <n v="3"/>
  </r>
  <r>
    <n v="35"/>
    <x v="0"/>
    <x v="34"/>
    <n v="6700"/>
  </r>
  <r>
    <n v="35"/>
    <x v="0"/>
    <x v="35"/>
    <n v="6700"/>
  </r>
  <r>
    <n v="35"/>
    <x v="0"/>
    <x v="36"/>
    <n v="6700"/>
  </r>
  <r>
    <n v="35"/>
    <x v="0"/>
    <x v="38"/>
    <n v="10000"/>
  </r>
  <r>
    <n v="35"/>
    <x v="0"/>
    <x v="39"/>
    <n v="10000"/>
  </r>
  <r>
    <n v="35"/>
    <x v="0"/>
    <x v="41"/>
    <n v="10000"/>
  </r>
  <r>
    <n v="35"/>
    <x v="0"/>
    <x v="42"/>
    <n v="10000"/>
  </r>
  <r>
    <n v="35"/>
    <x v="0"/>
    <x v="43"/>
    <n v="13000"/>
  </r>
  <r>
    <n v="35"/>
    <x v="0"/>
    <x v="45"/>
    <n v="13000"/>
  </r>
  <r>
    <n v="35"/>
    <x v="0"/>
    <x v="55"/>
    <n v="13000"/>
  </r>
  <r>
    <n v="35"/>
    <x v="0"/>
    <x v="46"/>
    <n v="13000"/>
  </r>
  <r>
    <n v="35"/>
    <x v="0"/>
    <x v="56"/>
    <n v="13000"/>
  </r>
  <r>
    <n v="35"/>
    <x v="0"/>
    <x v="47"/>
    <n v="15600"/>
  </r>
  <r>
    <n v="35"/>
    <x v="0"/>
    <x v="52"/>
    <n v="15600"/>
  </r>
  <r>
    <n v="35"/>
    <x v="0"/>
    <x v="57"/>
    <n v="15600"/>
  </r>
  <r>
    <n v="35"/>
    <x v="0"/>
    <x v="59"/>
    <n v="15600"/>
  </r>
  <r>
    <n v="35"/>
    <x v="1"/>
    <x v="76"/>
    <n v="3"/>
  </r>
  <r>
    <n v="35"/>
    <x v="1"/>
    <x v="65"/>
    <n v="5"/>
  </r>
  <r>
    <n v="36"/>
    <x v="0"/>
    <x v="0"/>
    <n v="3700"/>
  </r>
  <r>
    <n v="36"/>
    <x v="0"/>
    <x v="49"/>
    <n v="3700"/>
  </r>
  <r>
    <n v="36"/>
    <x v="0"/>
    <x v="1"/>
    <n v="3700"/>
  </r>
  <r>
    <n v="36"/>
    <x v="0"/>
    <x v="2"/>
    <n v="3700"/>
  </r>
  <r>
    <n v="36"/>
    <x v="0"/>
    <x v="3"/>
    <n v="3700"/>
  </r>
  <r>
    <n v="36"/>
    <x v="0"/>
    <x v="4"/>
    <n v="3700"/>
  </r>
  <r>
    <n v="36"/>
    <x v="0"/>
    <x v="5"/>
    <n v="3700"/>
  </r>
  <r>
    <n v="36"/>
    <x v="0"/>
    <x v="50"/>
    <n v="3700"/>
  </r>
  <r>
    <n v="36"/>
    <x v="0"/>
    <x v="6"/>
    <n v="3700"/>
  </r>
  <r>
    <n v="36"/>
    <x v="0"/>
    <x v="13"/>
    <n v="3700"/>
  </r>
  <r>
    <n v="36"/>
    <x v="0"/>
    <x v="14"/>
    <n v="3700"/>
  </r>
  <r>
    <n v="36"/>
    <x v="0"/>
    <x v="15"/>
    <n v="3700"/>
  </r>
  <r>
    <n v="36"/>
    <x v="0"/>
    <x v="16"/>
    <n v="3700"/>
  </r>
  <r>
    <n v="36"/>
    <x v="0"/>
    <x v="51"/>
    <n v="3700"/>
  </r>
  <r>
    <n v="36"/>
    <x v="0"/>
    <x v="17"/>
    <n v="3700"/>
  </r>
  <r>
    <n v="36"/>
    <x v="1"/>
    <x v="26"/>
    <n v="6"/>
  </r>
  <r>
    <n v="36"/>
    <x v="1"/>
    <x v="27"/>
    <n v="5"/>
  </r>
  <r>
    <n v="36"/>
    <x v="1"/>
    <x v="53"/>
    <n v="4"/>
  </r>
  <r>
    <n v="37"/>
    <x v="1"/>
    <x v="64"/>
    <n v="1"/>
  </r>
  <r>
    <n v="37"/>
    <x v="1"/>
    <x v="65"/>
    <n v="1"/>
  </r>
  <r>
    <n v="38"/>
    <x v="0"/>
    <x v="63"/>
    <n v="2600"/>
  </r>
  <r>
    <n v="38"/>
    <x v="1"/>
    <x v="77"/>
    <n v="5"/>
  </r>
  <r>
    <n v="39"/>
    <x v="0"/>
    <x v="29"/>
    <n v="4500"/>
  </r>
  <r>
    <n v="39"/>
    <x v="0"/>
    <x v="32"/>
    <n v="4500"/>
  </r>
  <r>
    <n v="39"/>
    <x v="0"/>
    <x v="33"/>
    <n v="4500"/>
  </r>
  <r>
    <n v="39"/>
    <x v="0"/>
    <x v="34"/>
    <n v="4500"/>
  </r>
  <r>
    <n v="39"/>
    <x v="0"/>
    <x v="35"/>
    <n v="4500"/>
  </r>
  <r>
    <n v="39"/>
    <x v="0"/>
    <x v="37"/>
    <n v="4500"/>
  </r>
  <r>
    <n v="39"/>
    <x v="0"/>
    <x v="40"/>
    <n v="4500"/>
  </r>
  <r>
    <n v="39"/>
    <x v="0"/>
    <x v="41"/>
    <n v="4500"/>
  </r>
  <r>
    <n v="39"/>
    <x v="0"/>
    <x v="42"/>
    <n v="4500"/>
  </r>
  <r>
    <n v="39"/>
    <x v="0"/>
    <x v="44"/>
    <n v="4500"/>
  </r>
  <r>
    <n v="39"/>
    <x v="0"/>
    <x v="55"/>
    <n v="4500"/>
  </r>
  <r>
    <n v="39"/>
    <x v="0"/>
    <x v="56"/>
    <n v="4500"/>
  </r>
  <r>
    <n v="39"/>
    <x v="0"/>
    <x v="47"/>
    <n v="4500"/>
  </r>
  <r>
    <n v="39"/>
    <x v="0"/>
    <x v="57"/>
    <n v="4500"/>
  </r>
  <r>
    <n v="39"/>
    <x v="0"/>
    <x v="60"/>
    <n v="4500"/>
  </r>
  <r>
    <n v="39"/>
    <x v="0"/>
    <x v="25"/>
    <n v="4500"/>
  </r>
  <r>
    <n v="39"/>
    <x v="1"/>
    <x v="48"/>
    <n v="8"/>
  </r>
  <r>
    <n v="40"/>
    <x v="0"/>
    <x v="31"/>
    <n v="3400"/>
  </r>
  <r>
    <n v="40"/>
    <x v="0"/>
    <x v="32"/>
    <n v="3400"/>
  </r>
  <r>
    <n v="40"/>
    <x v="0"/>
    <x v="33"/>
    <n v="3400"/>
  </r>
  <r>
    <n v="40"/>
    <x v="0"/>
    <x v="34"/>
    <n v="3400"/>
  </r>
  <r>
    <n v="40"/>
    <x v="0"/>
    <x v="35"/>
    <n v="3400"/>
  </r>
  <r>
    <n v="40"/>
    <x v="0"/>
    <x v="36"/>
    <n v="3400"/>
  </r>
  <r>
    <n v="40"/>
    <x v="0"/>
    <x v="37"/>
    <n v="3400"/>
  </r>
  <r>
    <n v="40"/>
    <x v="0"/>
    <x v="38"/>
    <n v="3400"/>
  </r>
  <r>
    <n v="40"/>
    <x v="0"/>
    <x v="39"/>
    <n v="3400"/>
  </r>
  <r>
    <n v="40"/>
    <x v="0"/>
    <x v="40"/>
    <n v="3400"/>
  </r>
  <r>
    <n v="40"/>
    <x v="0"/>
    <x v="41"/>
    <n v="3400"/>
  </r>
  <r>
    <n v="40"/>
    <x v="0"/>
    <x v="42"/>
    <n v="3400"/>
  </r>
  <r>
    <n v="40"/>
    <x v="0"/>
    <x v="43"/>
    <n v="3400"/>
  </r>
  <r>
    <n v="40"/>
    <x v="0"/>
    <x v="44"/>
    <n v="3400"/>
  </r>
  <r>
    <n v="40"/>
    <x v="0"/>
    <x v="45"/>
    <n v="3400"/>
  </r>
  <r>
    <n v="40"/>
    <x v="0"/>
    <x v="46"/>
    <n v="3400"/>
  </r>
  <r>
    <n v="40"/>
    <x v="0"/>
    <x v="56"/>
    <n v="3400"/>
  </r>
  <r>
    <n v="41"/>
    <x v="1"/>
    <x v="48"/>
    <n v="6"/>
  </r>
  <r>
    <n v="41"/>
    <x v="1"/>
    <x v="64"/>
    <n v="6"/>
  </r>
  <r>
    <n v="42"/>
    <x v="0"/>
    <x v="4"/>
    <n v="2600"/>
  </r>
  <r>
    <n v="42"/>
    <x v="0"/>
    <x v="5"/>
    <n v="2600"/>
  </r>
  <r>
    <n v="42"/>
    <x v="0"/>
    <x v="50"/>
    <n v="2600"/>
  </r>
  <r>
    <n v="42"/>
    <x v="1"/>
    <x v="73"/>
    <n v="2"/>
  </r>
  <r>
    <n v="42"/>
    <x v="1"/>
    <x v="53"/>
    <n v="3"/>
  </r>
  <r>
    <n v="43"/>
    <x v="0"/>
    <x v="0"/>
    <n v="3000"/>
  </r>
  <r>
    <n v="43"/>
    <x v="0"/>
    <x v="49"/>
    <n v="3000"/>
  </r>
  <r>
    <n v="43"/>
    <x v="0"/>
    <x v="1"/>
    <n v="3000"/>
  </r>
  <r>
    <n v="44"/>
    <x v="1"/>
    <x v="80"/>
    <n v="2"/>
  </r>
  <r>
    <n v="45"/>
    <x v="1"/>
    <x v="53"/>
    <n v="2"/>
  </r>
  <r>
    <n v="46"/>
    <x v="0"/>
    <x v="1"/>
    <n v="10600"/>
  </r>
  <r>
    <n v="46"/>
    <x v="0"/>
    <x v="2"/>
    <n v="10600"/>
  </r>
  <r>
    <n v="46"/>
    <x v="0"/>
    <x v="3"/>
    <n v="10600"/>
  </r>
  <r>
    <n v="46"/>
    <x v="0"/>
    <x v="4"/>
    <n v="10600"/>
  </r>
  <r>
    <n v="46"/>
    <x v="0"/>
    <x v="5"/>
    <n v="10600"/>
  </r>
  <r>
    <n v="46"/>
    <x v="0"/>
    <x v="50"/>
    <n v="10600"/>
  </r>
  <r>
    <n v="46"/>
    <x v="0"/>
    <x v="6"/>
    <n v="10600"/>
  </r>
  <r>
    <n v="46"/>
    <x v="0"/>
    <x v="7"/>
    <n v="10600"/>
  </r>
  <r>
    <n v="46"/>
    <x v="0"/>
    <x v="8"/>
    <n v="10600"/>
  </r>
  <r>
    <n v="46"/>
    <x v="0"/>
    <x v="9"/>
    <n v="10600"/>
  </r>
  <r>
    <n v="46"/>
    <x v="0"/>
    <x v="10"/>
    <n v="10600"/>
  </r>
  <r>
    <n v="46"/>
    <x v="0"/>
    <x v="11"/>
    <n v="10600"/>
  </r>
  <r>
    <n v="46"/>
    <x v="0"/>
    <x v="12"/>
    <n v="10600"/>
  </r>
  <r>
    <n v="46"/>
    <x v="0"/>
    <x v="13"/>
    <n v="11700"/>
  </r>
  <r>
    <n v="46"/>
    <x v="0"/>
    <x v="14"/>
    <n v="11700"/>
  </r>
  <r>
    <n v="46"/>
    <x v="0"/>
    <x v="15"/>
    <n v="11700"/>
  </r>
  <r>
    <n v="46"/>
    <x v="0"/>
    <x v="16"/>
    <n v="11700"/>
  </r>
  <r>
    <n v="46"/>
    <x v="0"/>
    <x v="51"/>
    <n v="11700"/>
  </r>
  <r>
    <n v="46"/>
    <x v="0"/>
    <x v="17"/>
    <n v="11700"/>
  </r>
  <r>
    <n v="46"/>
    <x v="0"/>
    <x v="18"/>
    <n v="11700"/>
  </r>
  <r>
    <n v="46"/>
    <x v="0"/>
    <x v="19"/>
    <n v="11700"/>
  </r>
  <r>
    <n v="46"/>
    <x v="0"/>
    <x v="20"/>
    <n v="11700"/>
  </r>
  <r>
    <n v="46"/>
    <x v="0"/>
    <x v="21"/>
    <n v="11700"/>
  </r>
  <r>
    <n v="46"/>
    <x v="0"/>
    <x v="22"/>
    <n v="11700"/>
  </r>
  <r>
    <n v="46"/>
    <x v="0"/>
    <x v="23"/>
    <n v="11700"/>
  </r>
  <r>
    <n v="46"/>
    <x v="0"/>
    <x v="24"/>
    <n v="11700"/>
  </r>
  <r>
    <n v="46"/>
    <x v="0"/>
    <x v="25"/>
    <n v="11700"/>
  </r>
  <r>
    <n v="46"/>
    <x v="1"/>
    <x v="26"/>
    <n v="13"/>
  </r>
  <r>
    <n v="46"/>
    <x v="1"/>
    <x v="81"/>
    <n v="8"/>
  </r>
  <r>
    <n v="46"/>
    <x v="1"/>
    <x v="53"/>
    <n v="10"/>
  </r>
  <r>
    <n v="47"/>
    <x v="0"/>
    <x v="0"/>
    <n v="20000"/>
  </r>
  <r>
    <n v="47"/>
    <x v="0"/>
    <x v="49"/>
    <n v="20000"/>
  </r>
  <r>
    <n v="47"/>
    <x v="0"/>
    <x v="1"/>
    <n v="20000"/>
  </r>
  <r>
    <n v="47"/>
    <x v="0"/>
    <x v="2"/>
    <n v="20000"/>
  </r>
  <r>
    <n v="47"/>
    <x v="0"/>
    <x v="3"/>
    <n v="20000"/>
  </r>
  <r>
    <n v="47"/>
    <x v="0"/>
    <x v="4"/>
    <n v="20000"/>
  </r>
  <r>
    <n v="47"/>
    <x v="0"/>
    <x v="5"/>
    <n v="20000"/>
  </r>
  <r>
    <n v="47"/>
    <x v="0"/>
    <x v="50"/>
    <n v="20000"/>
  </r>
  <r>
    <n v="47"/>
    <x v="0"/>
    <x v="6"/>
    <n v="18000"/>
  </r>
  <r>
    <n v="47"/>
    <x v="0"/>
    <x v="7"/>
    <n v="18000"/>
  </r>
  <r>
    <n v="47"/>
    <x v="0"/>
    <x v="8"/>
    <n v="18000"/>
  </r>
  <r>
    <n v="47"/>
    <x v="0"/>
    <x v="9"/>
    <n v="18000"/>
  </r>
  <r>
    <n v="47"/>
    <x v="0"/>
    <x v="10"/>
    <n v="18000"/>
  </r>
  <r>
    <n v="47"/>
    <x v="0"/>
    <x v="11"/>
    <n v="18000"/>
  </r>
  <r>
    <n v="47"/>
    <x v="0"/>
    <x v="12"/>
    <n v="18000"/>
  </r>
  <r>
    <n v="47"/>
    <x v="0"/>
    <x v="13"/>
    <n v="18000"/>
  </r>
  <r>
    <n v="47"/>
    <x v="0"/>
    <x v="14"/>
    <n v="18000"/>
  </r>
  <r>
    <n v="47"/>
    <x v="0"/>
    <x v="15"/>
    <n v="18000"/>
  </r>
  <r>
    <n v="47"/>
    <x v="0"/>
    <x v="16"/>
    <n v="18000"/>
  </r>
  <r>
    <n v="47"/>
    <x v="0"/>
    <x v="51"/>
    <n v="18000"/>
  </r>
  <r>
    <n v="47"/>
    <x v="0"/>
    <x v="17"/>
    <n v="18000"/>
  </r>
  <r>
    <n v="47"/>
    <x v="0"/>
    <x v="18"/>
    <n v="18000"/>
  </r>
  <r>
    <n v="47"/>
    <x v="0"/>
    <x v="19"/>
    <n v="18000"/>
  </r>
  <r>
    <n v="47"/>
    <x v="0"/>
    <x v="20"/>
    <n v="18000"/>
  </r>
  <r>
    <n v="47"/>
    <x v="0"/>
    <x v="21"/>
    <n v="18000"/>
  </r>
  <r>
    <n v="47"/>
    <x v="0"/>
    <x v="22"/>
    <n v="18000"/>
  </r>
  <r>
    <n v="47"/>
    <x v="0"/>
    <x v="23"/>
    <n v="18000"/>
  </r>
  <r>
    <n v="47"/>
    <x v="0"/>
    <x v="24"/>
    <n v="18000"/>
  </r>
  <r>
    <n v="47"/>
    <x v="0"/>
    <x v="25"/>
    <n v="18000"/>
  </r>
  <r>
    <n v="47"/>
    <x v="1"/>
    <x v="26"/>
    <n v="16"/>
  </r>
  <r>
    <n v="47"/>
    <x v="1"/>
    <x v="67"/>
    <n v="20"/>
  </r>
  <r>
    <n v="47"/>
    <x v="1"/>
    <x v="53"/>
    <n v="20"/>
  </r>
  <r>
    <n v="48"/>
    <x v="0"/>
    <x v="0"/>
    <n v="3200"/>
  </r>
  <r>
    <n v="48"/>
    <x v="0"/>
    <x v="49"/>
    <n v="3200"/>
  </r>
  <r>
    <n v="48"/>
    <x v="0"/>
    <x v="1"/>
    <n v="3200"/>
  </r>
  <r>
    <n v="48"/>
    <x v="0"/>
    <x v="2"/>
    <n v="3200"/>
  </r>
  <r>
    <n v="48"/>
    <x v="0"/>
    <x v="3"/>
    <n v="3200"/>
  </r>
  <r>
    <n v="48"/>
    <x v="0"/>
    <x v="4"/>
    <n v="3200"/>
  </r>
  <r>
    <n v="48"/>
    <x v="0"/>
    <x v="5"/>
    <n v="3200"/>
  </r>
  <r>
    <n v="48"/>
    <x v="0"/>
    <x v="50"/>
    <n v="3200"/>
  </r>
  <r>
    <n v="48"/>
    <x v="0"/>
    <x v="6"/>
    <n v="2900"/>
  </r>
  <r>
    <n v="48"/>
    <x v="0"/>
    <x v="7"/>
    <n v="2900"/>
  </r>
  <r>
    <n v="48"/>
    <x v="0"/>
    <x v="8"/>
    <n v="2900"/>
  </r>
  <r>
    <n v="48"/>
    <x v="0"/>
    <x v="9"/>
    <n v="2900"/>
  </r>
  <r>
    <n v="48"/>
    <x v="0"/>
    <x v="10"/>
    <n v="2900"/>
  </r>
  <r>
    <n v="48"/>
    <x v="0"/>
    <x v="11"/>
    <n v="2900"/>
  </r>
  <r>
    <n v="48"/>
    <x v="0"/>
    <x v="12"/>
    <n v="2900"/>
  </r>
  <r>
    <n v="48"/>
    <x v="0"/>
    <x v="13"/>
    <n v="2900"/>
  </r>
  <r>
    <n v="48"/>
    <x v="0"/>
    <x v="14"/>
    <n v="2900"/>
  </r>
  <r>
    <n v="48"/>
    <x v="0"/>
    <x v="15"/>
    <n v="2900"/>
  </r>
  <r>
    <n v="48"/>
    <x v="0"/>
    <x v="16"/>
    <n v="2900"/>
  </r>
  <r>
    <n v="48"/>
    <x v="0"/>
    <x v="51"/>
    <n v="2900"/>
  </r>
  <r>
    <n v="48"/>
    <x v="0"/>
    <x v="24"/>
    <n v="2000"/>
  </r>
  <r>
    <n v="48"/>
    <x v="0"/>
    <x v="25"/>
    <n v="2000"/>
  </r>
  <r>
    <n v="48"/>
    <x v="1"/>
    <x v="26"/>
    <n v="4"/>
  </r>
  <r>
    <n v="48"/>
    <x v="1"/>
    <x v="67"/>
    <n v="3"/>
  </r>
  <r>
    <n v="48"/>
    <x v="1"/>
    <x v="53"/>
    <n v="5"/>
  </r>
  <r>
    <n v="49"/>
    <x v="0"/>
    <x v="29"/>
    <n v="1700"/>
  </r>
  <r>
    <n v="49"/>
    <x v="0"/>
    <x v="30"/>
    <n v="1700"/>
  </r>
  <r>
    <n v="49"/>
    <x v="0"/>
    <x v="37"/>
    <n v="1700"/>
  </r>
  <r>
    <n v="49"/>
    <x v="0"/>
    <x v="38"/>
    <n v="1700"/>
  </r>
  <r>
    <n v="49"/>
    <x v="0"/>
    <x v="39"/>
    <n v="1700"/>
  </r>
  <r>
    <n v="49"/>
    <x v="0"/>
    <x v="40"/>
    <n v="1700"/>
  </r>
  <r>
    <n v="49"/>
    <x v="0"/>
    <x v="41"/>
    <n v="1700"/>
  </r>
  <r>
    <n v="49"/>
    <x v="0"/>
    <x v="42"/>
    <n v="1700"/>
  </r>
  <r>
    <n v="49"/>
    <x v="0"/>
    <x v="43"/>
    <n v="1700"/>
  </r>
  <r>
    <n v="49"/>
    <x v="0"/>
    <x v="44"/>
    <n v="1700"/>
  </r>
  <r>
    <n v="49"/>
    <x v="0"/>
    <x v="45"/>
    <n v="1700"/>
  </r>
  <r>
    <n v="49"/>
    <x v="0"/>
    <x v="55"/>
    <n v="1700"/>
  </r>
  <r>
    <n v="49"/>
    <x v="0"/>
    <x v="46"/>
    <n v="1700"/>
  </r>
  <r>
    <n v="49"/>
    <x v="0"/>
    <x v="56"/>
    <n v="1700"/>
  </r>
  <r>
    <n v="49"/>
    <x v="0"/>
    <x v="52"/>
    <n v="1700"/>
  </r>
  <r>
    <n v="49"/>
    <x v="0"/>
    <x v="57"/>
    <n v="1700"/>
  </r>
  <r>
    <n v="49"/>
    <x v="0"/>
    <x v="58"/>
    <n v="1700"/>
  </r>
  <r>
    <n v="49"/>
    <x v="0"/>
    <x v="59"/>
    <n v="1700"/>
  </r>
  <r>
    <n v="49"/>
    <x v="0"/>
    <x v="60"/>
    <n v="1700"/>
  </r>
  <r>
    <n v="49"/>
    <x v="0"/>
    <x v="61"/>
    <n v="1700"/>
  </r>
  <r>
    <n v="49"/>
    <x v="0"/>
    <x v="62"/>
    <n v="1700"/>
  </r>
  <r>
    <n v="49"/>
    <x v="0"/>
    <x v="63"/>
    <n v="1700"/>
  </r>
  <r>
    <n v="49"/>
    <x v="1"/>
    <x v="48"/>
    <n v="4"/>
  </r>
  <r>
    <n v="50"/>
    <x v="0"/>
    <x v="29"/>
    <n v="8000"/>
  </r>
  <r>
    <n v="50"/>
    <x v="0"/>
    <x v="30"/>
    <n v="8000"/>
  </r>
  <r>
    <n v="50"/>
    <x v="0"/>
    <x v="31"/>
    <n v="8000"/>
  </r>
  <r>
    <n v="50"/>
    <x v="0"/>
    <x v="32"/>
    <n v="8000"/>
  </r>
  <r>
    <n v="50"/>
    <x v="0"/>
    <x v="33"/>
    <n v="8000"/>
  </r>
  <r>
    <n v="50"/>
    <x v="0"/>
    <x v="34"/>
    <n v="8000"/>
  </r>
  <r>
    <n v="50"/>
    <x v="0"/>
    <x v="35"/>
    <n v="8000"/>
  </r>
  <r>
    <n v="50"/>
    <x v="0"/>
    <x v="36"/>
    <n v="8000"/>
  </r>
  <r>
    <n v="50"/>
    <x v="0"/>
    <x v="40"/>
    <n v="7200"/>
  </r>
  <r>
    <n v="50"/>
    <x v="0"/>
    <x v="41"/>
    <n v="7200"/>
  </r>
  <r>
    <n v="50"/>
    <x v="0"/>
    <x v="42"/>
    <n v="7200"/>
  </r>
  <r>
    <n v="50"/>
    <x v="0"/>
    <x v="43"/>
    <n v="7200"/>
  </r>
  <r>
    <n v="50"/>
    <x v="0"/>
    <x v="44"/>
    <n v="7200"/>
  </r>
  <r>
    <n v="50"/>
    <x v="0"/>
    <x v="45"/>
    <n v="7200"/>
  </r>
  <r>
    <n v="50"/>
    <x v="0"/>
    <x v="55"/>
    <n v="7200"/>
  </r>
  <r>
    <n v="50"/>
    <x v="0"/>
    <x v="46"/>
    <n v="7200"/>
  </r>
  <r>
    <n v="50"/>
    <x v="0"/>
    <x v="56"/>
    <n v="7200"/>
  </r>
  <r>
    <n v="50"/>
    <x v="0"/>
    <x v="47"/>
    <n v="7200"/>
  </r>
  <r>
    <n v="50"/>
    <x v="0"/>
    <x v="52"/>
    <n v="7200"/>
  </r>
  <r>
    <n v="50"/>
    <x v="0"/>
    <x v="57"/>
    <n v="7200"/>
  </r>
  <r>
    <n v="50"/>
    <x v="0"/>
    <x v="58"/>
    <n v="7200"/>
  </r>
  <r>
    <n v="50"/>
    <x v="0"/>
    <x v="59"/>
    <n v="7200"/>
  </r>
  <r>
    <n v="50"/>
    <x v="0"/>
    <x v="60"/>
    <n v="7200"/>
  </r>
  <r>
    <n v="50"/>
    <x v="0"/>
    <x v="61"/>
    <n v="7200"/>
  </r>
  <r>
    <n v="50"/>
    <x v="0"/>
    <x v="62"/>
    <n v="7200"/>
  </r>
  <r>
    <n v="50"/>
    <x v="0"/>
    <x v="63"/>
    <n v="6500"/>
  </r>
  <r>
    <n v="51"/>
    <x v="0"/>
    <x v="29"/>
    <n v="5000"/>
  </r>
  <r>
    <n v="52"/>
    <x v="0"/>
    <x v="43"/>
    <n v="4200"/>
  </r>
  <r>
    <n v="52"/>
    <x v="0"/>
    <x v="44"/>
    <n v="4200"/>
  </r>
  <r>
    <n v="52"/>
    <x v="0"/>
    <x v="45"/>
    <n v="4200"/>
  </r>
  <r>
    <n v="52"/>
    <x v="0"/>
    <x v="55"/>
    <n v="4200"/>
  </r>
  <r>
    <n v="52"/>
    <x v="0"/>
    <x v="46"/>
    <n v="4200"/>
  </r>
  <r>
    <n v="52"/>
    <x v="0"/>
    <x v="56"/>
    <n v="4200"/>
  </r>
  <r>
    <n v="52"/>
    <x v="0"/>
    <x v="47"/>
    <n v="4600"/>
  </r>
  <r>
    <n v="52"/>
    <x v="0"/>
    <x v="52"/>
    <n v="4600"/>
  </r>
  <r>
    <n v="52"/>
    <x v="0"/>
    <x v="57"/>
    <n v="4600"/>
  </r>
  <r>
    <n v="52"/>
    <x v="0"/>
    <x v="58"/>
    <n v="4600"/>
  </r>
  <r>
    <n v="52"/>
    <x v="0"/>
    <x v="59"/>
    <n v="4600"/>
  </r>
  <r>
    <n v="52"/>
    <x v="0"/>
    <x v="60"/>
    <n v="4600"/>
  </r>
  <r>
    <n v="52"/>
    <x v="0"/>
    <x v="62"/>
    <n v="4600"/>
  </r>
  <r>
    <n v="52"/>
    <x v="0"/>
    <x v="63"/>
    <n v="4600"/>
  </r>
  <r>
    <n v="52"/>
    <x v="1"/>
    <x v="48"/>
    <n v="8"/>
  </r>
  <r>
    <n v="52"/>
    <x v="1"/>
    <x v="64"/>
    <n v="8"/>
  </r>
  <r>
    <n v="52"/>
    <x v="1"/>
    <x v="75"/>
    <n v="8"/>
  </r>
  <r>
    <n v="53"/>
    <x v="0"/>
    <x v="29"/>
    <n v="2200"/>
  </r>
  <r>
    <n v="53"/>
    <x v="0"/>
    <x v="30"/>
    <n v="2200"/>
  </r>
  <r>
    <n v="53"/>
    <x v="0"/>
    <x v="31"/>
    <n v="2200"/>
  </r>
  <r>
    <n v="53"/>
    <x v="0"/>
    <x v="59"/>
    <n v="1800"/>
  </r>
  <r>
    <n v="53"/>
    <x v="0"/>
    <x v="60"/>
    <n v="1800"/>
  </r>
  <r>
    <n v="53"/>
    <x v="0"/>
    <x v="61"/>
    <n v="1800"/>
  </r>
  <r>
    <n v="53"/>
    <x v="0"/>
    <x v="62"/>
    <n v="1800"/>
  </r>
  <r>
    <n v="53"/>
    <x v="0"/>
    <x v="63"/>
    <n v="1800"/>
  </r>
  <r>
    <n v="53"/>
    <x v="1"/>
    <x v="48"/>
    <n v="4"/>
  </r>
  <r>
    <n v="53"/>
    <x v="1"/>
    <x v="64"/>
    <n v="4"/>
  </r>
  <r>
    <n v="53"/>
    <x v="1"/>
    <x v="65"/>
    <n v="3"/>
  </r>
  <r>
    <n v="54"/>
    <x v="0"/>
    <x v="0"/>
    <n v="4500"/>
  </r>
  <r>
    <n v="54"/>
    <x v="0"/>
    <x v="49"/>
    <n v="4500"/>
  </r>
  <r>
    <n v="54"/>
    <x v="0"/>
    <x v="1"/>
    <n v="4700"/>
  </r>
  <r>
    <n v="54"/>
    <x v="0"/>
    <x v="2"/>
    <n v="4700"/>
  </r>
  <r>
    <n v="54"/>
    <x v="0"/>
    <x v="3"/>
    <n v="4700"/>
  </r>
  <r>
    <n v="54"/>
    <x v="0"/>
    <x v="4"/>
    <n v="4700"/>
  </r>
  <r>
    <n v="54"/>
    <x v="0"/>
    <x v="5"/>
    <n v="4700"/>
  </r>
  <r>
    <n v="54"/>
    <x v="0"/>
    <x v="50"/>
    <n v="4700"/>
  </r>
  <r>
    <n v="54"/>
    <x v="0"/>
    <x v="7"/>
    <n v="5200"/>
  </r>
  <r>
    <n v="54"/>
    <x v="0"/>
    <x v="39"/>
    <n v="5200"/>
  </r>
  <r>
    <n v="54"/>
    <x v="0"/>
    <x v="9"/>
    <n v="5200"/>
  </r>
  <r>
    <n v="54"/>
    <x v="0"/>
    <x v="10"/>
    <n v="5200"/>
  </r>
  <r>
    <n v="54"/>
    <x v="0"/>
    <x v="11"/>
    <n v="5200"/>
  </r>
  <r>
    <n v="54"/>
    <x v="0"/>
    <x v="12"/>
    <n v="5200"/>
  </r>
  <r>
    <n v="54"/>
    <x v="0"/>
    <x v="13"/>
    <n v="6300"/>
  </r>
  <r>
    <n v="54"/>
    <x v="0"/>
    <x v="14"/>
    <n v="6300"/>
  </r>
  <r>
    <n v="54"/>
    <x v="0"/>
    <x v="15"/>
    <n v="6300"/>
  </r>
  <r>
    <n v="54"/>
    <x v="0"/>
    <x v="16"/>
    <n v="6300"/>
  </r>
  <r>
    <n v="54"/>
    <x v="0"/>
    <x v="51"/>
    <n v="6300"/>
  </r>
  <r>
    <n v="54"/>
    <x v="0"/>
    <x v="17"/>
    <n v="7000"/>
  </r>
  <r>
    <n v="54"/>
    <x v="0"/>
    <x v="18"/>
    <n v="7000"/>
  </r>
  <r>
    <n v="54"/>
    <x v="0"/>
    <x v="19"/>
    <n v="7000"/>
  </r>
  <r>
    <n v="54"/>
    <x v="0"/>
    <x v="20"/>
    <n v="7000"/>
  </r>
  <r>
    <n v="54"/>
    <x v="0"/>
    <x v="21"/>
    <n v="7000"/>
  </r>
  <r>
    <n v="54"/>
    <x v="0"/>
    <x v="22"/>
    <n v="7000"/>
  </r>
  <r>
    <n v="54"/>
    <x v="0"/>
    <x v="23"/>
    <n v="7000"/>
  </r>
  <r>
    <n v="54"/>
    <x v="0"/>
    <x v="24"/>
    <n v="7000"/>
  </r>
  <r>
    <n v="54"/>
    <x v="1"/>
    <x v="26"/>
    <n v="10"/>
  </r>
  <r>
    <n v="54"/>
    <x v="1"/>
    <x v="67"/>
    <n v="10"/>
  </r>
  <r>
    <n v="54"/>
    <x v="1"/>
    <x v="53"/>
    <n v="10"/>
  </r>
  <r>
    <n v="55"/>
    <x v="0"/>
    <x v="49"/>
    <n v="5700"/>
  </r>
  <r>
    <n v="55"/>
    <x v="0"/>
    <x v="1"/>
    <n v="6300"/>
  </r>
  <r>
    <n v="55"/>
    <x v="0"/>
    <x v="2"/>
    <n v="6300"/>
  </r>
  <r>
    <n v="55"/>
    <x v="0"/>
    <x v="3"/>
    <n v="6300"/>
  </r>
  <r>
    <n v="55"/>
    <x v="0"/>
    <x v="4"/>
    <n v="6300"/>
  </r>
  <r>
    <n v="55"/>
    <x v="0"/>
    <x v="5"/>
    <n v="6300"/>
  </r>
  <r>
    <n v="55"/>
    <x v="0"/>
    <x v="50"/>
    <n v="6300"/>
  </r>
  <r>
    <n v="55"/>
    <x v="0"/>
    <x v="6"/>
    <n v="6300"/>
  </r>
  <r>
    <n v="55"/>
    <x v="0"/>
    <x v="7"/>
    <n v="6300"/>
  </r>
  <r>
    <n v="55"/>
    <x v="0"/>
    <x v="8"/>
    <n v="6900"/>
  </r>
  <r>
    <n v="55"/>
    <x v="0"/>
    <x v="9"/>
    <n v="6900"/>
  </r>
  <r>
    <n v="55"/>
    <x v="0"/>
    <x v="11"/>
    <n v="6900"/>
  </r>
  <r>
    <n v="55"/>
    <x v="0"/>
    <x v="15"/>
    <n v="6900"/>
  </r>
  <r>
    <n v="55"/>
    <x v="0"/>
    <x v="51"/>
    <n v="6900"/>
  </r>
  <r>
    <n v="55"/>
    <x v="0"/>
    <x v="18"/>
    <n v="9000"/>
  </r>
  <r>
    <n v="56"/>
    <x v="1"/>
    <x v="82"/>
    <n v="2"/>
  </r>
  <r>
    <n v="56"/>
    <x v="1"/>
    <x v="64"/>
    <n v="3"/>
  </r>
  <r>
    <n v="56"/>
    <x v="1"/>
    <x v="65"/>
    <n v="3"/>
  </r>
  <r>
    <n v="57"/>
    <x v="0"/>
    <x v="0"/>
    <n v="18000"/>
  </r>
  <r>
    <n v="57"/>
    <x v="0"/>
    <x v="1"/>
    <n v="18000"/>
  </r>
  <r>
    <n v="57"/>
    <x v="0"/>
    <x v="2"/>
    <n v="18000"/>
  </r>
  <r>
    <n v="57"/>
    <x v="0"/>
    <x v="3"/>
    <n v="18000"/>
  </r>
  <r>
    <n v="57"/>
    <x v="0"/>
    <x v="5"/>
    <n v="18000"/>
  </r>
  <r>
    <n v="57"/>
    <x v="0"/>
    <x v="50"/>
    <n v="18000"/>
  </r>
  <r>
    <n v="57"/>
    <x v="0"/>
    <x v="6"/>
    <n v="18000"/>
  </r>
  <r>
    <n v="57"/>
    <x v="0"/>
    <x v="7"/>
    <n v="18000"/>
  </r>
  <r>
    <n v="57"/>
    <x v="0"/>
    <x v="8"/>
    <n v="18000"/>
  </r>
  <r>
    <n v="57"/>
    <x v="0"/>
    <x v="9"/>
    <n v="18000"/>
  </r>
  <r>
    <n v="57"/>
    <x v="0"/>
    <x v="10"/>
    <n v="18000"/>
  </r>
  <r>
    <n v="57"/>
    <x v="0"/>
    <x v="11"/>
    <n v="18000"/>
  </r>
  <r>
    <n v="57"/>
    <x v="1"/>
    <x v="26"/>
    <n v="16"/>
  </r>
  <r>
    <n v="57"/>
    <x v="1"/>
    <x v="67"/>
    <n v="13"/>
  </r>
  <r>
    <n v="57"/>
    <x v="1"/>
    <x v="53"/>
    <n v="13"/>
  </r>
  <r>
    <n v="58"/>
    <x v="0"/>
    <x v="54"/>
    <n v="800"/>
  </r>
  <r>
    <n v="59"/>
    <x v="0"/>
    <x v="0"/>
    <n v="1300"/>
  </r>
  <r>
    <n v="59"/>
    <x v="0"/>
    <x v="49"/>
    <n v="1300"/>
  </r>
  <r>
    <n v="59"/>
    <x v="0"/>
    <x v="1"/>
    <n v="1300"/>
  </r>
  <r>
    <n v="59"/>
    <x v="0"/>
    <x v="2"/>
    <n v="1300"/>
  </r>
  <r>
    <n v="59"/>
    <x v="0"/>
    <x v="3"/>
    <n v="1300"/>
  </r>
  <r>
    <n v="59"/>
    <x v="0"/>
    <x v="4"/>
    <n v="1300"/>
  </r>
  <r>
    <n v="59"/>
    <x v="0"/>
    <x v="5"/>
    <n v="1300"/>
  </r>
  <r>
    <n v="59"/>
    <x v="0"/>
    <x v="50"/>
    <n v="1300"/>
  </r>
  <r>
    <n v="59"/>
    <x v="0"/>
    <x v="6"/>
    <n v="1300"/>
  </r>
  <r>
    <n v="59"/>
    <x v="0"/>
    <x v="7"/>
    <n v="1300"/>
  </r>
  <r>
    <n v="59"/>
    <x v="0"/>
    <x v="8"/>
    <n v="1300"/>
  </r>
  <r>
    <n v="59"/>
    <x v="0"/>
    <x v="9"/>
    <n v="1300"/>
  </r>
  <r>
    <n v="59"/>
    <x v="0"/>
    <x v="10"/>
    <n v="1300"/>
  </r>
  <r>
    <n v="59"/>
    <x v="0"/>
    <x v="11"/>
    <n v="1300"/>
  </r>
  <r>
    <n v="60"/>
    <x v="0"/>
    <x v="0"/>
    <n v="2500"/>
  </r>
  <r>
    <n v="60"/>
    <x v="0"/>
    <x v="49"/>
    <n v="2500"/>
  </r>
  <r>
    <n v="60"/>
    <x v="0"/>
    <x v="1"/>
    <n v="2500"/>
  </r>
  <r>
    <n v="60"/>
    <x v="0"/>
    <x v="2"/>
    <n v="2500"/>
  </r>
  <r>
    <n v="60"/>
    <x v="0"/>
    <x v="3"/>
    <n v="2500"/>
  </r>
  <r>
    <n v="60"/>
    <x v="0"/>
    <x v="4"/>
    <n v="2500"/>
  </r>
  <r>
    <n v="60"/>
    <x v="0"/>
    <x v="5"/>
    <n v="2500"/>
  </r>
  <r>
    <n v="60"/>
    <x v="0"/>
    <x v="35"/>
    <n v="2500"/>
  </r>
  <r>
    <n v="60"/>
    <x v="0"/>
    <x v="6"/>
    <n v="2500"/>
  </r>
  <r>
    <n v="60"/>
    <x v="0"/>
    <x v="7"/>
    <n v="2500"/>
  </r>
  <r>
    <n v="60"/>
    <x v="0"/>
    <x v="8"/>
    <n v="2500"/>
  </r>
  <r>
    <n v="60"/>
    <x v="0"/>
    <x v="9"/>
    <n v="2500"/>
  </r>
  <r>
    <n v="60"/>
    <x v="0"/>
    <x v="10"/>
    <n v="2500"/>
  </r>
  <r>
    <n v="60"/>
    <x v="0"/>
    <x v="11"/>
    <n v="2500"/>
  </r>
  <r>
    <n v="60"/>
    <x v="0"/>
    <x v="12"/>
    <n v="2500"/>
  </r>
  <r>
    <n v="60"/>
    <x v="0"/>
    <x v="13"/>
    <n v="2500"/>
  </r>
  <r>
    <n v="60"/>
    <x v="0"/>
    <x v="14"/>
    <n v="2500"/>
  </r>
  <r>
    <n v="60"/>
    <x v="0"/>
    <x v="15"/>
    <n v="2500"/>
  </r>
  <r>
    <n v="60"/>
    <x v="0"/>
    <x v="16"/>
    <n v="2500"/>
  </r>
  <r>
    <n v="60"/>
    <x v="0"/>
    <x v="51"/>
    <n v="2500"/>
  </r>
  <r>
    <n v="60"/>
    <x v="0"/>
    <x v="17"/>
    <n v="2500"/>
  </r>
  <r>
    <n v="60"/>
    <x v="0"/>
    <x v="18"/>
    <n v="2500"/>
  </r>
  <r>
    <n v="60"/>
    <x v="0"/>
    <x v="19"/>
    <n v="2500"/>
  </r>
  <r>
    <n v="60"/>
    <x v="0"/>
    <x v="20"/>
    <n v="2500"/>
  </r>
  <r>
    <n v="60"/>
    <x v="0"/>
    <x v="21"/>
    <n v="2500"/>
  </r>
  <r>
    <n v="60"/>
    <x v="0"/>
    <x v="22"/>
    <n v="2500"/>
  </r>
  <r>
    <n v="60"/>
    <x v="0"/>
    <x v="23"/>
    <n v="2500"/>
  </r>
  <r>
    <n v="60"/>
    <x v="0"/>
    <x v="24"/>
    <n v="2500"/>
  </r>
  <r>
    <n v="60"/>
    <x v="0"/>
    <x v="25"/>
    <n v="2500"/>
  </r>
  <r>
    <n v="60"/>
    <x v="1"/>
    <x v="48"/>
    <n v="5"/>
  </r>
  <r>
    <n v="60"/>
    <x v="1"/>
    <x v="67"/>
    <n v="5"/>
  </r>
  <r>
    <n v="60"/>
    <x v="1"/>
    <x v="53"/>
    <n v="6"/>
  </r>
  <r>
    <n v="61"/>
    <x v="0"/>
    <x v="29"/>
    <n v="1000"/>
  </r>
  <r>
    <n v="61"/>
    <x v="0"/>
    <x v="30"/>
    <n v="1000"/>
  </r>
  <r>
    <n v="61"/>
    <x v="0"/>
    <x v="43"/>
    <n v="800"/>
  </r>
  <r>
    <n v="61"/>
    <x v="0"/>
    <x v="45"/>
    <n v="800"/>
  </r>
  <r>
    <n v="61"/>
    <x v="0"/>
    <x v="46"/>
    <n v="800"/>
  </r>
  <r>
    <n v="61"/>
    <x v="0"/>
    <x v="56"/>
    <n v="800"/>
  </r>
  <r>
    <n v="61"/>
    <x v="0"/>
    <x v="47"/>
    <n v="800"/>
  </r>
  <r>
    <n v="61"/>
    <x v="0"/>
    <x v="57"/>
    <n v="800"/>
  </r>
  <r>
    <n v="61"/>
    <x v="0"/>
    <x v="58"/>
    <n v="800"/>
  </r>
  <r>
    <n v="61"/>
    <x v="0"/>
    <x v="59"/>
    <n v="800"/>
  </r>
  <r>
    <n v="62"/>
    <x v="0"/>
    <x v="24"/>
    <n v="1400"/>
  </r>
  <r>
    <n v="63"/>
    <x v="0"/>
    <x v="0"/>
    <n v="4000"/>
  </r>
  <r>
    <n v="63"/>
    <x v="0"/>
    <x v="49"/>
    <n v="4000"/>
  </r>
  <r>
    <n v="63"/>
    <x v="0"/>
    <x v="1"/>
    <n v="4000"/>
  </r>
  <r>
    <n v="63"/>
    <x v="0"/>
    <x v="2"/>
    <n v="4000"/>
  </r>
  <r>
    <n v="63"/>
    <x v="0"/>
    <x v="3"/>
    <n v="4000"/>
  </r>
  <r>
    <n v="63"/>
    <x v="0"/>
    <x v="4"/>
    <n v="4000"/>
  </r>
  <r>
    <n v="63"/>
    <x v="0"/>
    <x v="5"/>
    <n v="4000"/>
  </r>
  <r>
    <n v="63"/>
    <x v="0"/>
    <x v="50"/>
    <n v="4000"/>
  </r>
  <r>
    <n v="63"/>
    <x v="0"/>
    <x v="6"/>
    <n v="4000"/>
  </r>
  <r>
    <n v="63"/>
    <x v="0"/>
    <x v="7"/>
    <n v="4000"/>
  </r>
  <r>
    <n v="63"/>
    <x v="0"/>
    <x v="8"/>
    <n v="4000"/>
  </r>
  <r>
    <n v="63"/>
    <x v="0"/>
    <x v="9"/>
    <n v="4000"/>
  </r>
  <r>
    <n v="63"/>
    <x v="0"/>
    <x v="10"/>
    <n v="4000"/>
  </r>
  <r>
    <n v="63"/>
    <x v="0"/>
    <x v="11"/>
    <n v="4000"/>
  </r>
  <r>
    <n v="63"/>
    <x v="0"/>
    <x v="12"/>
    <n v="4000"/>
  </r>
  <r>
    <n v="63"/>
    <x v="0"/>
    <x v="13"/>
    <n v="4000"/>
  </r>
  <r>
    <n v="63"/>
    <x v="0"/>
    <x v="14"/>
    <n v="4000"/>
  </r>
  <r>
    <n v="63"/>
    <x v="0"/>
    <x v="15"/>
    <n v="4000"/>
  </r>
  <r>
    <n v="63"/>
    <x v="0"/>
    <x v="16"/>
    <n v="4000"/>
  </r>
  <r>
    <n v="63"/>
    <x v="0"/>
    <x v="51"/>
    <n v="4000"/>
  </r>
  <r>
    <n v="63"/>
    <x v="0"/>
    <x v="17"/>
    <n v="4000"/>
  </r>
  <r>
    <n v="63"/>
    <x v="1"/>
    <x v="26"/>
    <n v="6"/>
  </r>
  <r>
    <n v="63"/>
    <x v="1"/>
    <x v="67"/>
    <n v="5"/>
  </r>
  <r>
    <n v="64"/>
    <x v="0"/>
    <x v="13"/>
    <n v="5700"/>
  </r>
  <r>
    <n v="64"/>
    <x v="0"/>
    <x v="14"/>
    <n v="5700"/>
  </r>
  <r>
    <n v="64"/>
    <x v="0"/>
    <x v="15"/>
    <n v="5700"/>
  </r>
  <r>
    <n v="64"/>
    <x v="0"/>
    <x v="16"/>
    <n v="5700"/>
  </r>
  <r>
    <n v="64"/>
    <x v="0"/>
    <x v="51"/>
    <n v="5700"/>
  </r>
  <r>
    <n v="64"/>
    <x v="0"/>
    <x v="17"/>
    <n v="5700"/>
  </r>
  <r>
    <n v="64"/>
    <x v="0"/>
    <x v="18"/>
    <n v="5700"/>
  </r>
  <r>
    <n v="64"/>
    <x v="0"/>
    <x v="19"/>
    <n v="5700"/>
  </r>
  <r>
    <n v="64"/>
    <x v="0"/>
    <x v="20"/>
    <n v="5700"/>
  </r>
  <r>
    <n v="64"/>
    <x v="0"/>
    <x v="59"/>
    <n v="5700"/>
  </r>
  <r>
    <n v="64"/>
    <x v="0"/>
    <x v="22"/>
    <n v="5700"/>
  </r>
  <r>
    <n v="64"/>
    <x v="0"/>
    <x v="23"/>
    <n v="5700"/>
  </r>
  <r>
    <n v="64"/>
    <x v="0"/>
    <x v="62"/>
    <n v="5700"/>
  </r>
  <r>
    <n v="64"/>
    <x v="0"/>
    <x v="25"/>
    <n v="5700"/>
  </r>
  <r>
    <n v="65"/>
    <x v="0"/>
    <x v="29"/>
    <n v="14500"/>
  </r>
  <r>
    <n v="65"/>
    <x v="0"/>
    <x v="30"/>
    <n v="14500"/>
  </r>
  <r>
    <n v="65"/>
    <x v="0"/>
    <x v="31"/>
    <n v="16000"/>
  </r>
  <r>
    <n v="65"/>
    <x v="0"/>
    <x v="32"/>
    <n v="16000"/>
  </r>
  <r>
    <n v="65"/>
    <x v="0"/>
    <x v="33"/>
    <n v="16000"/>
  </r>
  <r>
    <n v="65"/>
    <x v="0"/>
    <x v="34"/>
    <n v="16000"/>
  </r>
  <r>
    <n v="65"/>
    <x v="0"/>
    <x v="35"/>
    <n v="16000"/>
  </r>
  <r>
    <n v="65"/>
    <x v="0"/>
    <x v="36"/>
    <n v="16000"/>
  </r>
  <r>
    <n v="65"/>
    <x v="0"/>
    <x v="37"/>
    <n v="19200"/>
  </r>
  <r>
    <n v="65"/>
    <x v="0"/>
    <x v="38"/>
    <n v="19200"/>
  </r>
  <r>
    <n v="65"/>
    <x v="0"/>
    <x v="39"/>
    <n v="19200"/>
  </r>
  <r>
    <n v="65"/>
    <x v="0"/>
    <x v="40"/>
    <n v="19200"/>
  </r>
  <r>
    <n v="65"/>
    <x v="0"/>
    <x v="41"/>
    <n v="19200"/>
  </r>
  <r>
    <n v="65"/>
    <x v="0"/>
    <x v="42"/>
    <n v="19200"/>
  </r>
  <r>
    <n v="65"/>
    <x v="0"/>
    <x v="43"/>
    <n v="20000"/>
  </r>
  <r>
    <n v="65"/>
    <x v="0"/>
    <x v="44"/>
    <n v="20000"/>
  </r>
  <r>
    <n v="65"/>
    <x v="0"/>
    <x v="45"/>
    <n v="20000"/>
  </r>
  <r>
    <n v="65"/>
    <x v="0"/>
    <x v="55"/>
    <n v="20000"/>
  </r>
  <r>
    <n v="65"/>
    <x v="0"/>
    <x v="46"/>
    <n v="20000"/>
  </r>
  <r>
    <n v="65"/>
    <x v="0"/>
    <x v="56"/>
    <n v="20000"/>
  </r>
  <r>
    <n v="65"/>
    <x v="0"/>
    <x v="47"/>
    <n v="20000"/>
  </r>
  <r>
    <n v="65"/>
    <x v="0"/>
    <x v="52"/>
    <n v="20000"/>
  </r>
  <r>
    <n v="65"/>
    <x v="0"/>
    <x v="57"/>
    <n v="20000"/>
  </r>
  <r>
    <n v="65"/>
    <x v="0"/>
    <x v="58"/>
    <n v="20000"/>
  </r>
  <r>
    <n v="65"/>
    <x v="0"/>
    <x v="59"/>
    <n v="20000"/>
  </r>
  <r>
    <n v="65"/>
    <x v="0"/>
    <x v="60"/>
    <n v="20000"/>
  </r>
  <r>
    <n v="65"/>
    <x v="0"/>
    <x v="61"/>
    <n v="20000"/>
  </r>
  <r>
    <n v="65"/>
    <x v="0"/>
    <x v="62"/>
    <n v="20000"/>
  </r>
  <r>
    <n v="65"/>
    <x v="0"/>
    <x v="63"/>
    <n v="20000"/>
  </r>
  <r>
    <n v="65"/>
    <x v="1"/>
    <x v="48"/>
    <n v="16"/>
  </r>
  <r>
    <n v="65"/>
    <x v="1"/>
    <x v="64"/>
    <n v="16"/>
  </r>
  <r>
    <n v="66"/>
    <x v="0"/>
    <x v="0"/>
    <n v="3000"/>
  </r>
  <r>
    <n v="66"/>
    <x v="0"/>
    <x v="49"/>
    <n v="3000"/>
  </r>
  <r>
    <n v="66"/>
    <x v="0"/>
    <x v="1"/>
    <n v="3000"/>
  </r>
  <r>
    <n v="66"/>
    <x v="0"/>
    <x v="2"/>
    <n v="3000"/>
  </r>
  <r>
    <n v="66"/>
    <x v="0"/>
    <x v="3"/>
    <n v="3000"/>
  </r>
  <r>
    <n v="66"/>
    <x v="0"/>
    <x v="4"/>
    <n v="3000"/>
  </r>
  <r>
    <n v="66"/>
    <x v="0"/>
    <x v="5"/>
    <n v="3000"/>
  </r>
  <r>
    <n v="66"/>
    <x v="0"/>
    <x v="50"/>
    <n v="3000"/>
  </r>
  <r>
    <n v="66"/>
    <x v="0"/>
    <x v="6"/>
    <n v="2700"/>
  </r>
  <r>
    <n v="66"/>
    <x v="0"/>
    <x v="7"/>
    <n v="2700"/>
  </r>
  <r>
    <n v="66"/>
    <x v="0"/>
    <x v="8"/>
    <n v="2700"/>
  </r>
  <r>
    <n v="66"/>
    <x v="0"/>
    <x v="9"/>
    <n v="2700"/>
  </r>
  <r>
    <n v="66"/>
    <x v="0"/>
    <x v="10"/>
    <n v="2700"/>
  </r>
  <r>
    <n v="66"/>
    <x v="0"/>
    <x v="11"/>
    <n v="2700"/>
  </r>
  <r>
    <n v="66"/>
    <x v="0"/>
    <x v="12"/>
    <n v="2700"/>
  </r>
  <r>
    <n v="66"/>
    <x v="0"/>
    <x v="13"/>
    <n v="2700"/>
  </r>
  <r>
    <n v="66"/>
    <x v="0"/>
    <x v="14"/>
    <n v="2700"/>
  </r>
  <r>
    <n v="66"/>
    <x v="0"/>
    <x v="15"/>
    <n v="2700"/>
  </r>
  <r>
    <n v="66"/>
    <x v="0"/>
    <x v="16"/>
    <n v="2700"/>
  </r>
  <r>
    <n v="66"/>
    <x v="0"/>
    <x v="51"/>
    <n v="2700"/>
  </r>
  <r>
    <n v="66"/>
    <x v="0"/>
    <x v="17"/>
    <n v="2700"/>
  </r>
  <r>
    <n v="66"/>
    <x v="0"/>
    <x v="18"/>
    <n v="2700"/>
  </r>
  <r>
    <n v="66"/>
    <x v="0"/>
    <x v="19"/>
    <n v="2700"/>
  </r>
  <r>
    <n v="66"/>
    <x v="0"/>
    <x v="20"/>
    <n v="2700"/>
  </r>
  <r>
    <n v="66"/>
    <x v="0"/>
    <x v="21"/>
    <n v="2700"/>
  </r>
  <r>
    <n v="66"/>
    <x v="0"/>
    <x v="22"/>
    <n v="2700"/>
  </r>
  <r>
    <n v="66"/>
    <x v="0"/>
    <x v="23"/>
    <n v="2700"/>
  </r>
  <r>
    <n v="66"/>
    <x v="0"/>
    <x v="24"/>
    <n v="2700"/>
  </r>
  <r>
    <n v="66"/>
    <x v="0"/>
    <x v="25"/>
    <n v="2700"/>
  </r>
  <r>
    <n v="66"/>
    <x v="1"/>
    <x v="83"/>
    <n v="6"/>
  </r>
  <r>
    <n v="66"/>
    <x v="1"/>
    <x v="84"/>
    <n v="2"/>
  </r>
  <r>
    <n v="66"/>
    <x v="1"/>
    <x v="53"/>
    <n v="1"/>
  </r>
  <r>
    <n v="67"/>
    <x v="0"/>
    <x v="29"/>
    <n v="10000"/>
  </r>
  <r>
    <n v="67"/>
    <x v="0"/>
    <x v="30"/>
    <n v="10000"/>
  </r>
  <r>
    <n v="67"/>
    <x v="0"/>
    <x v="31"/>
    <n v="10000"/>
  </r>
  <r>
    <n v="67"/>
    <x v="0"/>
    <x v="32"/>
    <n v="10000"/>
  </r>
  <r>
    <n v="67"/>
    <x v="0"/>
    <x v="34"/>
    <n v="10000"/>
  </r>
  <r>
    <n v="67"/>
    <x v="0"/>
    <x v="35"/>
    <n v="10000"/>
  </r>
  <r>
    <n v="67"/>
    <x v="0"/>
    <x v="36"/>
    <n v="10000"/>
  </r>
  <r>
    <n v="67"/>
    <x v="0"/>
    <x v="37"/>
    <n v="8000"/>
  </r>
  <r>
    <n v="67"/>
    <x v="0"/>
    <x v="38"/>
    <n v="8000"/>
  </r>
  <r>
    <n v="67"/>
    <x v="0"/>
    <x v="39"/>
    <n v="8000"/>
  </r>
  <r>
    <n v="67"/>
    <x v="0"/>
    <x v="40"/>
    <n v="8000"/>
  </r>
  <r>
    <n v="67"/>
    <x v="0"/>
    <x v="41"/>
    <n v="8000"/>
  </r>
  <r>
    <n v="67"/>
    <x v="0"/>
    <x v="42"/>
    <n v="8000"/>
  </r>
  <r>
    <n v="67"/>
    <x v="0"/>
    <x v="43"/>
    <n v="8000"/>
  </r>
  <r>
    <n v="67"/>
    <x v="0"/>
    <x v="44"/>
    <n v="8000"/>
  </r>
  <r>
    <n v="67"/>
    <x v="0"/>
    <x v="45"/>
    <n v="8000"/>
  </r>
  <r>
    <n v="67"/>
    <x v="0"/>
    <x v="55"/>
    <n v="8000"/>
  </r>
  <r>
    <n v="67"/>
    <x v="0"/>
    <x v="46"/>
    <n v="8000"/>
  </r>
  <r>
    <n v="67"/>
    <x v="0"/>
    <x v="56"/>
    <n v="8000"/>
  </r>
  <r>
    <n v="67"/>
    <x v="1"/>
    <x v="64"/>
    <n v="1"/>
  </r>
  <r>
    <n v="67"/>
    <x v="1"/>
    <x v="65"/>
    <n v="2"/>
  </r>
  <r>
    <n v="68"/>
    <x v="1"/>
    <x v="85"/>
    <n v="4"/>
  </r>
  <r>
    <n v="69"/>
    <x v="0"/>
    <x v="29"/>
    <n v="1400"/>
  </r>
  <r>
    <n v="69"/>
    <x v="0"/>
    <x v="30"/>
    <n v="1400"/>
  </r>
  <r>
    <n v="69"/>
    <x v="0"/>
    <x v="31"/>
    <n v="1400"/>
  </r>
  <r>
    <n v="69"/>
    <x v="0"/>
    <x v="32"/>
    <n v="1400"/>
  </r>
  <r>
    <n v="69"/>
    <x v="0"/>
    <x v="33"/>
    <n v="1400"/>
  </r>
  <r>
    <n v="69"/>
    <x v="0"/>
    <x v="34"/>
    <n v="1400"/>
  </r>
  <r>
    <n v="69"/>
    <x v="0"/>
    <x v="35"/>
    <n v="1400"/>
  </r>
  <r>
    <n v="69"/>
    <x v="0"/>
    <x v="36"/>
    <n v="1400"/>
  </r>
  <r>
    <n v="69"/>
    <x v="0"/>
    <x v="37"/>
    <n v="1600"/>
  </r>
  <r>
    <n v="69"/>
    <x v="0"/>
    <x v="38"/>
    <n v="1600"/>
  </r>
  <r>
    <n v="69"/>
    <x v="0"/>
    <x v="39"/>
    <n v="1600"/>
  </r>
  <r>
    <n v="69"/>
    <x v="0"/>
    <x v="40"/>
    <n v="1600"/>
  </r>
  <r>
    <n v="69"/>
    <x v="0"/>
    <x v="41"/>
    <n v="1600"/>
  </r>
  <r>
    <n v="69"/>
    <x v="0"/>
    <x v="42"/>
    <n v="1600"/>
  </r>
  <r>
    <n v="69"/>
    <x v="0"/>
    <x v="43"/>
    <n v="2000"/>
  </r>
  <r>
    <n v="69"/>
    <x v="0"/>
    <x v="44"/>
    <n v="2000"/>
  </r>
  <r>
    <n v="69"/>
    <x v="0"/>
    <x v="45"/>
    <n v="2000"/>
  </r>
  <r>
    <n v="69"/>
    <x v="0"/>
    <x v="55"/>
    <n v="2000"/>
  </r>
  <r>
    <n v="69"/>
    <x v="0"/>
    <x v="46"/>
    <n v="2000"/>
  </r>
  <r>
    <n v="69"/>
    <x v="0"/>
    <x v="56"/>
    <n v="2000"/>
  </r>
  <r>
    <n v="69"/>
    <x v="0"/>
    <x v="47"/>
    <n v="2400"/>
  </r>
  <r>
    <n v="69"/>
    <x v="0"/>
    <x v="52"/>
    <n v="2400"/>
  </r>
  <r>
    <n v="69"/>
    <x v="0"/>
    <x v="57"/>
    <n v="2400"/>
  </r>
  <r>
    <n v="69"/>
    <x v="0"/>
    <x v="58"/>
    <n v="2400"/>
  </r>
  <r>
    <n v="69"/>
    <x v="0"/>
    <x v="59"/>
    <n v="2400"/>
  </r>
  <r>
    <n v="69"/>
    <x v="0"/>
    <x v="60"/>
    <n v="2400"/>
  </r>
  <r>
    <n v="69"/>
    <x v="0"/>
    <x v="61"/>
    <n v="2400"/>
  </r>
  <r>
    <n v="69"/>
    <x v="0"/>
    <x v="62"/>
    <n v="2400"/>
  </r>
  <r>
    <n v="69"/>
    <x v="0"/>
    <x v="63"/>
    <n v="2400"/>
  </r>
  <r>
    <n v="69"/>
    <x v="1"/>
    <x v="48"/>
    <n v="5"/>
  </r>
  <r>
    <n v="69"/>
    <x v="1"/>
    <x v="64"/>
    <n v="5"/>
  </r>
  <r>
    <n v="69"/>
    <x v="1"/>
    <x v="65"/>
    <n v="5"/>
  </r>
  <r>
    <n v="70"/>
    <x v="0"/>
    <x v="0"/>
    <n v="9500"/>
  </r>
  <r>
    <n v="70"/>
    <x v="0"/>
    <x v="49"/>
    <n v="9500"/>
  </r>
  <r>
    <n v="70"/>
    <x v="0"/>
    <x v="1"/>
    <n v="9500"/>
  </r>
  <r>
    <n v="70"/>
    <x v="0"/>
    <x v="2"/>
    <n v="9500"/>
  </r>
  <r>
    <n v="70"/>
    <x v="0"/>
    <x v="3"/>
    <n v="9500"/>
  </r>
  <r>
    <n v="70"/>
    <x v="0"/>
    <x v="4"/>
    <n v="9500"/>
  </r>
  <r>
    <n v="70"/>
    <x v="0"/>
    <x v="9"/>
    <n v="9500"/>
  </r>
  <r>
    <n v="70"/>
    <x v="0"/>
    <x v="10"/>
    <n v="9500"/>
  </r>
  <r>
    <n v="70"/>
    <x v="0"/>
    <x v="11"/>
    <n v="9500"/>
  </r>
  <r>
    <n v="70"/>
    <x v="0"/>
    <x v="12"/>
    <n v="9500"/>
  </r>
  <r>
    <n v="71"/>
    <x v="0"/>
    <x v="0"/>
    <n v="4100"/>
  </r>
  <r>
    <n v="71"/>
    <x v="0"/>
    <x v="49"/>
    <n v="4100"/>
  </r>
  <r>
    <n v="72"/>
    <x v="1"/>
    <x v="65"/>
    <n v="2"/>
  </r>
  <r>
    <n v="73"/>
    <x v="0"/>
    <x v="23"/>
    <n v="10000"/>
  </r>
  <r>
    <n v="73"/>
    <x v="0"/>
    <x v="24"/>
    <n v="10000"/>
  </r>
  <r>
    <n v="73"/>
    <x v="0"/>
    <x v="25"/>
    <n v="10000"/>
  </r>
  <r>
    <n v="73"/>
    <x v="1"/>
    <x v="86"/>
    <n v="13"/>
  </r>
  <r>
    <n v="73"/>
    <x v="1"/>
    <x v="67"/>
    <n v="13"/>
  </r>
  <r>
    <n v="73"/>
    <x v="1"/>
    <x v="53"/>
    <n v="10"/>
  </r>
  <r>
    <n v="74"/>
    <x v="0"/>
    <x v="0"/>
    <n v="200"/>
  </r>
  <r>
    <n v="74"/>
    <x v="0"/>
    <x v="2"/>
    <n v="200"/>
  </r>
  <r>
    <n v="74"/>
    <x v="0"/>
    <x v="6"/>
    <n v="200"/>
  </r>
  <r>
    <n v="74"/>
    <x v="0"/>
    <x v="7"/>
    <n v="200"/>
  </r>
  <r>
    <n v="74"/>
    <x v="0"/>
    <x v="8"/>
    <n v="200"/>
  </r>
  <r>
    <n v="74"/>
    <x v="0"/>
    <x v="9"/>
    <n v="3000"/>
  </r>
  <r>
    <n v="74"/>
    <x v="0"/>
    <x v="10"/>
    <n v="3000"/>
  </r>
  <r>
    <n v="74"/>
    <x v="0"/>
    <x v="11"/>
    <n v="3000"/>
  </r>
  <r>
    <n v="74"/>
    <x v="0"/>
    <x v="12"/>
    <n v="3000"/>
  </r>
  <r>
    <n v="74"/>
    <x v="0"/>
    <x v="13"/>
    <n v="3000"/>
  </r>
  <r>
    <n v="74"/>
    <x v="0"/>
    <x v="14"/>
    <n v="3000"/>
  </r>
  <r>
    <n v="74"/>
    <x v="0"/>
    <x v="15"/>
    <n v="3000"/>
  </r>
  <r>
    <n v="74"/>
    <x v="0"/>
    <x v="16"/>
    <n v="3000"/>
  </r>
  <r>
    <n v="74"/>
    <x v="0"/>
    <x v="51"/>
    <n v="3000"/>
  </r>
  <r>
    <n v="74"/>
    <x v="0"/>
    <x v="17"/>
    <n v="3000"/>
  </r>
  <r>
    <n v="74"/>
    <x v="0"/>
    <x v="18"/>
    <n v="3600"/>
  </r>
  <r>
    <n v="74"/>
    <x v="0"/>
    <x v="19"/>
    <n v="3600"/>
  </r>
  <r>
    <n v="74"/>
    <x v="0"/>
    <x v="20"/>
    <n v="3600"/>
  </r>
  <r>
    <n v="74"/>
    <x v="0"/>
    <x v="21"/>
    <n v="3600"/>
  </r>
  <r>
    <n v="74"/>
    <x v="0"/>
    <x v="22"/>
    <n v="3600"/>
  </r>
  <r>
    <n v="74"/>
    <x v="0"/>
    <x v="23"/>
    <n v="3600"/>
  </r>
  <r>
    <n v="74"/>
    <x v="0"/>
    <x v="24"/>
    <n v="3600"/>
  </r>
  <r>
    <n v="74"/>
    <x v="0"/>
    <x v="25"/>
    <n v="3600"/>
  </r>
  <r>
    <n v="74"/>
    <x v="1"/>
    <x v="67"/>
    <n v="4"/>
  </r>
  <r>
    <n v="74"/>
    <x v="1"/>
    <x v="53"/>
    <n v="4"/>
  </r>
  <r>
    <n v="75"/>
    <x v="0"/>
    <x v="33"/>
    <n v="10000"/>
  </r>
  <r>
    <n v="75"/>
    <x v="0"/>
    <x v="34"/>
    <n v="10000"/>
  </r>
  <r>
    <n v="75"/>
    <x v="0"/>
    <x v="35"/>
    <n v="10000"/>
  </r>
  <r>
    <n v="75"/>
    <x v="0"/>
    <x v="36"/>
    <n v="10000"/>
  </r>
  <r>
    <n v="75"/>
    <x v="0"/>
    <x v="37"/>
    <n v="12000"/>
  </r>
  <r>
    <n v="75"/>
    <x v="0"/>
    <x v="38"/>
    <n v="12000"/>
  </r>
  <r>
    <n v="75"/>
    <x v="0"/>
    <x v="39"/>
    <n v="12000"/>
  </r>
  <r>
    <n v="75"/>
    <x v="0"/>
    <x v="40"/>
    <n v="12000"/>
  </r>
  <r>
    <n v="75"/>
    <x v="0"/>
    <x v="11"/>
    <n v="12000"/>
  </r>
  <r>
    <n v="75"/>
    <x v="0"/>
    <x v="42"/>
    <n v="12000"/>
  </r>
  <r>
    <n v="75"/>
    <x v="0"/>
    <x v="43"/>
    <n v="13200"/>
  </r>
  <r>
    <n v="75"/>
    <x v="0"/>
    <x v="44"/>
    <n v="13200"/>
  </r>
  <r>
    <n v="75"/>
    <x v="0"/>
    <x v="45"/>
    <n v="13200"/>
  </r>
  <r>
    <n v="75"/>
    <x v="0"/>
    <x v="55"/>
    <n v="13200"/>
  </r>
  <r>
    <n v="75"/>
    <x v="0"/>
    <x v="46"/>
    <n v="13200"/>
  </r>
  <r>
    <n v="75"/>
    <x v="0"/>
    <x v="56"/>
    <n v="13200"/>
  </r>
  <r>
    <n v="75"/>
    <x v="0"/>
    <x v="47"/>
    <n v="13200"/>
  </r>
  <r>
    <n v="75"/>
    <x v="0"/>
    <x v="52"/>
    <n v="13200"/>
  </r>
  <r>
    <n v="75"/>
    <x v="0"/>
    <x v="57"/>
    <n v="13200"/>
  </r>
  <r>
    <n v="75"/>
    <x v="0"/>
    <x v="58"/>
    <n v="13200"/>
  </r>
  <r>
    <n v="75"/>
    <x v="0"/>
    <x v="59"/>
    <n v="13200"/>
  </r>
  <r>
    <n v="75"/>
    <x v="0"/>
    <x v="60"/>
    <n v="13200"/>
  </r>
  <r>
    <n v="75"/>
    <x v="0"/>
    <x v="61"/>
    <n v="13200"/>
  </r>
  <r>
    <n v="75"/>
    <x v="0"/>
    <x v="25"/>
    <n v="13200"/>
  </r>
  <r>
    <n v="75"/>
    <x v="0"/>
    <x v="63"/>
    <n v="13200"/>
  </r>
  <r>
    <n v="75"/>
    <x v="1"/>
    <x v="87"/>
    <n v="16"/>
  </r>
  <r>
    <n v="75"/>
    <x v="1"/>
    <x v="88"/>
    <n v="16"/>
  </r>
  <r>
    <n v="76"/>
    <x v="1"/>
    <x v="89"/>
    <n v="10"/>
  </r>
  <r>
    <n v="77"/>
    <x v="0"/>
    <x v="37"/>
    <n v="7400"/>
  </r>
  <r>
    <n v="77"/>
    <x v="0"/>
    <x v="38"/>
    <n v="7400"/>
  </r>
  <r>
    <n v="77"/>
    <x v="0"/>
    <x v="40"/>
    <n v="7400"/>
  </r>
  <r>
    <n v="77"/>
    <x v="0"/>
    <x v="41"/>
    <n v="7400"/>
  </r>
  <r>
    <n v="77"/>
    <x v="0"/>
    <x v="43"/>
    <n v="7400"/>
  </r>
  <r>
    <n v="77"/>
    <x v="0"/>
    <x v="44"/>
    <n v="7400"/>
  </r>
  <r>
    <n v="77"/>
    <x v="0"/>
    <x v="55"/>
    <n v="7400"/>
  </r>
  <r>
    <n v="77"/>
    <x v="0"/>
    <x v="46"/>
    <n v="7400"/>
  </r>
  <r>
    <n v="77"/>
    <x v="1"/>
    <x v="86"/>
    <n v="8"/>
  </r>
  <r>
    <n v="77"/>
    <x v="1"/>
    <x v="90"/>
    <n v="10"/>
  </r>
  <r>
    <n v="78"/>
    <x v="0"/>
    <x v="1"/>
    <n v="300"/>
  </r>
  <r>
    <n v="78"/>
    <x v="0"/>
    <x v="4"/>
    <n v="300"/>
  </r>
  <r>
    <n v="78"/>
    <x v="0"/>
    <x v="6"/>
    <n v="300"/>
  </r>
  <r>
    <n v="78"/>
    <x v="0"/>
    <x v="9"/>
    <n v="300"/>
  </r>
  <r>
    <n v="78"/>
    <x v="0"/>
    <x v="12"/>
    <n v="300"/>
  </r>
  <r>
    <n v="78"/>
    <x v="0"/>
    <x v="15"/>
    <n v="300"/>
  </r>
  <r>
    <n v="78"/>
    <x v="0"/>
    <x v="17"/>
    <n v="300"/>
  </r>
  <r>
    <n v="79"/>
    <x v="0"/>
    <x v="91"/>
    <n v="5600"/>
  </r>
  <r>
    <n v="80"/>
    <x v="0"/>
    <x v="0"/>
    <n v="9600"/>
  </r>
  <r>
    <n v="80"/>
    <x v="0"/>
    <x v="49"/>
    <n v="9600"/>
  </r>
  <r>
    <n v="80"/>
    <x v="0"/>
    <x v="1"/>
    <n v="9600"/>
  </r>
  <r>
    <n v="80"/>
    <x v="0"/>
    <x v="2"/>
    <n v="9600"/>
  </r>
  <r>
    <n v="80"/>
    <x v="0"/>
    <x v="3"/>
    <n v="9600"/>
  </r>
  <r>
    <n v="80"/>
    <x v="0"/>
    <x v="4"/>
    <n v="9600"/>
  </r>
  <r>
    <n v="80"/>
    <x v="0"/>
    <x v="5"/>
    <n v="9600"/>
  </r>
  <r>
    <n v="80"/>
    <x v="0"/>
    <x v="50"/>
    <n v="9600"/>
  </r>
  <r>
    <n v="80"/>
    <x v="0"/>
    <x v="6"/>
    <n v="9600"/>
  </r>
  <r>
    <n v="80"/>
    <x v="0"/>
    <x v="7"/>
    <n v="9600"/>
  </r>
  <r>
    <n v="80"/>
    <x v="0"/>
    <x v="8"/>
    <n v="9600"/>
  </r>
  <r>
    <n v="80"/>
    <x v="0"/>
    <x v="9"/>
    <n v="9600"/>
  </r>
  <r>
    <n v="80"/>
    <x v="0"/>
    <x v="10"/>
    <n v="9600"/>
  </r>
  <r>
    <n v="80"/>
    <x v="0"/>
    <x v="11"/>
    <n v="9600"/>
  </r>
  <r>
    <n v="80"/>
    <x v="0"/>
    <x v="12"/>
    <n v="9600"/>
  </r>
  <r>
    <n v="80"/>
    <x v="0"/>
    <x v="13"/>
    <n v="9600"/>
  </r>
  <r>
    <n v="80"/>
    <x v="0"/>
    <x v="14"/>
    <n v="9600"/>
  </r>
  <r>
    <n v="80"/>
    <x v="0"/>
    <x v="15"/>
    <n v="9600"/>
  </r>
  <r>
    <n v="80"/>
    <x v="0"/>
    <x v="16"/>
    <n v="9600"/>
  </r>
  <r>
    <n v="80"/>
    <x v="0"/>
    <x v="51"/>
    <n v="9600"/>
  </r>
  <r>
    <n v="80"/>
    <x v="0"/>
    <x v="17"/>
    <n v="9600"/>
  </r>
  <r>
    <n v="80"/>
    <x v="0"/>
    <x v="18"/>
    <n v="9600"/>
  </r>
  <r>
    <n v="80"/>
    <x v="0"/>
    <x v="19"/>
    <n v="9600"/>
  </r>
  <r>
    <n v="80"/>
    <x v="0"/>
    <x v="20"/>
    <n v="9600"/>
  </r>
  <r>
    <n v="80"/>
    <x v="0"/>
    <x v="21"/>
    <n v="9600"/>
  </r>
  <r>
    <n v="80"/>
    <x v="0"/>
    <x v="22"/>
    <n v="9600"/>
  </r>
  <r>
    <n v="80"/>
    <x v="0"/>
    <x v="23"/>
    <n v="9600"/>
  </r>
  <r>
    <n v="80"/>
    <x v="0"/>
    <x v="24"/>
    <n v="9600"/>
  </r>
  <r>
    <n v="80"/>
    <x v="0"/>
    <x v="25"/>
    <n v="9600"/>
  </r>
  <r>
    <n v="81"/>
    <x v="0"/>
    <x v="29"/>
    <n v="4300"/>
  </r>
  <r>
    <n v="81"/>
    <x v="0"/>
    <x v="30"/>
    <n v="4300"/>
  </r>
  <r>
    <n v="81"/>
    <x v="0"/>
    <x v="31"/>
    <n v="4700"/>
  </r>
  <r>
    <n v="81"/>
    <x v="0"/>
    <x v="32"/>
    <n v="4700"/>
  </r>
  <r>
    <n v="81"/>
    <x v="0"/>
    <x v="33"/>
    <n v="4700"/>
  </r>
  <r>
    <n v="81"/>
    <x v="0"/>
    <x v="34"/>
    <n v="4700"/>
  </r>
  <r>
    <n v="81"/>
    <x v="0"/>
    <x v="35"/>
    <n v="4700"/>
  </r>
  <r>
    <n v="81"/>
    <x v="0"/>
    <x v="36"/>
    <n v="4700"/>
  </r>
  <r>
    <n v="81"/>
    <x v="0"/>
    <x v="38"/>
    <n v="5700"/>
  </r>
  <r>
    <n v="81"/>
    <x v="0"/>
    <x v="9"/>
    <n v="5700"/>
  </r>
  <r>
    <n v="81"/>
    <x v="0"/>
    <x v="40"/>
    <n v="5700"/>
  </r>
  <r>
    <n v="81"/>
    <x v="0"/>
    <x v="41"/>
    <n v="5700"/>
  </r>
  <r>
    <n v="81"/>
    <x v="0"/>
    <x v="42"/>
    <n v="5700"/>
  </r>
  <r>
    <n v="81"/>
    <x v="0"/>
    <x v="43"/>
    <n v="6900"/>
  </r>
  <r>
    <n v="81"/>
    <x v="0"/>
    <x v="44"/>
    <n v="6900"/>
  </r>
  <r>
    <n v="81"/>
    <x v="0"/>
    <x v="45"/>
    <n v="6900"/>
  </r>
  <r>
    <n v="81"/>
    <x v="0"/>
    <x v="55"/>
    <n v="6900"/>
  </r>
  <r>
    <n v="81"/>
    <x v="0"/>
    <x v="46"/>
    <n v="6900"/>
  </r>
  <r>
    <n v="81"/>
    <x v="0"/>
    <x v="56"/>
    <n v="6900"/>
  </r>
  <r>
    <n v="81"/>
    <x v="0"/>
    <x v="47"/>
    <n v="7600"/>
  </r>
  <r>
    <n v="81"/>
    <x v="0"/>
    <x v="52"/>
    <n v="7600"/>
  </r>
  <r>
    <n v="81"/>
    <x v="0"/>
    <x v="57"/>
    <n v="7600"/>
  </r>
  <r>
    <n v="81"/>
    <x v="0"/>
    <x v="58"/>
    <n v="7600"/>
  </r>
  <r>
    <n v="81"/>
    <x v="0"/>
    <x v="59"/>
    <n v="7600"/>
  </r>
  <r>
    <n v="81"/>
    <x v="0"/>
    <x v="60"/>
    <n v="7600"/>
  </r>
  <r>
    <n v="81"/>
    <x v="0"/>
    <x v="61"/>
    <n v="7600"/>
  </r>
  <r>
    <n v="81"/>
    <x v="0"/>
    <x v="62"/>
    <n v="7600"/>
  </r>
  <r>
    <n v="81"/>
    <x v="0"/>
    <x v="63"/>
    <n v="8400"/>
  </r>
  <r>
    <n v="81"/>
    <x v="1"/>
    <x v="48"/>
    <n v="10"/>
  </r>
  <r>
    <n v="81"/>
    <x v="1"/>
    <x v="64"/>
    <n v="10"/>
  </r>
  <r>
    <n v="81"/>
    <x v="1"/>
    <x v="65"/>
    <n v="13"/>
  </r>
  <r>
    <n v="82"/>
    <x v="0"/>
    <x v="1"/>
    <n v="1000"/>
  </r>
  <r>
    <n v="82"/>
    <x v="0"/>
    <x v="2"/>
    <n v="1000"/>
  </r>
  <r>
    <n v="82"/>
    <x v="0"/>
    <x v="3"/>
    <n v="1000"/>
  </r>
  <r>
    <n v="82"/>
    <x v="0"/>
    <x v="4"/>
    <n v="1000"/>
  </r>
  <r>
    <n v="82"/>
    <x v="0"/>
    <x v="5"/>
    <n v="1000"/>
  </r>
  <r>
    <n v="82"/>
    <x v="0"/>
    <x v="50"/>
    <n v="1000"/>
  </r>
  <r>
    <n v="82"/>
    <x v="0"/>
    <x v="6"/>
    <n v="1000"/>
  </r>
  <r>
    <n v="82"/>
    <x v="0"/>
    <x v="7"/>
    <n v="1000"/>
  </r>
  <r>
    <n v="82"/>
    <x v="0"/>
    <x v="8"/>
    <n v="1000"/>
  </r>
  <r>
    <n v="82"/>
    <x v="0"/>
    <x v="9"/>
    <n v="1000"/>
  </r>
  <r>
    <n v="82"/>
    <x v="0"/>
    <x v="10"/>
    <n v="1000"/>
  </r>
  <r>
    <n v="82"/>
    <x v="0"/>
    <x v="11"/>
    <n v="1000"/>
  </r>
  <r>
    <n v="82"/>
    <x v="0"/>
    <x v="16"/>
    <n v="800"/>
  </r>
  <r>
    <n v="82"/>
    <x v="0"/>
    <x v="51"/>
    <n v="800"/>
  </r>
  <r>
    <n v="82"/>
    <x v="0"/>
    <x v="17"/>
    <n v="800"/>
  </r>
  <r>
    <n v="82"/>
    <x v="0"/>
    <x v="18"/>
    <n v="800"/>
  </r>
  <r>
    <n v="82"/>
    <x v="0"/>
    <x v="19"/>
    <n v="800"/>
  </r>
  <r>
    <n v="82"/>
    <x v="0"/>
    <x v="20"/>
    <n v="800"/>
  </r>
  <r>
    <n v="82"/>
    <x v="0"/>
    <x v="21"/>
    <n v="800"/>
  </r>
  <r>
    <n v="82"/>
    <x v="0"/>
    <x v="22"/>
    <n v="800"/>
  </r>
  <r>
    <n v="82"/>
    <x v="0"/>
    <x v="23"/>
    <n v="800"/>
  </r>
  <r>
    <n v="82"/>
    <x v="0"/>
    <x v="24"/>
    <n v="800"/>
  </r>
  <r>
    <n v="82"/>
    <x v="0"/>
    <x v="25"/>
    <n v="800"/>
  </r>
  <r>
    <n v="82"/>
    <x v="1"/>
    <x v="26"/>
    <n v="2"/>
  </r>
  <r>
    <n v="82"/>
    <x v="1"/>
    <x v="67"/>
    <n v="1"/>
  </r>
  <r>
    <n v="82"/>
    <x v="1"/>
    <x v="67"/>
    <n v="2"/>
  </r>
  <r>
    <n v="82"/>
    <x v="1"/>
    <x v="53"/>
    <n v="3"/>
  </r>
  <r>
    <n v="83"/>
    <x v="0"/>
    <x v="13"/>
    <n v="4400"/>
  </r>
  <r>
    <n v="83"/>
    <x v="0"/>
    <x v="14"/>
    <n v="4400"/>
  </r>
  <r>
    <n v="83"/>
    <x v="0"/>
    <x v="15"/>
    <n v="4400"/>
  </r>
  <r>
    <n v="83"/>
    <x v="0"/>
    <x v="16"/>
    <n v="4400"/>
  </r>
  <r>
    <n v="83"/>
    <x v="0"/>
    <x v="51"/>
    <n v="4400"/>
  </r>
  <r>
    <n v="83"/>
    <x v="0"/>
    <x v="17"/>
    <n v="4400"/>
  </r>
  <r>
    <n v="83"/>
    <x v="0"/>
    <x v="18"/>
    <n v="5300"/>
  </r>
  <r>
    <n v="83"/>
    <x v="0"/>
    <x v="19"/>
    <n v="5300"/>
  </r>
  <r>
    <n v="83"/>
    <x v="0"/>
    <x v="20"/>
    <n v="5300"/>
  </r>
  <r>
    <n v="83"/>
    <x v="0"/>
    <x v="21"/>
    <n v="5300"/>
  </r>
  <r>
    <n v="83"/>
    <x v="0"/>
    <x v="22"/>
    <n v="5300"/>
  </r>
  <r>
    <n v="83"/>
    <x v="0"/>
    <x v="23"/>
    <n v="5300"/>
  </r>
  <r>
    <n v="83"/>
    <x v="0"/>
    <x v="24"/>
    <n v="5300"/>
  </r>
  <r>
    <n v="83"/>
    <x v="0"/>
    <x v="25"/>
    <n v="5300"/>
  </r>
  <r>
    <n v="83"/>
    <x v="1"/>
    <x v="26"/>
    <n v="8"/>
  </r>
  <r>
    <n v="83"/>
    <x v="1"/>
    <x v="53"/>
    <n v="2"/>
  </r>
  <r>
    <n v="84"/>
    <x v="1"/>
    <x v="73"/>
    <n v="3"/>
  </r>
  <r>
    <n v="85"/>
    <x v="0"/>
    <x v="31"/>
    <n v="14400"/>
  </r>
  <r>
    <n v="85"/>
    <x v="0"/>
    <x v="32"/>
    <n v="14400"/>
  </r>
  <r>
    <n v="85"/>
    <x v="0"/>
    <x v="33"/>
    <n v="14400"/>
  </r>
  <r>
    <n v="85"/>
    <x v="0"/>
    <x v="34"/>
    <n v="14400"/>
  </r>
  <r>
    <n v="85"/>
    <x v="0"/>
    <x v="35"/>
    <n v="14400"/>
  </r>
  <r>
    <n v="85"/>
    <x v="0"/>
    <x v="36"/>
    <n v="14400"/>
  </r>
  <r>
    <n v="85"/>
    <x v="0"/>
    <x v="37"/>
    <n v="14400"/>
  </r>
  <r>
    <n v="85"/>
    <x v="0"/>
    <x v="38"/>
    <n v="14400"/>
  </r>
  <r>
    <n v="85"/>
    <x v="0"/>
    <x v="39"/>
    <n v="14400"/>
  </r>
  <r>
    <n v="85"/>
    <x v="0"/>
    <x v="40"/>
    <n v="14400"/>
  </r>
  <r>
    <n v="85"/>
    <x v="0"/>
    <x v="41"/>
    <n v="14400"/>
  </r>
  <r>
    <n v="85"/>
    <x v="0"/>
    <x v="42"/>
    <n v="14400"/>
  </r>
  <r>
    <n v="85"/>
    <x v="0"/>
    <x v="47"/>
    <n v="13000"/>
  </r>
  <r>
    <n v="85"/>
    <x v="0"/>
    <x v="52"/>
    <n v="13000"/>
  </r>
  <r>
    <n v="85"/>
    <x v="0"/>
    <x v="57"/>
    <n v="13000"/>
  </r>
  <r>
    <n v="85"/>
    <x v="0"/>
    <x v="58"/>
    <n v="13000"/>
  </r>
  <r>
    <n v="85"/>
    <x v="0"/>
    <x v="59"/>
    <n v="13000"/>
  </r>
  <r>
    <n v="85"/>
    <x v="0"/>
    <x v="60"/>
    <n v="13000"/>
  </r>
  <r>
    <n v="85"/>
    <x v="0"/>
    <x v="61"/>
    <n v="13000"/>
  </r>
  <r>
    <n v="85"/>
    <x v="0"/>
    <x v="62"/>
    <n v="13000"/>
  </r>
  <r>
    <n v="85"/>
    <x v="0"/>
    <x v="63"/>
    <n v="13000"/>
  </r>
  <r>
    <n v="85"/>
    <x v="1"/>
    <x v="48"/>
    <n v="16"/>
  </r>
  <r>
    <n v="86"/>
    <x v="0"/>
    <x v="47"/>
    <n v="500"/>
  </r>
  <r>
    <n v="86"/>
    <x v="0"/>
    <x v="52"/>
    <n v="500"/>
  </r>
  <r>
    <n v="86"/>
    <x v="0"/>
    <x v="57"/>
    <n v="500"/>
  </r>
  <r>
    <n v="86"/>
    <x v="0"/>
    <x v="58"/>
    <n v="500"/>
  </r>
  <r>
    <n v="86"/>
    <x v="0"/>
    <x v="59"/>
    <n v="500"/>
  </r>
  <r>
    <n v="86"/>
    <x v="0"/>
    <x v="60"/>
    <n v="500"/>
  </r>
  <r>
    <n v="86"/>
    <x v="0"/>
    <x v="61"/>
    <n v="500"/>
  </r>
  <r>
    <n v="86"/>
    <x v="0"/>
    <x v="62"/>
    <n v="500"/>
  </r>
  <r>
    <n v="86"/>
    <x v="1"/>
    <x v="71"/>
    <n v="1"/>
  </r>
  <r>
    <n v="86"/>
    <x v="1"/>
    <x v="64"/>
    <n v="1"/>
  </r>
  <r>
    <n v="87"/>
    <x v="0"/>
    <x v="0"/>
    <n v="4400"/>
  </r>
  <r>
    <n v="87"/>
    <x v="0"/>
    <x v="49"/>
    <n v="4400"/>
  </r>
  <r>
    <n v="87"/>
    <x v="0"/>
    <x v="1"/>
    <n v="4400"/>
  </r>
  <r>
    <n v="87"/>
    <x v="0"/>
    <x v="2"/>
    <n v="4400"/>
  </r>
  <r>
    <n v="87"/>
    <x v="0"/>
    <x v="3"/>
    <n v="4400"/>
  </r>
  <r>
    <n v="87"/>
    <x v="0"/>
    <x v="4"/>
    <n v="4400"/>
  </r>
  <r>
    <n v="87"/>
    <x v="0"/>
    <x v="5"/>
    <n v="4400"/>
  </r>
  <r>
    <n v="87"/>
    <x v="0"/>
    <x v="50"/>
    <n v="4400"/>
  </r>
  <r>
    <n v="87"/>
    <x v="0"/>
    <x v="7"/>
    <n v="4400"/>
  </r>
  <r>
    <n v="87"/>
    <x v="0"/>
    <x v="9"/>
    <n v="4400"/>
  </r>
  <r>
    <n v="87"/>
    <x v="0"/>
    <x v="10"/>
    <n v="4400"/>
  </r>
  <r>
    <n v="87"/>
    <x v="0"/>
    <x v="11"/>
    <n v="4400"/>
  </r>
  <r>
    <n v="87"/>
    <x v="0"/>
    <x v="18"/>
    <n v="3100"/>
  </r>
  <r>
    <n v="87"/>
    <x v="0"/>
    <x v="19"/>
    <n v="3100"/>
  </r>
  <r>
    <n v="87"/>
    <x v="0"/>
    <x v="20"/>
    <n v="3100"/>
  </r>
  <r>
    <n v="87"/>
    <x v="0"/>
    <x v="21"/>
    <n v="3100"/>
  </r>
  <r>
    <n v="87"/>
    <x v="0"/>
    <x v="22"/>
    <n v="3100"/>
  </r>
  <r>
    <n v="87"/>
    <x v="0"/>
    <x v="23"/>
    <n v="3100"/>
  </r>
  <r>
    <n v="87"/>
    <x v="0"/>
    <x v="24"/>
    <n v="3100"/>
  </r>
  <r>
    <n v="87"/>
    <x v="0"/>
    <x v="25"/>
    <n v="3100"/>
  </r>
  <r>
    <n v="87"/>
    <x v="1"/>
    <x v="26"/>
    <n v="6"/>
  </r>
  <r>
    <n v="87"/>
    <x v="1"/>
    <x v="67"/>
    <n v="6"/>
  </r>
  <r>
    <n v="87"/>
    <x v="1"/>
    <x v="53"/>
    <n v="8"/>
  </r>
  <r>
    <n v="88"/>
    <x v="1"/>
    <x v="77"/>
    <n v="5"/>
  </r>
  <r>
    <n v="88"/>
    <x v="1"/>
    <x v="64"/>
    <n v="5"/>
  </r>
  <r>
    <n v="89"/>
    <x v="0"/>
    <x v="18"/>
    <n v="2200"/>
  </r>
  <r>
    <n v="89"/>
    <x v="0"/>
    <x v="19"/>
    <n v="2200"/>
  </r>
  <r>
    <n v="89"/>
    <x v="0"/>
    <x v="20"/>
    <n v="2200"/>
  </r>
  <r>
    <n v="89"/>
    <x v="0"/>
    <x v="21"/>
    <n v="2200"/>
  </r>
  <r>
    <n v="89"/>
    <x v="0"/>
    <x v="22"/>
    <n v="2200"/>
  </r>
  <r>
    <n v="89"/>
    <x v="0"/>
    <x v="23"/>
    <n v="2200"/>
  </r>
  <r>
    <n v="89"/>
    <x v="0"/>
    <x v="24"/>
    <n v="2200"/>
  </r>
  <r>
    <n v="89"/>
    <x v="0"/>
    <x v="25"/>
    <n v="2200"/>
  </r>
  <r>
    <n v="90"/>
    <x v="0"/>
    <x v="29"/>
    <n v="1000"/>
  </r>
  <r>
    <n v="90"/>
    <x v="0"/>
    <x v="30"/>
    <n v="1000"/>
  </r>
  <r>
    <n v="90"/>
    <x v="0"/>
    <x v="34"/>
    <n v="1000"/>
  </r>
  <r>
    <n v="90"/>
    <x v="0"/>
    <x v="35"/>
    <n v="1000"/>
  </r>
  <r>
    <n v="90"/>
    <x v="0"/>
    <x v="36"/>
    <n v="1000"/>
  </r>
  <r>
    <n v="90"/>
    <x v="0"/>
    <x v="37"/>
    <n v="1000"/>
  </r>
  <r>
    <n v="90"/>
    <x v="0"/>
    <x v="38"/>
    <n v="1000"/>
  </r>
  <r>
    <n v="90"/>
    <x v="0"/>
    <x v="39"/>
    <n v="1000"/>
  </r>
  <r>
    <n v="90"/>
    <x v="0"/>
    <x v="40"/>
    <n v="1000"/>
  </r>
  <r>
    <n v="90"/>
    <x v="0"/>
    <x v="41"/>
    <n v="1000"/>
  </r>
  <r>
    <n v="90"/>
    <x v="0"/>
    <x v="42"/>
    <n v="1000"/>
  </r>
  <r>
    <n v="90"/>
    <x v="0"/>
    <x v="47"/>
    <n v="1000"/>
  </r>
  <r>
    <n v="90"/>
    <x v="0"/>
    <x v="52"/>
    <n v="1000"/>
  </r>
  <r>
    <n v="90"/>
    <x v="0"/>
    <x v="57"/>
    <n v="1000"/>
  </r>
  <r>
    <n v="90"/>
    <x v="0"/>
    <x v="58"/>
    <n v="1000"/>
  </r>
  <r>
    <n v="90"/>
    <x v="0"/>
    <x v="59"/>
    <n v="1000"/>
  </r>
  <r>
    <n v="90"/>
    <x v="0"/>
    <x v="60"/>
    <n v="1000"/>
  </r>
  <r>
    <n v="90"/>
    <x v="0"/>
    <x v="61"/>
    <n v="1000"/>
  </r>
  <r>
    <n v="90"/>
    <x v="0"/>
    <x v="62"/>
    <n v="1000"/>
  </r>
  <r>
    <n v="90"/>
    <x v="0"/>
    <x v="63"/>
    <n v="1000"/>
  </r>
  <r>
    <n v="90"/>
    <x v="1"/>
    <x v="48"/>
    <n v="3"/>
  </r>
  <r>
    <n v="90"/>
    <x v="1"/>
    <x v="65"/>
    <n v="4"/>
  </r>
  <r>
    <n v="91"/>
    <x v="0"/>
    <x v="29"/>
    <n v="100"/>
  </r>
  <r>
    <n v="91"/>
    <x v="0"/>
    <x v="32"/>
    <n v="100"/>
  </r>
  <r>
    <n v="91"/>
    <x v="0"/>
    <x v="35"/>
    <n v="100"/>
  </r>
  <r>
    <n v="91"/>
    <x v="0"/>
    <x v="40"/>
    <n v="100"/>
  </r>
  <r>
    <n v="91"/>
    <x v="0"/>
    <x v="41"/>
    <n v="100"/>
  </r>
  <r>
    <n v="91"/>
    <x v="0"/>
    <x v="52"/>
    <n v="100"/>
  </r>
  <r>
    <n v="91"/>
    <x v="0"/>
    <x v="59"/>
    <n v="100"/>
  </r>
  <r>
    <n v="91"/>
    <x v="0"/>
    <x v="62"/>
    <n v="100"/>
  </r>
  <r>
    <n v="91"/>
    <x v="1"/>
    <x v="48"/>
    <n v="1"/>
  </r>
  <r>
    <n v="91"/>
    <x v="1"/>
    <x v="83"/>
    <n v="1"/>
  </r>
  <r>
    <n v="92"/>
    <x v="0"/>
    <x v="0"/>
    <n v="600"/>
  </r>
  <r>
    <n v="92"/>
    <x v="0"/>
    <x v="49"/>
    <n v="600"/>
  </r>
  <r>
    <n v="92"/>
    <x v="0"/>
    <x v="1"/>
    <n v="700"/>
  </r>
  <r>
    <n v="92"/>
    <x v="0"/>
    <x v="2"/>
    <n v="700"/>
  </r>
  <r>
    <n v="92"/>
    <x v="0"/>
    <x v="3"/>
    <n v="700"/>
  </r>
  <r>
    <n v="92"/>
    <x v="0"/>
    <x v="4"/>
    <n v="700"/>
  </r>
  <r>
    <n v="92"/>
    <x v="0"/>
    <x v="5"/>
    <n v="700"/>
  </r>
  <r>
    <n v="92"/>
    <x v="0"/>
    <x v="50"/>
    <n v="700"/>
  </r>
  <r>
    <n v="92"/>
    <x v="0"/>
    <x v="6"/>
    <n v="700"/>
  </r>
  <r>
    <n v="92"/>
    <x v="0"/>
    <x v="7"/>
    <n v="700"/>
  </r>
  <r>
    <n v="92"/>
    <x v="0"/>
    <x v="8"/>
    <n v="700"/>
  </r>
  <r>
    <n v="92"/>
    <x v="0"/>
    <x v="39"/>
    <n v="700"/>
  </r>
  <r>
    <n v="92"/>
    <x v="0"/>
    <x v="10"/>
    <n v="700"/>
  </r>
  <r>
    <n v="92"/>
    <x v="0"/>
    <x v="11"/>
    <n v="700"/>
  </r>
  <r>
    <n v="92"/>
    <x v="0"/>
    <x v="12"/>
    <n v="700"/>
  </r>
  <r>
    <n v="92"/>
    <x v="0"/>
    <x v="13"/>
    <n v="700"/>
  </r>
  <r>
    <n v="92"/>
    <x v="0"/>
    <x v="14"/>
    <n v="700"/>
  </r>
  <r>
    <n v="92"/>
    <x v="0"/>
    <x v="15"/>
    <n v="700"/>
  </r>
  <r>
    <n v="92"/>
    <x v="0"/>
    <x v="16"/>
    <n v="700"/>
  </r>
  <r>
    <n v="92"/>
    <x v="0"/>
    <x v="51"/>
    <n v="700"/>
  </r>
  <r>
    <n v="92"/>
    <x v="0"/>
    <x v="56"/>
    <n v="700"/>
  </r>
  <r>
    <n v="92"/>
    <x v="0"/>
    <x v="18"/>
    <n v="700"/>
  </r>
  <r>
    <n v="92"/>
    <x v="0"/>
    <x v="19"/>
    <n v="700"/>
  </r>
  <r>
    <n v="92"/>
    <x v="0"/>
    <x v="20"/>
    <n v="700"/>
  </r>
  <r>
    <n v="92"/>
    <x v="0"/>
    <x v="21"/>
    <n v="700"/>
  </r>
  <r>
    <n v="92"/>
    <x v="0"/>
    <x v="22"/>
    <n v="700"/>
  </r>
  <r>
    <n v="92"/>
    <x v="0"/>
    <x v="23"/>
    <n v="700"/>
  </r>
  <r>
    <n v="92"/>
    <x v="0"/>
    <x v="24"/>
    <n v="700"/>
  </r>
  <r>
    <n v="92"/>
    <x v="0"/>
    <x v="25"/>
    <n v="700"/>
  </r>
  <r>
    <n v="92"/>
    <x v="1"/>
    <x v="26"/>
    <n v="2"/>
  </r>
  <r>
    <n v="92"/>
    <x v="1"/>
    <x v="67"/>
    <n v="3"/>
  </r>
  <r>
    <n v="92"/>
    <x v="1"/>
    <x v="53"/>
    <n v="3"/>
  </r>
  <r>
    <n v="93"/>
    <x v="0"/>
    <x v="0"/>
    <n v="20000"/>
  </r>
  <r>
    <n v="93"/>
    <x v="0"/>
    <x v="6"/>
    <n v="20000"/>
  </r>
  <r>
    <n v="93"/>
    <x v="0"/>
    <x v="51"/>
    <n v="20000"/>
  </r>
  <r>
    <n v="93"/>
    <x v="0"/>
    <x v="17"/>
    <n v="20000"/>
  </r>
  <r>
    <n v="93"/>
    <x v="0"/>
    <x v="19"/>
    <n v="20000"/>
  </r>
  <r>
    <n v="93"/>
    <x v="0"/>
    <x v="22"/>
    <n v="20000"/>
  </r>
  <r>
    <n v="94"/>
    <x v="0"/>
    <x v="0"/>
    <n v="4200"/>
  </r>
  <r>
    <n v="94"/>
    <x v="0"/>
    <x v="1"/>
    <n v="4200"/>
  </r>
  <r>
    <n v="94"/>
    <x v="0"/>
    <x v="3"/>
    <n v="4800"/>
  </r>
  <r>
    <n v="94"/>
    <x v="0"/>
    <x v="4"/>
    <n v="4800"/>
  </r>
  <r>
    <n v="94"/>
    <x v="0"/>
    <x v="5"/>
    <n v="4800"/>
  </r>
  <r>
    <n v="94"/>
    <x v="0"/>
    <x v="50"/>
    <n v="4800"/>
  </r>
  <r>
    <n v="94"/>
    <x v="0"/>
    <x v="6"/>
    <n v="5800"/>
  </r>
  <r>
    <n v="94"/>
    <x v="0"/>
    <x v="7"/>
    <n v="5800"/>
  </r>
  <r>
    <n v="94"/>
    <x v="0"/>
    <x v="8"/>
    <n v="5800"/>
  </r>
  <r>
    <n v="94"/>
    <x v="0"/>
    <x v="9"/>
    <n v="5800"/>
  </r>
  <r>
    <n v="94"/>
    <x v="0"/>
    <x v="10"/>
    <n v="5800"/>
  </r>
  <r>
    <n v="94"/>
    <x v="0"/>
    <x v="11"/>
    <n v="5800"/>
  </r>
  <r>
    <n v="94"/>
    <x v="0"/>
    <x v="12"/>
    <n v="6400"/>
  </r>
  <r>
    <n v="94"/>
    <x v="0"/>
    <x v="13"/>
    <n v="6400"/>
  </r>
  <r>
    <n v="94"/>
    <x v="0"/>
    <x v="14"/>
    <n v="6400"/>
  </r>
  <r>
    <n v="94"/>
    <x v="0"/>
    <x v="15"/>
    <n v="6400"/>
  </r>
  <r>
    <n v="94"/>
    <x v="0"/>
    <x v="16"/>
    <n v="6400"/>
  </r>
  <r>
    <n v="94"/>
    <x v="0"/>
    <x v="51"/>
    <n v="6400"/>
  </r>
  <r>
    <n v="94"/>
    <x v="0"/>
    <x v="17"/>
    <n v="6400"/>
  </r>
  <r>
    <n v="94"/>
    <x v="0"/>
    <x v="18"/>
    <n v="6400"/>
  </r>
  <r>
    <n v="94"/>
    <x v="0"/>
    <x v="19"/>
    <n v="6400"/>
  </r>
  <r>
    <n v="94"/>
    <x v="0"/>
    <x v="20"/>
    <n v="6400"/>
  </r>
  <r>
    <n v="94"/>
    <x v="0"/>
    <x v="21"/>
    <n v="6400"/>
  </r>
  <r>
    <n v="94"/>
    <x v="0"/>
    <x v="22"/>
    <n v="6400"/>
  </r>
  <r>
    <n v="94"/>
    <x v="0"/>
    <x v="23"/>
    <n v="6400"/>
  </r>
  <r>
    <n v="94"/>
    <x v="0"/>
    <x v="24"/>
    <n v="6400"/>
  </r>
  <r>
    <n v="94"/>
    <x v="0"/>
    <x v="25"/>
    <n v="6400"/>
  </r>
  <r>
    <n v="94"/>
    <x v="1"/>
    <x v="26"/>
    <n v="10"/>
  </r>
  <r>
    <n v="94"/>
    <x v="1"/>
    <x v="53"/>
    <n v="1"/>
  </r>
  <r>
    <n v="95"/>
    <x v="0"/>
    <x v="43"/>
    <n v="3000"/>
  </r>
  <r>
    <n v="95"/>
    <x v="0"/>
    <x v="44"/>
    <n v="3000"/>
  </r>
  <r>
    <n v="95"/>
    <x v="0"/>
    <x v="45"/>
    <n v="3000"/>
  </r>
  <r>
    <n v="95"/>
    <x v="0"/>
    <x v="55"/>
    <n v="3000"/>
  </r>
  <r>
    <n v="95"/>
    <x v="0"/>
    <x v="46"/>
    <n v="3000"/>
  </r>
  <r>
    <n v="95"/>
    <x v="0"/>
    <x v="56"/>
    <n v="3000"/>
  </r>
  <r>
    <n v="95"/>
    <x v="0"/>
    <x v="47"/>
    <n v="3600"/>
  </r>
  <r>
    <n v="95"/>
    <x v="0"/>
    <x v="52"/>
    <n v="3600"/>
  </r>
  <r>
    <n v="95"/>
    <x v="0"/>
    <x v="57"/>
    <n v="3600"/>
  </r>
  <r>
    <n v="96"/>
    <x v="0"/>
    <x v="31"/>
    <n v="1200"/>
  </r>
  <r>
    <n v="96"/>
    <x v="0"/>
    <x v="32"/>
    <n v="1200"/>
  </r>
  <r>
    <n v="96"/>
    <x v="0"/>
    <x v="33"/>
    <n v="1200"/>
  </r>
  <r>
    <n v="96"/>
    <x v="0"/>
    <x v="34"/>
    <n v="1200"/>
  </r>
  <r>
    <n v="96"/>
    <x v="0"/>
    <x v="35"/>
    <n v="1200"/>
  </r>
  <r>
    <n v="96"/>
    <x v="0"/>
    <x v="36"/>
    <n v="1200"/>
  </r>
  <r>
    <n v="96"/>
    <x v="0"/>
    <x v="37"/>
    <n v="1200"/>
  </r>
  <r>
    <n v="96"/>
    <x v="0"/>
    <x v="38"/>
    <n v="1200"/>
  </r>
  <r>
    <n v="96"/>
    <x v="0"/>
    <x v="39"/>
    <n v="1200"/>
  </r>
  <r>
    <n v="96"/>
    <x v="0"/>
    <x v="40"/>
    <n v="1200"/>
  </r>
  <r>
    <n v="96"/>
    <x v="0"/>
    <x v="41"/>
    <n v="1200"/>
  </r>
  <r>
    <n v="96"/>
    <x v="0"/>
    <x v="42"/>
    <n v="1200"/>
  </r>
  <r>
    <n v="96"/>
    <x v="0"/>
    <x v="43"/>
    <n v="1200"/>
  </r>
  <r>
    <n v="96"/>
    <x v="0"/>
    <x v="44"/>
    <n v="1200"/>
  </r>
  <r>
    <n v="96"/>
    <x v="0"/>
    <x v="45"/>
    <n v="1200"/>
  </r>
  <r>
    <n v="96"/>
    <x v="0"/>
    <x v="55"/>
    <n v="1200"/>
  </r>
  <r>
    <n v="96"/>
    <x v="0"/>
    <x v="46"/>
    <n v="1200"/>
  </r>
  <r>
    <n v="96"/>
    <x v="0"/>
    <x v="56"/>
    <n v="1200"/>
  </r>
  <r>
    <n v="96"/>
    <x v="0"/>
    <x v="47"/>
    <n v="1700"/>
  </r>
  <r>
    <n v="96"/>
    <x v="0"/>
    <x v="52"/>
    <n v="1700"/>
  </r>
  <r>
    <n v="96"/>
    <x v="0"/>
    <x v="57"/>
    <n v="1700"/>
  </r>
  <r>
    <n v="96"/>
    <x v="0"/>
    <x v="58"/>
    <n v="1700"/>
  </r>
  <r>
    <n v="96"/>
    <x v="0"/>
    <x v="59"/>
    <n v="1700"/>
  </r>
  <r>
    <n v="96"/>
    <x v="0"/>
    <x v="60"/>
    <n v="1700"/>
  </r>
  <r>
    <n v="96"/>
    <x v="0"/>
    <x v="61"/>
    <n v="1700"/>
  </r>
  <r>
    <n v="96"/>
    <x v="0"/>
    <x v="62"/>
    <n v="1700"/>
  </r>
  <r>
    <n v="96"/>
    <x v="0"/>
    <x v="63"/>
    <n v="1700"/>
  </r>
  <r>
    <n v="96"/>
    <x v="1"/>
    <x v="48"/>
    <n v="4"/>
  </r>
  <r>
    <n v="96"/>
    <x v="1"/>
    <x v="69"/>
    <n v="1"/>
  </r>
  <r>
    <n v="96"/>
    <x v="1"/>
    <x v="65"/>
    <n v="1"/>
  </r>
  <r>
    <n v="97"/>
    <x v="0"/>
    <x v="12"/>
    <n v="1400"/>
  </r>
  <r>
    <n v="97"/>
    <x v="0"/>
    <x v="15"/>
    <n v="1400"/>
  </r>
  <r>
    <n v="97"/>
    <x v="0"/>
    <x v="47"/>
    <n v="1400"/>
  </r>
  <r>
    <n v="97"/>
    <x v="0"/>
    <x v="23"/>
    <n v="1000"/>
  </r>
  <r>
    <n v="97"/>
    <x v="0"/>
    <x v="24"/>
    <n v="1000"/>
  </r>
  <r>
    <n v="97"/>
    <x v="0"/>
    <x v="25"/>
    <n v="1000"/>
  </r>
  <r>
    <n v="97"/>
    <x v="1"/>
    <x v="26"/>
    <n v="3"/>
  </r>
  <r>
    <n v="97"/>
    <x v="1"/>
    <x v="67"/>
    <n v="3"/>
  </r>
  <r>
    <n v="98"/>
    <x v="0"/>
    <x v="30"/>
    <n v="20000"/>
  </r>
  <r>
    <n v="98"/>
    <x v="0"/>
    <x v="31"/>
    <n v="20000"/>
  </r>
  <r>
    <n v="98"/>
    <x v="0"/>
    <x v="32"/>
    <n v="20000"/>
  </r>
  <r>
    <n v="98"/>
    <x v="0"/>
    <x v="33"/>
    <n v="20000"/>
  </r>
  <r>
    <n v="98"/>
    <x v="0"/>
    <x v="34"/>
    <n v="20000"/>
  </r>
  <r>
    <n v="98"/>
    <x v="0"/>
    <x v="50"/>
    <n v="20000"/>
  </r>
  <r>
    <n v="98"/>
    <x v="0"/>
    <x v="36"/>
    <n v="20000"/>
  </r>
  <r>
    <n v="98"/>
    <x v="0"/>
    <x v="37"/>
    <n v="20000"/>
  </r>
  <r>
    <n v="98"/>
    <x v="0"/>
    <x v="8"/>
    <n v="20000"/>
  </r>
  <r>
    <n v="98"/>
    <x v="0"/>
    <x v="40"/>
    <n v="20000"/>
  </r>
  <r>
    <n v="98"/>
    <x v="0"/>
    <x v="42"/>
    <n v="20000"/>
  </r>
  <r>
    <n v="98"/>
    <x v="0"/>
    <x v="43"/>
    <n v="20000"/>
  </r>
  <r>
    <n v="98"/>
    <x v="0"/>
    <x v="44"/>
    <n v="20000"/>
  </r>
  <r>
    <n v="98"/>
    <x v="0"/>
    <x v="45"/>
    <n v="20000"/>
  </r>
  <r>
    <n v="98"/>
    <x v="0"/>
    <x v="55"/>
    <n v="20000"/>
  </r>
  <r>
    <n v="98"/>
    <x v="0"/>
    <x v="46"/>
    <n v="20000"/>
  </r>
  <r>
    <n v="98"/>
    <x v="0"/>
    <x v="56"/>
    <n v="20000"/>
  </r>
  <r>
    <n v="98"/>
    <x v="0"/>
    <x v="47"/>
    <n v="16000"/>
  </r>
  <r>
    <n v="98"/>
    <x v="0"/>
    <x v="52"/>
    <n v="16000"/>
  </r>
  <r>
    <n v="98"/>
    <x v="0"/>
    <x v="57"/>
    <n v="16000"/>
  </r>
  <r>
    <n v="98"/>
    <x v="0"/>
    <x v="59"/>
    <n v="16000"/>
  </r>
  <r>
    <n v="98"/>
    <x v="0"/>
    <x v="60"/>
    <n v="16000"/>
  </r>
  <r>
    <n v="98"/>
    <x v="0"/>
    <x v="61"/>
    <n v="16000"/>
  </r>
  <r>
    <n v="98"/>
    <x v="0"/>
    <x v="63"/>
    <n v="16000"/>
  </r>
  <r>
    <n v="98"/>
    <x v="1"/>
    <x v="82"/>
    <n v="3"/>
  </r>
  <r>
    <n v="98"/>
    <x v="1"/>
    <x v="64"/>
    <n v="3"/>
  </r>
  <r>
    <n v="98"/>
    <x v="1"/>
    <x v="65"/>
    <n v="5"/>
  </r>
  <r>
    <n v="99"/>
    <x v="0"/>
    <x v="0"/>
    <n v="2800"/>
  </r>
  <r>
    <n v="99"/>
    <x v="0"/>
    <x v="49"/>
    <n v="2800"/>
  </r>
  <r>
    <n v="99"/>
    <x v="0"/>
    <x v="1"/>
    <n v="3100"/>
  </r>
  <r>
    <n v="99"/>
    <x v="0"/>
    <x v="2"/>
    <n v="3100"/>
  </r>
  <r>
    <n v="99"/>
    <x v="0"/>
    <x v="3"/>
    <n v="3100"/>
  </r>
  <r>
    <n v="99"/>
    <x v="0"/>
    <x v="4"/>
    <n v="3100"/>
  </r>
  <r>
    <n v="99"/>
    <x v="0"/>
    <x v="5"/>
    <n v="3100"/>
  </r>
  <r>
    <n v="99"/>
    <x v="0"/>
    <x v="50"/>
    <n v="3100"/>
  </r>
  <r>
    <n v="99"/>
    <x v="0"/>
    <x v="6"/>
    <n v="3500"/>
  </r>
  <r>
    <n v="99"/>
    <x v="0"/>
    <x v="7"/>
    <n v="3500"/>
  </r>
  <r>
    <n v="99"/>
    <x v="0"/>
    <x v="8"/>
    <n v="3500"/>
  </r>
  <r>
    <n v="99"/>
    <x v="0"/>
    <x v="9"/>
    <n v="3500"/>
  </r>
  <r>
    <n v="99"/>
    <x v="0"/>
    <x v="10"/>
    <n v="3500"/>
  </r>
  <r>
    <n v="99"/>
    <x v="0"/>
    <x v="11"/>
    <n v="3500"/>
  </r>
  <r>
    <n v="99"/>
    <x v="0"/>
    <x v="12"/>
    <n v="3500"/>
  </r>
  <r>
    <n v="99"/>
    <x v="0"/>
    <x v="13"/>
    <n v="3500"/>
  </r>
  <r>
    <n v="99"/>
    <x v="0"/>
    <x v="14"/>
    <n v="3500"/>
  </r>
  <r>
    <n v="99"/>
    <x v="0"/>
    <x v="15"/>
    <n v="3500"/>
  </r>
  <r>
    <n v="99"/>
    <x v="0"/>
    <x v="16"/>
    <n v="3500"/>
  </r>
  <r>
    <n v="99"/>
    <x v="0"/>
    <x v="51"/>
    <n v="3500"/>
  </r>
  <r>
    <n v="99"/>
    <x v="0"/>
    <x v="17"/>
    <n v="3500"/>
  </r>
  <r>
    <n v="99"/>
    <x v="0"/>
    <x v="18"/>
    <n v="3500"/>
  </r>
  <r>
    <n v="99"/>
    <x v="0"/>
    <x v="19"/>
    <n v="3500"/>
  </r>
  <r>
    <n v="99"/>
    <x v="0"/>
    <x v="20"/>
    <n v="3500"/>
  </r>
  <r>
    <n v="99"/>
    <x v="0"/>
    <x v="21"/>
    <n v="3500"/>
  </r>
  <r>
    <n v="99"/>
    <x v="0"/>
    <x v="22"/>
    <n v="3500"/>
  </r>
  <r>
    <n v="99"/>
    <x v="0"/>
    <x v="23"/>
    <n v="3500"/>
  </r>
  <r>
    <n v="99"/>
    <x v="0"/>
    <x v="24"/>
    <n v="3500"/>
  </r>
  <r>
    <n v="99"/>
    <x v="0"/>
    <x v="25"/>
    <n v="3500"/>
  </r>
  <r>
    <n v="99"/>
    <x v="1"/>
    <x v="26"/>
    <n v="6"/>
  </r>
  <r>
    <n v="99"/>
    <x v="1"/>
    <x v="67"/>
    <n v="6"/>
  </r>
  <r>
    <n v="100"/>
    <x v="0"/>
    <x v="29"/>
    <n v="2500"/>
  </r>
  <r>
    <n v="100"/>
    <x v="0"/>
    <x v="30"/>
    <n v="2500"/>
  </r>
  <r>
    <n v="100"/>
    <x v="0"/>
    <x v="31"/>
    <n v="2500"/>
  </r>
  <r>
    <n v="100"/>
    <x v="0"/>
    <x v="32"/>
    <n v="2500"/>
  </r>
  <r>
    <n v="100"/>
    <x v="0"/>
    <x v="33"/>
    <n v="2500"/>
  </r>
  <r>
    <n v="100"/>
    <x v="0"/>
    <x v="34"/>
    <n v="2500"/>
  </r>
  <r>
    <n v="100"/>
    <x v="0"/>
    <x v="35"/>
    <n v="2500"/>
  </r>
  <r>
    <n v="100"/>
    <x v="0"/>
    <x v="36"/>
    <n v="2500"/>
  </r>
  <r>
    <n v="100"/>
    <x v="0"/>
    <x v="37"/>
    <n v="2500"/>
  </r>
  <r>
    <n v="100"/>
    <x v="0"/>
    <x v="41"/>
    <n v="2500"/>
  </r>
  <r>
    <n v="100"/>
    <x v="0"/>
    <x v="42"/>
    <n v="2500"/>
  </r>
  <r>
    <n v="100"/>
    <x v="0"/>
    <x v="44"/>
    <n v="2500"/>
  </r>
  <r>
    <n v="100"/>
    <x v="0"/>
    <x v="45"/>
    <n v="2500"/>
  </r>
  <r>
    <n v="100"/>
    <x v="0"/>
    <x v="55"/>
    <n v="3300"/>
  </r>
  <r>
    <n v="100"/>
    <x v="0"/>
    <x v="46"/>
    <n v="3300"/>
  </r>
  <r>
    <n v="100"/>
    <x v="0"/>
    <x v="56"/>
    <n v="3300"/>
  </r>
  <r>
    <n v="100"/>
    <x v="0"/>
    <x v="52"/>
    <n v="3300"/>
  </r>
  <r>
    <n v="100"/>
    <x v="0"/>
    <x v="58"/>
    <n v="3300"/>
  </r>
  <r>
    <n v="100"/>
    <x v="0"/>
    <x v="59"/>
    <n v="3300"/>
  </r>
  <r>
    <n v="100"/>
    <x v="0"/>
    <x v="61"/>
    <n v="3300"/>
  </r>
  <r>
    <n v="100"/>
    <x v="0"/>
    <x v="62"/>
    <n v="3300"/>
  </r>
  <r>
    <n v="100"/>
    <x v="0"/>
    <x v="63"/>
    <n v="4300"/>
  </r>
  <r>
    <n v="100"/>
    <x v="1"/>
    <x v="48"/>
    <n v="6"/>
  </r>
  <r>
    <n v="100"/>
    <x v="1"/>
    <x v="64"/>
    <n v="6"/>
  </r>
  <r>
    <n v="100"/>
    <x v="1"/>
    <x v="65"/>
    <n v="5"/>
  </r>
  <r>
    <n v="101"/>
    <x v="0"/>
    <x v="29"/>
    <n v="700"/>
  </r>
  <r>
    <n v="101"/>
    <x v="0"/>
    <x v="1"/>
    <n v="800"/>
  </r>
  <r>
    <n v="101"/>
    <x v="0"/>
    <x v="32"/>
    <n v="800"/>
  </r>
  <r>
    <n v="101"/>
    <x v="0"/>
    <x v="4"/>
    <n v="800"/>
  </r>
  <r>
    <n v="101"/>
    <x v="0"/>
    <x v="35"/>
    <n v="800"/>
  </r>
  <r>
    <n v="101"/>
    <x v="0"/>
    <x v="6"/>
    <n v="900"/>
  </r>
  <r>
    <n v="101"/>
    <x v="0"/>
    <x v="38"/>
    <n v="900"/>
  </r>
  <r>
    <n v="101"/>
    <x v="0"/>
    <x v="40"/>
    <n v="900"/>
  </r>
  <r>
    <n v="101"/>
    <x v="0"/>
    <x v="41"/>
    <n v="900"/>
  </r>
  <r>
    <n v="101"/>
    <x v="0"/>
    <x v="12"/>
    <n v="900"/>
  </r>
  <r>
    <n v="101"/>
    <x v="0"/>
    <x v="44"/>
    <n v="900"/>
  </r>
  <r>
    <n v="101"/>
    <x v="0"/>
    <x v="15"/>
    <n v="900"/>
  </r>
  <r>
    <n v="101"/>
    <x v="0"/>
    <x v="46"/>
    <n v="900"/>
  </r>
  <r>
    <n v="101"/>
    <x v="0"/>
    <x v="17"/>
    <n v="1200"/>
  </r>
  <r>
    <n v="101"/>
    <x v="0"/>
    <x v="52"/>
    <n v="1200"/>
  </r>
  <r>
    <n v="101"/>
    <x v="0"/>
    <x v="58"/>
    <n v="1200"/>
  </r>
  <r>
    <n v="101"/>
    <x v="0"/>
    <x v="59"/>
    <n v="1200"/>
  </r>
  <r>
    <n v="101"/>
    <x v="0"/>
    <x v="61"/>
    <n v="2400"/>
  </r>
  <r>
    <n v="101"/>
    <x v="0"/>
    <x v="62"/>
    <n v="2400"/>
  </r>
  <r>
    <n v="101"/>
    <x v="1"/>
    <x v="86"/>
    <n v="4"/>
  </r>
  <r>
    <n v="101"/>
    <x v="1"/>
    <x v="80"/>
    <n v="3"/>
  </r>
  <r>
    <n v="101"/>
    <x v="1"/>
    <x v="79"/>
    <n v="3"/>
  </r>
  <r>
    <n v="102"/>
    <x v="0"/>
    <x v="90"/>
    <n v="4900"/>
  </r>
  <r>
    <n v="103"/>
    <x v="0"/>
    <x v="0"/>
    <n v="400"/>
  </r>
  <r>
    <n v="103"/>
    <x v="0"/>
    <x v="49"/>
    <n v="400"/>
  </r>
  <r>
    <n v="104"/>
    <x v="0"/>
    <x v="29"/>
    <n v="1000"/>
  </r>
  <r>
    <n v="104"/>
    <x v="0"/>
    <x v="30"/>
    <n v="1000"/>
  </r>
  <r>
    <n v="104"/>
    <x v="0"/>
    <x v="31"/>
    <n v="1000"/>
  </r>
  <r>
    <n v="104"/>
    <x v="0"/>
    <x v="32"/>
    <n v="1000"/>
  </r>
  <r>
    <n v="104"/>
    <x v="0"/>
    <x v="33"/>
    <n v="1000"/>
  </r>
  <r>
    <n v="104"/>
    <x v="0"/>
    <x v="34"/>
    <n v="1000"/>
  </r>
  <r>
    <n v="104"/>
    <x v="0"/>
    <x v="35"/>
    <n v="1000"/>
  </r>
  <r>
    <n v="104"/>
    <x v="0"/>
    <x v="36"/>
    <n v="1000"/>
  </r>
  <r>
    <n v="104"/>
    <x v="0"/>
    <x v="37"/>
    <n v="1000"/>
  </r>
  <r>
    <n v="104"/>
    <x v="0"/>
    <x v="38"/>
    <n v="1000"/>
  </r>
  <r>
    <n v="104"/>
    <x v="0"/>
    <x v="39"/>
    <n v="1000"/>
  </r>
  <r>
    <n v="104"/>
    <x v="0"/>
    <x v="40"/>
    <n v="1000"/>
  </r>
  <r>
    <n v="104"/>
    <x v="0"/>
    <x v="41"/>
    <n v="1000"/>
  </r>
  <r>
    <n v="104"/>
    <x v="0"/>
    <x v="42"/>
    <n v="1000"/>
  </r>
  <r>
    <n v="104"/>
    <x v="0"/>
    <x v="47"/>
    <n v="1000"/>
  </r>
  <r>
    <n v="104"/>
    <x v="0"/>
    <x v="52"/>
    <n v="1000"/>
  </r>
  <r>
    <n v="104"/>
    <x v="0"/>
    <x v="57"/>
    <n v="1000"/>
  </r>
  <r>
    <n v="104"/>
    <x v="0"/>
    <x v="58"/>
    <n v="1000"/>
  </r>
  <r>
    <n v="104"/>
    <x v="0"/>
    <x v="59"/>
    <n v="1000"/>
  </r>
  <r>
    <n v="104"/>
    <x v="0"/>
    <x v="60"/>
    <n v="1000"/>
  </r>
  <r>
    <n v="104"/>
    <x v="0"/>
    <x v="61"/>
    <n v="1000"/>
  </r>
  <r>
    <n v="104"/>
    <x v="0"/>
    <x v="62"/>
    <n v="1000"/>
  </r>
  <r>
    <n v="104"/>
    <x v="0"/>
    <x v="63"/>
    <n v="1200"/>
  </r>
  <r>
    <n v="104"/>
    <x v="1"/>
    <x v="48"/>
    <n v="3"/>
  </r>
  <r>
    <n v="104"/>
    <x v="1"/>
    <x v="64"/>
    <n v="2"/>
  </r>
  <r>
    <n v="105"/>
    <x v="0"/>
    <x v="13"/>
    <n v="7300"/>
  </r>
  <r>
    <n v="105"/>
    <x v="0"/>
    <x v="14"/>
    <n v="7300"/>
  </r>
  <r>
    <n v="105"/>
    <x v="0"/>
    <x v="15"/>
    <n v="7300"/>
  </r>
  <r>
    <n v="105"/>
    <x v="0"/>
    <x v="16"/>
    <n v="7300"/>
  </r>
  <r>
    <n v="105"/>
    <x v="0"/>
    <x v="51"/>
    <n v="7300"/>
  </r>
  <r>
    <n v="105"/>
    <x v="0"/>
    <x v="22"/>
    <n v="7300"/>
  </r>
  <r>
    <n v="105"/>
    <x v="0"/>
    <x v="23"/>
    <n v="7300"/>
  </r>
  <r>
    <n v="105"/>
    <x v="0"/>
    <x v="24"/>
    <n v="7300"/>
  </r>
  <r>
    <n v="105"/>
    <x v="0"/>
    <x v="25"/>
    <n v="7300"/>
  </r>
  <r>
    <n v="105"/>
    <x v="1"/>
    <x v="26"/>
    <n v="10"/>
  </r>
  <r>
    <n v="105"/>
    <x v="1"/>
    <x v="69"/>
    <n v="13"/>
  </r>
  <r>
    <n v="105"/>
    <x v="1"/>
    <x v="65"/>
    <n v="13"/>
  </r>
  <r>
    <n v="106"/>
    <x v="0"/>
    <x v="0"/>
    <n v="5000"/>
  </r>
  <r>
    <n v="106"/>
    <x v="0"/>
    <x v="49"/>
    <n v="5000"/>
  </r>
  <r>
    <n v="106"/>
    <x v="0"/>
    <x v="1"/>
    <n v="5000"/>
  </r>
  <r>
    <n v="106"/>
    <x v="0"/>
    <x v="2"/>
    <n v="5000"/>
  </r>
  <r>
    <n v="106"/>
    <x v="0"/>
    <x v="3"/>
    <n v="5000"/>
  </r>
  <r>
    <n v="106"/>
    <x v="0"/>
    <x v="4"/>
    <n v="5000"/>
  </r>
  <r>
    <n v="106"/>
    <x v="0"/>
    <x v="5"/>
    <n v="5000"/>
  </r>
  <r>
    <n v="106"/>
    <x v="0"/>
    <x v="50"/>
    <n v="5000"/>
  </r>
  <r>
    <n v="106"/>
    <x v="0"/>
    <x v="6"/>
    <n v="5500"/>
  </r>
  <r>
    <n v="106"/>
    <x v="0"/>
    <x v="7"/>
    <n v="5500"/>
  </r>
  <r>
    <n v="106"/>
    <x v="0"/>
    <x v="8"/>
    <n v="5500"/>
  </r>
  <r>
    <n v="106"/>
    <x v="0"/>
    <x v="9"/>
    <n v="5500"/>
  </r>
  <r>
    <n v="106"/>
    <x v="0"/>
    <x v="10"/>
    <n v="5500"/>
  </r>
  <r>
    <n v="106"/>
    <x v="0"/>
    <x v="42"/>
    <n v="5500"/>
  </r>
  <r>
    <n v="106"/>
    <x v="0"/>
    <x v="43"/>
    <n v="7200"/>
  </r>
  <r>
    <n v="106"/>
    <x v="0"/>
    <x v="44"/>
    <n v="7200"/>
  </r>
  <r>
    <n v="106"/>
    <x v="0"/>
    <x v="45"/>
    <n v="7200"/>
  </r>
  <r>
    <n v="106"/>
    <x v="0"/>
    <x v="55"/>
    <n v="7200"/>
  </r>
  <r>
    <n v="106"/>
    <x v="0"/>
    <x v="46"/>
    <n v="7200"/>
  </r>
  <r>
    <n v="106"/>
    <x v="0"/>
    <x v="56"/>
    <n v="7200"/>
  </r>
  <r>
    <n v="106"/>
    <x v="0"/>
    <x v="47"/>
    <n v="8000"/>
  </r>
  <r>
    <n v="106"/>
    <x v="0"/>
    <x v="52"/>
    <n v="8000"/>
  </r>
  <r>
    <n v="106"/>
    <x v="0"/>
    <x v="57"/>
    <n v="8000"/>
  </r>
  <r>
    <n v="106"/>
    <x v="0"/>
    <x v="58"/>
    <n v="8000"/>
  </r>
  <r>
    <n v="106"/>
    <x v="0"/>
    <x v="59"/>
    <n v="8000"/>
  </r>
  <r>
    <n v="106"/>
    <x v="0"/>
    <x v="60"/>
    <n v="8000"/>
  </r>
  <r>
    <n v="106"/>
    <x v="0"/>
    <x v="61"/>
    <n v="8000"/>
  </r>
  <r>
    <n v="106"/>
    <x v="0"/>
    <x v="62"/>
    <n v="8000"/>
  </r>
  <r>
    <n v="106"/>
    <x v="0"/>
    <x v="63"/>
    <n v="8000"/>
  </r>
  <r>
    <n v="106"/>
    <x v="1"/>
    <x v="48"/>
    <n v="13"/>
  </r>
  <r>
    <n v="106"/>
    <x v="1"/>
    <x v="64"/>
    <n v="13"/>
  </r>
  <r>
    <n v="106"/>
    <x v="1"/>
    <x v="65"/>
    <n v="13"/>
  </r>
  <r>
    <n v="107"/>
    <x v="0"/>
    <x v="31"/>
    <n v="4400"/>
  </r>
  <r>
    <n v="108"/>
    <x v="0"/>
    <x v="29"/>
    <n v="4300"/>
  </r>
  <r>
    <n v="108"/>
    <x v="0"/>
    <x v="30"/>
    <n v="4300"/>
  </r>
  <r>
    <n v="108"/>
    <x v="0"/>
    <x v="31"/>
    <n v="4300"/>
  </r>
  <r>
    <n v="108"/>
    <x v="0"/>
    <x v="32"/>
    <n v="4300"/>
  </r>
  <r>
    <n v="108"/>
    <x v="0"/>
    <x v="33"/>
    <n v="4300"/>
  </r>
  <r>
    <n v="108"/>
    <x v="0"/>
    <x v="34"/>
    <n v="4300"/>
  </r>
  <r>
    <n v="108"/>
    <x v="0"/>
    <x v="35"/>
    <n v="4300"/>
  </r>
  <r>
    <n v="108"/>
    <x v="0"/>
    <x v="36"/>
    <n v="4300"/>
  </r>
  <r>
    <n v="108"/>
    <x v="0"/>
    <x v="37"/>
    <n v="3900"/>
  </r>
  <r>
    <n v="108"/>
    <x v="0"/>
    <x v="38"/>
    <n v="3900"/>
  </r>
  <r>
    <n v="108"/>
    <x v="0"/>
    <x v="39"/>
    <n v="3900"/>
  </r>
  <r>
    <n v="108"/>
    <x v="0"/>
    <x v="40"/>
    <n v="3900"/>
  </r>
  <r>
    <n v="108"/>
    <x v="0"/>
    <x v="11"/>
    <n v="3900"/>
  </r>
  <r>
    <n v="108"/>
    <x v="0"/>
    <x v="42"/>
    <n v="3900"/>
  </r>
  <r>
    <n v="108"/>
    <x v="0"/>
    <x v="47"/>
    <n v="3200"/>
  </r>
  <r>
    <n v="108"/>
    <x v="0"/>
    <x v="52"/>
    <n v="3200"/>
  </r>
  <r>
    <n v="108"/>
    <x v="0"/>
    <x v="57"/>
    <n v="3200"/>
  </r>
  <r>
    <n v="108"/>
    <x v="1"/>
    <x v="64"/>
    <n v="1"/>
  </r>
  <r>
    <n v="108"/>
    <x v="1"/>
    <x v="92"/>
    <n v="1"/>
  </r>
  <r>
    <n v="109"/>
    <x v="0"/>
    <x v="0"/>
    <n v="200"/>
  </r>
  <r>
    <n v="109"/>
    <x v="0"/>
    <x v="49"/>
    <n v="200"/>
  </r>
  <r>
    <n v="109"/>
    <x v="1"/>
    <x v="93"/>
    <n v="1"/>
  </r>
  <r>
    <n v="109"/>
    <x v="1"/>
    <x v="67"/>
    <n v="2"/>
  </r>
  <r>
    <n v="109"/>
    <x v="1"/>
    <x v="53"/>
    <n v="3"/>
  </r>
  <r>
    <n v="110"/>
    <x v="0"/>
    <x v="29"/>
    <n v="4900"/>
  </r>
  <r>
    <n v="110"/>
    <x v="0"/>
    <x v="30"/>
    <n v="4900"/>
  </r>
  <r>
    <n v="110"/>
    <x v="0"/>
    <x v="31"/>
    <n v="4900"/>
  </r>
  <r>
    <n v="110"/>
    <x v="0"/>
    <x v="32"/>
    <n v="4900"/>
  </r>
  <r>
    <n v="110"/>
    <x v="0"/>
    <x v="33"/>
    <n v="4900"/>
  </r>
  <r>
    <n v="110"/>
    <x v="0"/>
    <x v="34"/>
    <n v="4900"/>
  </r>
  <r>
    <n v="110"/>
    <x v="0"/>
    <x v="35"/>
    <n v="4900"/>
  </r>
  <r>
    <n v="110"/>
    <x v="0"/>
    <x v="36"/>
    <n v="4900"/>
  </r>
  <r>
    <n v="110"/>
    <x v="0"/>
    <x v="37"/>
    <n v="4900"/>
  </r>
  <r>
    <n v="110"/>
    <x v="0"/>
    <x v="38"/>
    <n v="4900"/>
  </r>
  <r>
    <n v="110"/>
    <x v="0"/>
    <x v="39"/>
    <n v="4900"/>
  </r>
  <r>
    <n v="110"/>
    <x v="0"/>
    <x v="40"/>
    <n v="4900"/>
  </r>
  <r>
    <n v="110"/>
    <x v="0"/>
    <x v="41"/>
    <n v="4900"/>
  </r>
  <r>
    <n v="110"/>
    <x v="0"/>
    <x v="42"/>
    <n v="4900"/>
  </r>
  <r>
    <n v="110"/>
    <x v="0"/>
    <x v="43"/>
    <n v="5400"/>
  </r>
  <r>
    <n v="110"/>
    <x v="0"/>
    <x v="44"/>
    <n v="5400"/>
  </r>
  <r>
    <n v="110"/>
    <x v="0"/>
    <x v="45"/>
    <n v="5400"/>
  </r>
  <r>
    <n v="110"/>
    <x v="0"/>
    <x v="55"/>
    <n v="5400"/>
  </r>
  <r>
    <n v="110"/>
    <x v="0"/>
    <x v="46"/>
    <n v="5400"/>
  </r>
  <r>
    <n v="110"/>
    <x v="0"/>
    <x v="56"/>
    <n v="5400"/>
  </r>
  <r>
    <n v="110"/>
    <x v="0"/>
    <x v="47"/>
    <n v="5400"/>
  </r>
  <r>
    <n v="110"/>
    <x v="0"/>
    <x v="52"/>
    <n v="5400"/>
  </r>
  <r>
    <n v="110"/>
    <x v="0"/>
    <x v="57"/>
    <n v="5400"/>
  </r>
  <r>
    <n v="110"/>
    <x v="0"/>
    <x v="58"/>
    <n v="5400"/>
  </r>
  <r>
    <n v="110"/>
    <x v="0"/>
    <x v="59"/>
    <n v="5400"/>
  </r>
  <r>
    <n v="110"/>
    <x v="0"/>
    <x v="60"/>
    <n v="5400"/>
  </r>
  <r>
    <n v="110"/>
    <x v="0"/>
    <x v="61"/>
    <n v="5400"/>
  </r>
  <r>
    <n v="110"/>
    <x v="0"/>
    <x v="62"/>
    <n v="5400"/>
  </r>
  <r>
    <n v="110"/>
    <x v="0"/>
    <x v="63"/>
    <n v="5400"/>
  </r>
  <r>
    <n v="110"/>
    <x v="1"/>
    <x v="48"/>
    <n v="8"/>
  </r>
  <r>
    <n v="110"/>
    <x v="1"/>
    <x v="64"/>
    <n v="8"/>
  </r>
  <r>
    <n v="110"/>
    <x v="1"/>
    <x v="94"/>
    <n v="10"/>
  </r>
  <r>
    <n v="111"/>
    <x v="0"/>
    <x v="29"/>
    <n v="700"/>
  </r>
  <r>
    <n v="111"/>
    <x v="0"/>
    <x v="30"/>
    <n v="700"/>
  </r>
  <r>
    <n v="111"/>
    <x v="0"/>
    <x v="31"/>
    <n v="700"/>
  </r>
  <r>
    <n v="111"/>
    <x v="0"/>
    <x v="32"/>
    <n v="700"/>
  </r>
  <r>
    <n v="111"/>
    <x v="0"/>
    <x v="33"/>
    <n v="700"/>
  </r>
  <r>
    <n v="111"/>
    <x v="0"/>
    <x v="34"/>
    <n v="700"/>
  </r>
  <r>
    <n v="111"/>
    <x v="0"/>
    <x v="35"/>
    <n v="700"/>
  </r>
  <r>
    <n v="111"/>
    <x v="0"/>
    <x v="36"/>
    <n v="700"/>
  </r>
  <r>
    <n v="111"/>
    <x v="0"/>
    <x v="45"/>
    <n v="500"/>
  </r>
  <r>
    <n v="111"/>
    <x v="0"/>
    <x v="55"/>
    <n v="500"/>
  </r>
  <r>
    <n v="111"/>
    <x v="0"/>
    <x v="46"/>
    <n v="500"/>
  </r>
  <r>
    <n v="111"/>
    <x v="0"/>
    <x v="56"/>
    <n v="500"/>
  </r>
  <r>
    <n v="111"/>
    <x v="0"/>
    <x v="47"/>
    <n v="500"/>
  </r>
  <r>
    <n v="111"/>
    <x v="0"/>
    <x v="52"/>
    <n v="500"/>
  </r>
  <r>
    <n v="111"/>
    <x v="0"/>
    <x v="57"/>
    <n v="500"/>
  </r>
  <r>
    <n v="111"/>
    <x v="0"/>
    <x v="58"/>
    <n v="500"/>
  </r>
  <r>
    <n v="111"/>
    <x v="0"/>
    <x v="59"/>
    <n v="500"/>
  </r>
  <r>
    <n v="111"/>
    <x v="0"/>
    <x v="60"/>
    <n v="500"/>
  </r>
  <r>
    <n v="111"/>
    <x v="0"/>
    <x v="61"/>
    <n v="500"/>
  </r>
  <r>
    <n v="111"/>
    <x v="0"/>
    <x v="62"/>
    <n v="500"/>
  </r>
  <r>
    <n v="111"/>
    <x v="0"/>
    <x v="63"/>
    <n v="500"/>
  </r>
  <r>
    <n v="111"/>
    <x v="1"/>
    <x v="64"/>
    <n v="4"/>
  </r>
  <r>
    <n v="111"/>
    <x v="1"/>
    <x v="65"/>
    <n v="3"/>
  </r>
  <r>
    <n v="112"/>
    <x v="0"/>
    <x v="0"/>
    <n v="3500"/>
  </r>
  <r>
    <n v="112"/>
    <x v="0"/>
    <x v="49"/>
    <n v="3500"/>
  </r>
  <r>
    <n v="112"/>
    <x v="0"/>
    <x v="1"/>
    <n v="3500"/>
  </r>
  <r>
    <n v="112"/>
    <x v="0"/>
    <x v="2"/>
    <n v="3500"/>
  </r>
  <r>
    <n v="112"/>
    <x v="0"/>
    <x v="3"/>
    <n v="3500"/>
  </r>
  <r>
    <n v="112"/>
    <x v="0"/>
    <x v="4"/>
    <n v="3500"/>
  </r>
  <r>
    <n v="112"/>
    <x v="0"/>
    <x v="5"/>
    <n v="3500"/>
  </r>
  <r>
    <n v="112"/>
    <x v="0"/>
    <x v="50"/>
    <n v="3500"/>
  </r>
  <r>
    <n v="112"/>
    <x v="0"/>
    <x v="6"/>
    <n v="3500"/>
  </r>
  <r>
    <n v="112"/>
    <x v="0"/>
    <x v="7"/>
    <n v="3500"/>
  </r>
  <r>
    <n v="112"/>
    <x v="0"/>
    <x v="8"/>
    <n v="3500"/>
  </r>
  <r>
    <n v="112"/>
    <x v="0"/>
    <x v="9"/>
    <n v="3500"/>
  </r>
  <r>
    <n v="112"/>
    <x v="0"/>
    <x v="10"/>
    <n v="3500"/>
  </r>
  <r>
    <n v="112"/>
    <x v="0"/>
    <x v="11"/>
    <n v="3500"/>
  </r>
  <r>
    <n v="112"/>
    <x v="0"/>
    <x v="18"/>
    <n v="2500"/>
  </r>
  <r>
    <n v="112"/>
    <x v="0"/>
    <x v="19"/>
    <n v="2500"/>
  </r>
  <r>
    <n v="112"/>
    <x v="0"/>
    <x v="20"/>
    <n v="2500"/>
  </r>
  <r>
    <n v="112"/>
    <x v="0"/>
    <x v="21"/>
    <n v="2500"/>
  </r>
  <r>
    <n v="112"/>
    <x v="0"/>
    <x v="22"/>
    <n v="2500"/>
  </r>
  <r>
    <n v="112"/>
    <x v="0"/>
    <x v="23"/>
    <n v="2500"/>
  </r>
  <r>
    <n v="112"/>
    <x v="0"/>
    <x v="24"/>
    <n v="2500"/>
  </r>
  <r>
    <n v="112"/>
    <x v="0"/>
    <x v="25"/>
    <n v="2500"/>
  </r>
  <r>
    <n v="112"/>
    <x v="1"/>
    <x v="26"/>
    <n v="5"/>
  </r>
  <r>
    <n v="112"/>
    <x v="1"/>
    <x v="53"/>
    <n v="2"/>
  </r>
  <r>
    <n v="113"/>
    <x v="0"/>
    <x v="31"/>
    <n v="8000"/>
  </r>
  <r>
    <n v="113"/>
    <x v="0"/>
    <x v="32"/>
    <n v="8000"/>
  </r>
  <r>
    <n v="113"/>
    <x v="0"/>
    <x v="33"/>
    <n v="8000"/>
  </r>
  <r>
    <n v="113"/>
    <x v="0"/>
    <x v="34"/>
    <n v="8000"/>
  </r>
  <r>
    <n v="113"/>
    <x v="0"/>
    <x v="35"/>
    <n v="8000"/>
  </r>
  <r>
    <n v="113"/>
    <x v="0"/>
    <x v="36"/>
    <n v="8000"/>
  </r>
  <r>
    <n v="113"/>
    <x v="0"/>
    <x v="37"/>
    <n v="8000"/>
  </r>
  <r>
    <n v="113"/>
    <x v="0"/>
    <x v="38"/>
    <n v="8000"/>
  </r>
  <r>
    <n v="113"/>
    <x v="0"/>
    <x v="39"/>
    <n v="8000"/>
  </r>
  <r>
    <n v="113"/>
    <x v="0"/>
    <x v="40"/>
    <n v="8000"/>
  </r>
  <r>
    <n v="113"/>
    <x v="0"/>
    <x v="41"/>
    <n v="8000"/>
  </r>
  <r>
    <n v="113"/>
    <x v="0"/>
    <x v="42"/>
    <n v="8000"/>
  </r>
  <r>
    <n v="113"/>
    <x v="0"/>
    <x v="43"/>
    <n v="8000"/>
  </r>
  <r>
    <n v="113"/>
    <x v="0"/>
    <x v="44"/>
    <n v="8000"/>
  </r>
  <r>
    <n v="113"/>
    <x v="0"/>
    <x v="45"/>
    <n v="8000"/>
  </r>
  <r>
    <n v="113"/>
    <x v="0"/>
    <x v="55"/>
    <n v="8000"/>
  </r>
  <r>
    <n v="113"/>
    <x v="0"/>
    <x v="46"/>
    <n v="8000"/>
  </r>
  <r>
    <n v="113"/>
    <x v="0"/>
    <x v="56"/>
    <n v="8000"/>
  </r>
  <r>
    <n v="113"/>
    <x v="0"/>
    <x v="47"/>
    <n v="9600"/>
  </r>
  <r>
    <n v="113"/>
    <x v="0"/>
    <x v="52"/>
    <n v="9600"/>
  </r>
  <r>
    <n v="113"/>
    <x v="0"/>
    <x v="57"/>
    <n v="9600"/>
  </r>
  <r>
    <n v="113"/>
    <x v="0"/>
    <x v="58"/>
    <n v="9600"/>
  </r>
  <r>
    <n v="113"/>
    <x v="0"/>
    <x v="59"/>
    <n v="9600"/>
  </r>
  <r>
    <n v="113"/>
    <x v="0"/>
    <x v="60"/>
    <n v="9600"/>
  </r>
  <r>
    <n v="113"/>
    <x v="0"/>
    <x v="61"/>
    <n v="9600"/>
  </r>
  <r>
    <n v="113"/>
    <x v="0"/>
    <x v="62"/>
    <n v="9600"/>
  </r>
  <r>
    <n v="113"/>
    <x v="0"/>
    <x v="63"/>
    <n v="9600"/>
  </r>
  <r>
    <n v="113"/>
    <x v="1"/>
    <x v="48"/>
    <n v="10"/>
  </r>
  <r>
    <n v="113"/>
    <x v="1"/>
    <x v="64"/>
    <n v="10"/>
  </r>
  <r>
    <n v="113"/>
    <x v="1"/>
    <x v="65"/>
    <n v="10"/>
  </r>
  <r>
    <n v="114"/>
    <x v="0"/>
    <x v="29"/>
    <n v="3700"/>
  </r>
  <r>
    <n v="114"/>
    <x v="0"/>
    <x v="30"/>
    <n v="3700"/>
  </r>
  <r>
    <n v="114"/>
    <x v="0"/>
    <x v="31"/>
    <n v="3700"/>
  </r>
  <r>
    <n v="114"/>
    <x v="0"/>
    <x v="32"/>
    <n v="3700"/>
  </r>
  <r>
    <n v="114"/>
    <x v="0"/>
    <x v="33"/>
    <n v="3700"/>
  </r>
  <r>
    <n v="114"/>
    <x v="0"/>
    <x v="34"/>
    <n v="3700"/>
  </r>
  <r>
    <n v="114"/>
    <x v="0"/>
    <x v="35"/>
    <n v="3700"/>
  </r>
  <r>
    <n v="114"/>
    <x v="0"/>
    <x v="36"/>
    <n v="3700"/>
  </r>
  <r>
    <n v="114"/>
    <x v="0"/>
    <x v="37"/>
    <n v="3700"/>
  </r>
  <r>
    <n v="114"/>
    <x v="0"/>
    <x v="38"/>
    <n v="3700"/>
  </r>
  <r>
    <n v="114"/>
    <x v="0"/>
    <x v="39"/>
    <n v="3700"/>
  </r>
  <r>
    <n v="114"/>
    <x v="0"/>
    <x v="40"/>
    <n v="3700"/>
  </r>
  <r>
    <n v="114"/>
    <x v="0"/>
    <x v="41"/>
    <n v="3700"/>
  </r>
  <r>
    <n v="114"/>
    <x v="0"/>
    <x v="42"/>
    <n v="3700"/>
  </r>
  <r>
    <n v="114"/>
    <x v="0"/>
    <x v="43"/>
    <n v="3700"/>
  </r>
  <r>
    <n v="114"/>
    <x v="0"/>
    <x v="44"/>
    <n v="3700"/>
  </r>
  <r>
    <n v="114"/>
    <x v="0"/>
    <x v="45"/>
    <n v="3700"/>
  </r>
  <r>
    <n v="114"/>
    <x v="0"/>
    <x v="55"/>
    <n v="3700"/>
  </r>
  <r>
    <n v="114"/>
    <x v="0"/>
    <x v="46"/>
    <n v="3700"/>
  </r>
  <r>
    <n v="114"/>
    <x v="0"/>
    <x v="47"/>
    <n v="3700"/>
  </r>
  <r>
    <n v="114"/>
    <x v="0"/>
    <x v="52"/>
    <n v="3700"/>
  </r>
  <r>
    <n v="114"/>
    <x v="0"/>
    <x v="57"/>
    <n v="5600"/>
  </r>
  <r>
    <n v="114"/>
    <x v="0"/>
    <x v="58"/>
    <n v="5600"/>
  </r>
  <r>
    <n v="114"/>
    <x v="0"/>
    <x v="60"/>
    <n v="5600"/>
  </r>
  <r>
    <n v="114"/>
    <x v="0"/>
    <x v="61"/>
    <n v="5600"/>
  </r>
  <r>
    <n v="114"/>
    <x v="0"/>
    <x v="62"/>
    <n v="5600"/>
  </r>
  <r>
    <n v="114"/>
    <x v="0"/>
    <x v="63"/>
    <n v="5600"/>
  </r>
  <r>
    <n v="114"/>
    <x v="1"/>
    <x v="86"/>
    <n v="8"/>
  </r>
  <r>
    <n v="114"/>
    <x v="1"/>
    <x v="64"/>
    <n v="8"/>
  </r>
  <r>
    <n v="114"/>
    <x v="1"/>
    <x v="65"/>
    <n v="8"/>
  </r>
  <r>
    <n v="115"/>
    <x v="0"/>
    <x v="0"/>
    <n v="5800"/>
  </r>
  <r>
    <n v="115"/>
    <x v="0"/>
    <x v="49"/>
    <n v="5800"/>
  </r>
  <r>
    <n v="115"/>
    <x v="0"/>
    <x v="1"/>
    <n v="5800"/>
  </r>
  <r>
    <n v="115"/>
    <x v="0"/>
    <x v="2"/>
    <n v="5800"/>
  </r>
  <r>
    <n v="115"/>
    <x v="0"/>
    <x v="3"/>
    <n v="5800"/>
  </r>
  <r>
    <n v="115"/>
    <x v="0"/>
    <x v="4"/>
    <n v="5800"/>
  </r>
  <r>
    <n v="116"/>
    <x v="0"/>
    <x v="0"/>
    <n v="2900"/>
  </r>
  <r>
    <n v="116"/>
    <x v="0"/>
    <x v="49"/>
    <n v="2900"/>
  </r>
  <r>
    <n v="116"/>
    <x v="0"/>
    <x v="1"/>
    <n v="2900"/>
  </r>
  <r>
    <n v="116"/>
    <x v="0"/>
    <x v="2"/>
    <n v="2900"/>
  </r>
  <r>
    <n v="116"/>
    <x v="0"/>
    <x v="3"/>
    <n v="2900"/>
  </r>
  <r>
    <n v="116"/>
    <x v="0"/>
    <x v="5"/>
    <n v="2900"/>
  </r>
  <r>
    <n v="116"/>
    <x v="0"/>
    <x v="50"/>
    <n v="2900"/>
  </r>
  <r>
    <n v="116"/>
    <x v="0"/>
    <x v="6"/>
    <n v="3200"/>
  </r>
  <r>
    <n v="116"/>
    <x v="0"/>
    <x v="8"/>
    <n v="3200"/>
  </r>
  <r>
    <n v="116"/>
    <x v="0"/>
    <x v="9"/>
    <n v="3200"/>
  </r>
  <r>
    <n v="116"/>
    <x v="0"/>
    <x v="10"/>
    <n v="3200"/>
  </r>
  <r>
    <n v="116"/>
    <x v="0"/>
    <x v="11"/>
    <n v="3200"/>
  </r>
  <r>
    <n v="116"/>
    <x v="0"/>
    <x v="12"/>
    <n v="3200"/>
  </r>
  <r>
    <n v="116"/>
    <x v="0"/>
    <x v="13"/>
    <n v="3200"/>
  </r>
  <r>
    <n v="116"/>
    <x v="0"/>
    <x v="14"/>
    <n v="3200"/>
  </r>
  <r>
    <n v="116"/>
    <x v="0"/>
    <x v="15"/>
    <n v="3200"/>
  </r>
  <r>
    <n v="116"/>
    <x v="0"/>
    <x v="16"/>
    <n v="3200"/>
  </r>
  <r>
    <n v="116"/>
    <x v="0"/>
    <x v="51"/>
    <n v="3200"/>
  </r>
  <r>
    <n v="116"/>
    <x v="0"/>
    <x v="24"/>
    <n v="2600"/>
  </r>
  <r>
    <n v="116"/>
    <x v="1"/>
    <x v="26"/>
    <n v="5"/>
  </r>
  <r>
    <n v="116"/>
    <x v="1"/>
    <x v="53"/>
    <n v="8"/>
  </r>
  <r>
    <n v="117"/>
    <x v="0"/>
    <x v="0"/>
    <n v="8800"/>
  </r>
  <r>
    <n v="117"/>
    <x v="0"/>
    <x v="49"/>
    <n v="8800"/>
  </r>
  <r>
    <n v="117"/>
    <x v="0"/>
    <x v="1"/>
    <n v="9700"/>
  </r>
  <r>
    <n v="117"/>
    <x v="0"/>
    <x v="2"/>
    <n v="9700"/>
  </r>
  <r>
    <n v="117"/>
    <x v="0"/>
    <x v="3"/>
    <n v="9700"/>
  </r>
  <r>
    <n v="117"/>
    <x v="0"/>
    <x v="4"/>
    <n v="9700"/>
  </r>
  <r>
    <n v="117"/>
    <x v="0"/>
    <x v="5"/>
    <n v="9700"/>
  </r>
  <r>
    <n v="117"/>
    <x v="0"/>
    <x v="50"/>
    <n v="9700"/>
  </r>
  <r>
    <n v="117"/>
    <x v="0"/>
    <x v="6"/>
    <n v="10700"/>
  </r>
  <r>
    <n v="117"/>
    <x v="0"/>
    <x v="7"/>
    <n v="10700"/>
  </r>
  <r>
    <n v="117"/>
    <x v="0"/>
    <x v="9"/>
    <n v="10700"/>
  </r>
  <r>
    <n v="117"/>
    <x v="0"/>
    <x v="10"/>
    <n v="10700"/>
  </r>
  <r>
    <n v="117"/>
    <x v="0"/>
    <x v="11"/>
    <n v="10700"/>
  </r>
  <r>
    <n v="117"/>
    <x v="0"/>
    <x v="12"/>
    <n v="20000"/>
  </r>
  <r>
    <n v="117"/>
    <x v="0"/>
    <x v="13"/>
    <n v="20000"/>
  </r>
  <r>
    <n v="117"/>
    <x v="0"/>
    <x v="14"/>
    <n v="20000"/>
  </r>
  <r>
    <n v="117"/>
    <x v="0"/>
    <x v="15"/>
    <n v="20000"/>
  </r>
  <r>
    <n v="117"/>
    <x v="0"/>
    <x v="16"/>
    <n v="20000"/>
  </r>
  <r>
    <n v="117"/>
    <x v="0"/>
    <x v="51"/>
    <n v="20000"/>
  </r>
  <r>
    <n v="117"/>
    <x v="0"/>
    <x v="17"/>
    <n v="20000"/>
  </r>
  <r>
    <n v="117"/>
    <x v="0"/>
    <x v="18"/>
    <n v="20000"/>
  </r>
  <r>
    <n v="117"/>
    <x v="0"/>
    <x v="19"/>
    <n v="20000"/>
  </r>
  <r>
    <n v="117"/>
    <x v="0"/>
    <x v="20"/>
    <n v="20000"/>
  </r>
  <r>
    <n v="117"/>
    <x v="0"/>
    <x v="21"/>
    <n v="20000"/>
  </r>
  <r>
    <n v="117"/>
    <x v="0"/>
    <x v="22"/>
    <n v="20000"/>
  </r>
  <r>
    <n v="117"/>
    <x v="0"/>
    <x v="23"/>
    <n v="20000"/>
  </r>
  <r>
    <n v="117"/>
    <x v="0"/>
    <x v="24"/>
    <n v="20000"/>
  </r>
  <r>
    <n v="117"/>
    <x v="0"/>
    <x v="25"/>
    <n v="20000"/>
  </r>
  <r>
    <n v="117"/>
    <x v="1"/>
    <x v="26"/>
    <n v="20"/>
  </r>
  <r>
    <n v="117"/>
    <x v="1"/>
    <x v="28"/>
    <n v="3"/>
  </r>
  <r>
    <n v="118"/>
    <x v="0"/>
    <x v="29"/>
    <n v="1000"/>
  </r>
  <r>
    <n v="118"/>
    <x v="0"/>
    <x v="30"/>
    <n v="1000"/>
  </r>
  <r>
    <n v="118"/>
    <x v="0"/>
    <x v="32"/>
    <n v="1000"/>
  </r>
  <r>
    <n v="118"/>
    <x v="0"/>
    <x v="33"/>
    <n v="1000"/>
  </r>
  <r>
    <n v="118"/>
    <x v="0"/>
    <x v="35"/>
    <n v="1000"/>
  </r>
  <r>
    <n v="118"/>
    <x v="0"/>
    <x v="36"/>
    <n v="1000"/>
  </r>
  <r>
    <n v="118"/>
    <x v="0"/>
    <x v="38"/>
    <n v="1000"/>
  </r>
  <r>
    <n v="118"/>
    <x v="0"/>
    <x v="39"/>
    <n v="1000"/>
  </r>
  <r>
    <n v="118"/>
    <x v="0"/>
    <x v="41"/>
    <n v="1000"/>
  </r>
  <r>
    <n v="118"/>
    <x v="0"/>
    <x v="42"/>
    <n v="1000"/>
  </r>
  <r>
    <n v="118"/>
    <x v="0"/>
    <x v="44"/>
    <n v="1000"/>
  </r>
  <r>
    <n v="118"/>
    <x v="0"/>
    <x v="45"/>
    <n v="1000"/>
  </r>
  <r>
    <n v="118"/>
    <x v="0"/>
    <x v="46"/>
    <n v="1000"/>
  </r>
  <r>
    <n v="118"/>
    <x v="0"/>
    <x v="56"/>
    <n v="1000"/>
  </r>
  <r>
    <n v="118"/>
    <x v="0"/>
    <x v="63"/>
    <n v="800"/>
  </r>
  <r>
    <n v="118"/>
    <x v="1"/>
    <x v="48"/>
    <n v="2"/>
  </r>
  <r>
    <n v="119"/>
    <x v="0"/>
    <x v="29"/>
    <n v="2400"/>
  </r>
  <r>
    <n v="119"/>
    <x v="0"/>
    <x v="30"/>
    <n v="2400"/>
  </r>
  <r>
    <n v="119"/>
    <x v="0"/>
    <x v="31"/>
    <n v="2400"/>
  </r>
  <r>
    <n v="119"/>
    <x v="0"/>
    <x v="33"/>
    <n v="2400"/>
  </r>
  <r>
    <n v="119"/>
    <x v="0"/>
    <x v="34"/>
    <n v="2400"/>
  </r>
  <r>
    <n v="119"/>
    <x v="0"/>
    <x v="36"/>
    <n v="2400"/>
  </r>
  <r>
    <n v="119"/>
    <x v="0"/>
    <x v="37"/>
    <n v="2900"/>
  </r>
  <r>
    <n v="119"/>
    <x v="0"/>
    <x v="8"/>
    <n v="2900"/>
  </r>
  <r>
    <n v="119"/>
    <x v="0"/>
    <x v="39"/>
    <n v="2900"/>
  </r>
  <r>
    <n v="119"/>
    <x v="0"/>
    <x v="40"/>
    <n v="2900"/>
  </r>
  <r>
    <n v="119"/>
    <x v="0"/>
    <x v="41"/>
    <n v="2900"/>
  </r>
  <r>
    <n v="119"/>
    <x v="0"/>
    <x v="42"/>
    <n v="2900"/>
  </r>
  <r>
    <n v="119"/>
    <x v="0"/>
    <x v="44"/>
    <n v="3500"/>
  </r>
  <r>
    <n v="119"/>
    <x v="0"/>
    <x v="45"/>
    <n v="3500"/>
  </r>
  <r>
    <n v="119"/>
    <x v="0"/>
    <x v="55"/>
    <n v="3500"/>
  </r>
  <r>
    <n v="119"/>
    <x v="0"/>
    <x v="46"/>
    <n v="3500"/>
  </r>
  <r>
    <n v="119"/>
    <x v="0"/>
    <x v="56"/>
    <n v="3500"/>
  </r>
  <r>
    <n v="119"/>
    <x v="0"/>
    <x v="47"/>
    <n v="4200"/>
  </r>
  <r>
    <n v="119"/>
    <x v="0"/>
    <x v="52"/>
    <n v="4200"/>
  </r>
  <r>
    <n v="119"/>
    <x v="0"/>
    <x v="57"/>
    <n v="4200"/>
  </r>
  <r>
    <n v="119"/>
    <x v="0"/>
    <x v="58"/>
    <n v="4200"/>
  </r>
  <r>
    <n v="119"/>
    <x v="0"/>
    <x v="59"/>
    <n v="4200"/>
  </r>
  <r>
    <n v="119"/>
    <x v="0"/>
    <x v="60"/>
    <n v="4200"/>
  </r>
  <r>
    <n v="119"/>
    <x v="0"/>
    <x v="62"/>
    <n v="4200"/>
  </r>
  <r>
    <n v="119"/>
    <x v="0"/>
    <x v="63"/>
    <n v="4200"/>
  </r>
  <r>
    <n v="119"/>
    <x v="1"/>
    <x v="48"/>
    <n v="8"/>
  </r>
  <r>
    <n v="119"/>
    <x v="1"/>
    <x v="64"/>
    <n v="8"/>
  </r>
  <r>
    <n v="119"/>
    <x v="1"/>
    <x v="85"/>
    <n v="4"/>
  </r>
  <r>
    <n v="120"/>
    <x v="1"/>
    <x v="67"/>
    <n v="6"/>
  </r>
  <r>
    <n v="120"/>
    <x v="1"/>
    <x v="28"/>
    <n v="8"/>
  </r>
  <r>
    <n v="121"/>
    <x v="0"/>
    <x v="1"/>
    <n v="3500"/>
  </r>
  <r>
    <n v="121"/>
    <x v="0"/>
    <x v="2"/>
    <n v="3500"/>
  </r>
  <r>
    <n v="121"/>
    <x v="0"/>
    <x v="4"/>
    <n v="3500"/>
  </r>
  <r>
    <n v="121"/>
    <x v="0"/>
    <x v="5"/>
    <n v="3500"/>
  </r>
  <r>
    <n v="121"/>
    <x v="0"/>
    <x v="6"/>
    <n v="3500"/>
  </r>
  <r>
    <n v="121"/>
    <x v="0"/>
    <x v="7"/>
    <n v="3500"/>
  </r>
  <r>
    <n v="121"/>
    <x v="0"/>
    <x v="8"/>
    <n v="3500"/>
  </r>
  <r>
    <n v="121"/>
    <x v="0"/>
    <x v="9"/>
    <n v="3500"/>
  </r>
  <r>
    <n v="121"/>
    <x v="0"/>
    <x v="10"/>
    <n v="3500"/>
  </r>
  <r>
    <n v="121"/>
    <x v="0"/>
    <x v="11"/>
    <n v="3500"/>
  </r>
  <r>
    <n v="121"/>
    <x v="0"/>
    <x v="43"/>
    <n v="3500"/>
  </r>
  <r>
    <n v="121"/>
    <x v="1"/>
    <x v="73"/>
    <n v="5"/>
  </r>
  <r>
    <n v="122"/>
    <x v="0"/>
    <x v="3"/>
    <n v="20000"/>
  </r>
  <r>
    <n v="122"/>
    <x v="0"/>
    <x v="4"/>
    <n v="20000"/>
  </r>
  <r>
    <n v="122"/>
    <x v="0"/>
    <x v="5"/>
    <n v="20000"/>
  </r>
  <r>
    <n v="122"/>
    <x v="0"/>
    <x v="50"/>
    <n v="20000"/>
  </r>
  <r>
    <n v="122"/>
    <x v="0"/>
    <x v="6"/>
    <n v="20000"/>
  </r>
  <r>
    <n v="122"/>
    <x v="0"/>
    <x v="7"/>
    <n v="20000"/>
  </r>
  <r>
    <n v="122"/>
    <x v="0"/>
    <x v="8"/>
    <n v="20000"/>
  </r>
  <r>
    <n v="122"/>
    <x v="0"/>
    <x v="9"/>
    <n v="20000"/>
  </r>
  <r>
    <n v="122"/>
    <x v="0"/>
    <x v="10"/>
    <n v="20000"/>
  </r>
  <r>
    <n v="122"/>
    <x v="0"/>
    <x v="11"/>
    <n v="20000"/>
  </r>
  <r>
    <n v="122"/>
    <x v="0"/>
    <x v="25"/>
    <n v="18000"/>
  </r>
  <r>
    <n v="122"/>
    <x v="1"/>
    <x v="26"/>
    <n v="16"/>
  </r>
  <r>
    <n v="122"/>
    <x v="1"/>
    <x v="53"/>
    <n v="1"/>
  </r>
  <r>
    <n v="123"/>
    <x v="1"/>
    <x v="95"/>
    <n v="4"/>
  </r>
  <r>
    <n v="123"/>
    <x v="1"/>
    <x v="69"/>
    <n v="1"/>
  </r>
  <r>
    <n v="123"/>
    <x v="1"/>
    <x v="65"/>
    <n v="1"/>
  </r>
  <r>
    <n v="124"/>
    <x v="0"/>
    <x v="41"/>
    <n v="6000"/>
  </r>
  <r>
    <n v="125"/>
    <x v="0"/>
    <x v="29"/>
    <n v="4300"/>
  </r>
  <r>
    <n v="125"/>
    <x v="0"/>
    <x v="30"/>
    <n v="4300"/>
  </r>
  <r>
    <n v="125"/>
    <x v="0"/>
    <x v="32"/>
    <n v="4300"/>
  </r>
  <r>
    <n v="125"/>
    <x v="0"/>
    <x v="33"/>
    <n v="4300"/>
  </r>
  <r>
    <n v="125"/>
    <x v="0"/>
    <x v="34"/>
    <n v="4300"/>
  </r>
  <r>
    <n v="125"/>
    <x v="0"/>
    <x v="35"/>
    <n v="4300"/>
  </r>
  <r>
    <n v="125"/>
    <x v="0"/>
    <x v="36"/>
    <n v="4300"/>
  </r>
  <r>
    <n v="125"/>
    <x v="0"/>
    <x v="37"/>
    <n v="4300"/>
  </r>
  <r>
    <n v="125"/>
    <x v="0"/>
    <x v="38"/>
    <n v="5200"/>
  </r>
  <r>
    <n v="125"/>
    <x v="0"/>
    <x v="39"/>
    <n v="5200"/>
  </r>
  <r>
    <n v="125"/>
    <x v="0"/>
    <x v="40"/>
    <n v="5200"/>
  </r>
  <r>
    <n v="125"/>
    <x v="0"/>
    <x v="41"/>
    <n v="5200"/>
  </r>
  <r>
    <n v="125"/>
    <x v="0"/>
    <x v="42"/>
    <n v="5200"/>
  </r>
  <r>
    <n v="125"/>
    <x v="0"/>
    <x v="43"/>
    <n v="7500"/>
  </r>
  <r>
    <n v="125"/>
    <x v="0"/>
    <x v="44"/>
    <n v="7500"/>
  </r>
  <r>
    <n v="125"/>
    <x v="0"/>
    <x v="45"/>
    <n v="7500"/>
  </r>
  <r>
    <n v="125"/>
    <x v="0"/>
    <x v="55"/>
    <n v="7500"/>
  </r>
  <r>
    <n v="125"/>
    <x v="0"/>
    <x v="46"/>
    <n v="7500"/>
  </r>
  <r>
    <n v="125"/>
    <x v="0"/>
    <x v="56"/>
    <n v="7500"/>
  </r>
  <r>
    <n v="125"/>
    <x v="0"/>
    <x v="52"/>
    <n v="7500"/>
  </r>
  <r>
    <n v="125"/>
    <x v="0"/>
    <x v="57"/>
    <n v="7500"/>
  </r>
  <r>
    <n v="125"/>
    <x v="0"/>
    <x v="59"/>
    <n v="7500"/>
  </r>
  <r>
    <n v="125"/>
    <x v="0"/>
    <x v="60"/>
    <n v="7500"/>
  </r>
  <r>
    <n v="125"/>
    <x v="0"/>
    <x v="61"/>
    <n v="7500"/>
  </r>
  <r>
    <n v="125"/>
    <x v="0"/>
    <x v="62"/>
    <n v="7500"/>
  </r>
  <r>
    <n v="125"/>
    <x v="0"/>
    <x v="63"/>
    <n v="9800"/>
  </r>
  <r>
    <n v="125"/>
    <x v="1"/>
    <x v="48"/>
    <n v="10"/>
  </r>
  <r>
    <n v="125"/>
    <x v="1"/>
    <x v="64"/>
    <n v="13"/>
  </r>
  <r>
    <n v="125"/>
    <x v="1"/>
    <x v="65"/>
    <n v="13"/>
  </r>
  <r>
    <n v="126"/>
    <x v="0"/>
    <x v="1"/>
    <n v="7500"/>
  </r>
  <r>
    <n v="126"/>
    <x v="0"/>
    <x v="2"/>
    <n v="7500"/>
  </r>
  <r>
    <n v="126"/>
    <x v="0"/>
    <x v="3"/>
    <n v="7500"/>
  </r>
  <r>
    <n v="126"/>
    <x v="0"/>
    <x v="4"/>
    <n v="7500"/>
  </r>
  <r>
    <n v="126"/>
    <x v="0"/>
    <x v="5"/>
    <n v="7500"/>
  </r>
  <r>
    <n v="126"/>
    <x v="0"/>
    <x v="50"/>
    <n v="7500"/>
  </r>
  <r>
    <n v="126"/>
    <x v="0"/>
    <x v="6"/>
    <n v="7500"/>
  </r>
  <r>
    <n v="126"/>
    <x v="0"/>
    <x v="7"/>
    <n v="7500"/>
  </r>
  <r>
    <n v="126"/>
    <x v="0"/>
    <x v="8"/>
    <n v="7500"/>
  </r>
  <r>
    <n v="126"/>
    <x v="0"/>
    <x v="9"/>
    <n v="7500"/>
  </r>
  <r>
    <n v="126"/>
    <x v="0"/>
    <x v="10"/>
    <n v="7500"/>
  </r>
  <r>
    <n v="126"/>
    <x v="0"/>
    <x v="11"/>
    <n v="7500"/>
  </r>
  <r>
    <n v="126"/>
    <x v="0"/>
    <x v="12"/>
    <n v="7500"/>
  </r>
  <r>
    <n v="126"/>
    <x v="0"/>
    <x v="13"/>
    <n v="7500"/>
  </r>
  <r>
    <n v="126"/>
    <x v="0"/>
    <x v="14"/>
    <n v="7500"/>
  </r>
  <r>
    <n v="126"/>
    <x v="0"/>
    <x v="15"/>
    <n v="7500"/>
  </r>
  <r>
    <n v="126"/>
    <x v="0"/>
    <x v="16"/>
    <n v="7500"/>
  </r>
  <r>
    <n v="126"/>
    <x v="0"/>
    <x v="51"/>
    <n v="7500"/>
  </r>
  <r>
    <n v="126"/>
    <x v="0"/>
    <x v="24"/>
    <n v="6800"/>
  </r>
  <r>
    <n v="126"/>
    <x v="0"/>
    <x v="25"/>
    <n v="6800"/>
  </r>
  <r>
    <n v="126"/>
    <x v="1"/>
    <x v="26"/>
    <n v="10"/>
  </r>
  <r>
    <n v="126"/>
    <x v="1"/>
    <x v="53"/>
    <n v="2"/>
  </r>
  <r>
    <n v="127"/>
    <x v="1"/>
    <x v="68"/>
    <n v="5"/>
  </r>
  <r>
    <n v="128"/>
    <x v="0"/>
    <x v="29"/>
    <n v="1500"/>
  </r>
  <r>
    <n v="128"/>
    <x v="0"/>
    <x v="30"/>
    <n v="1500"/>
  </r>
  <r>
    <n v="128"/>
    <x v="0"/>
    <x v="31"/>
    <n v="1500"/>
  </r>
  <r>
    <n v="128"/>
    <x v="0"/>
    <x v="32"/>
    <n v="1500"/>
  </r>
  <r>
    <n v="128"/>
    <x v="0"/>
    <x v="33"/>
    <n v="1500"/>
  </r>
  <r>
    <n v="128"/>
    <x v="0"/>
    <x v="34"/>
    <n v="1500"/>
  </r>
  <r>
    <n v="128"/>
    <x v="0"/>
    <x v="35"/>
    <n v="1500"/>
  </r>
  <r>
    <n v="128"/>
    <x v="0"/>
    <x v="36"/>
    <n v="1500"/>
  </r>
  <r>
    <n v="128"/>
    <x v="0"/>
    <x v="37"/>
    <n v="2300"/>
  </r>
  <r>
    <n v="128"/>
    <x v="0"/>
    <x v="38"/>
    <n v="2300"/>
  </r>
  <r>
    <n v="128"/>
    <x v="0"/>
    <x v="39"/>
    <n v="2300"/>
  </r>
  <r>
    <n v="128"/>
    <x v="0"/>
    <x v="40"/>
    <n v="2300"/>
  </r>
  <r>
    <n v="128"/>
    <x v="0"/>
    <x v="41"/>
    <n v="2300"/>
  </r>
  <r>
    <n v="128"/>
    <x v="0"/>
    <x v="42"/>
    <n v="2300"/>
  </r>
  <r>
    <n v="128"/>
    <x v="0"/>
    <x v="44"/>
    <n v="2300"/>
  </r>
  <r>
    <n v="128"/>
    <x v="0"/>
    <x v="45"/>
    <n v="2300"/>
  </r>
  <r>
    <n v="128"/>
    <x v="0"/>
    <x v="55"/>
    <n v="2300"/>
  </r>
  <r>
    <n v="128"/>
    <x v="0"/>
    <x v="46"/>
    <n v="2300"/>
  </r>
  <r>
    <n v="128"/>
    <x v="0"/>
    <x v="56"/>
    <n v="2300"/>
  </r>
  <r>
    <n v="128"/>
    <x v="0"/>
    <x v="47"/>
    <n v="2300"/>
  </r>
  <r>
    <n v="128"/>
    <x v="0"/>
    <x v="52"/>
    <n v="2300"/>
  </r>
  <r>
    <n v="128"/>
    <x v="0"/>
    <x v="57"/>
    <n v="2300"/>
  </r>
  <r>
    <n v="128"/>
    <x v="0"/>
    <x v="58"/>
    <n v="2300"/>
  </r>
  <r>
    <n v="128"/>
    <x v="0"/>
    <x v="59"/>
    <n v="2300"/>
  </r>
  <r>
    <n v="128"/>
    <x v="0"/>
    <x v="60"/>
    <n v="2300"/>
  </r>
  <r>
    <n v="128"/>
    <x v="0"/>
    <x v="61"/>
    <n v="2300"/>
  </r>
  <r>
    <n v="128"/>
    <x v="0"/>
    <x v="62"/>
    <n v="2300"/>
  </r>
  <r>
    <n v="128"/>
    <x v="1"/>
    <x v="71"/>
    <n v="1"/>
  </r>
  <r>
    <n v="128"/>
    <x v="1"/>
    <x v="64"/>
    <n v="1"/>
  </r>
  <r>
    <n v="128"/>
    <x v="1"/>
    <x v="65"/>
    <n v="2"/>
  </r>
  <r>
    <n v="129"/>
    <x v="0"/>
    <x v="29"/>
    <n v="4000"/>
  </r>
  <r>
    <n v="129"/>
    <x v="0"/>
    <x v="30"/>
    <n v="4000"/>
  </r>
  <r>
    <n v="129"/>
    <x v="0"/>
    <x v="47"/>
    <n v="5200"/>
  </r>
  <r>
    <n v="129"/>
    <x v="0"/>
    <x v="18"/>
    <n v="5200"/>
  </r>
  <r>
    <n v="129"/>
    <x v="0"/>
    <x v="57"/>
    <n v="5200"/>
  </r>
  <r>
    <n v="129"/>
    <x v="0"/>
    <x v="58"/>
    <n v="5200"/>
  </r>
  <r>
    <n v="129"/>
    <x v="0"/>
    <x v="21"/>
    <n v="5200"/>
  </r>
  <r>
    <n v="129"/>
    <x v="0"/>
    <x v="60"/>
    <n v="5200"/>
  </r>
  <r>
    <n v="129"/>
    <x v="0"/>
    <x v="62"/>
    <n v="5200"/>
  </r>
  <r>
    <n v="129"/>
    <x v="0"/>
    <x v="63"/>
    <n v="6500"/>
  </r>
  <r>
    <n v="129"/>
    <x v="1"/>
    <x v="48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22">
  <r>
    <x v="0"/>
    <x v="0"/>
    <d v="2012-07-02T00:00:00"/>
    <n v="1500"/>
    <s v="Jul 2012"/>
  </r>
  <r>
    <x v="0"/>
    <x v="0"/>
    <d v="2012-07-06T00:00:00"/>
    <n v="1500"/>
    <s v="Jul 2012"/>
  </r>
  <r>
    <x v="0"/>
    <x v="0"/>
    <d v="2012-07-09T00:00:00"/>
    <n v="1500"/>
    <s v="Jul 2012"/>
  </r>
  <r>
    <x v="0"/>
    <x v="0"/>
    <d v="2012-07-11T00:00:00"/>
    <n v="1500"/>
    <s v="Jul 2012"/>
  </r>
  <r>
    <x v="0"/>
    <x v="0"/>
    <d v="2012-07-13T00:00:00"/>
    <n v="1500"/>
    <s v="Jul 2012"/>
  </r>
  <r>
    <x v="0"/>
    <x v="0"/>
    <d v="2012-07-16T00:00:00"/>
    <n v="1500"/>
    <s v="Jul 2012"/>
  </r>
  <r>
    <x v="0"/>
    <x v="0"/>
    <d v="2012-07-20T00:00:00"/>
    <n v="1500"/>
    <s v="Jul 2012"/>
  </r>
  <r>
    <x v="0"/>
    <x v="0"/>
    <d v="2012-07-23T00:00:00"/>
    <n v="1500"/>
    <s v="Jul 2012"/>
  </r>
  <r>
    <x v="0"/>
    <x v="0"/>
    <d v="2012-07-25T00:00:00"/>
    <n v="1700"/>
    <s v="Jul 2012"/>
  </r>
  <r>
    <x v="0"/>
    <x v="0"/>
    <d v="2012-07-27T00:00:00"/>
    <n v="1700"/>
    <s v="Jul 2012"/>
  </r>
  <r>
    <x v="0"/>
    <x v="0"/>
    <d v="2012-07-30T00:00:00"/>
    <n v="1700"/>
    <s v="Jul 2012"/>
  </r>
  <r>
    <x v="0"/>
    <x v="0"/>
    <d v="2012-08-01T00:00:00"/>
    <n v="1700"/>
    <s v="Aug 2012"/>
  </r>
  <r>
    <x v="0"/>
    <x v="0"/>
    <d v="2012-08-03T00:00:00"/>
    <n v="1700"/>
    <s v="Aug 2012"/>
  </r>
  <r>
    <x v="0"/>
    <x v="0"/>
    <d v="2012-08-06T00:00:00"/>
    <n v="1700"/>
    <s v="Aug 2012"/>
  </r>
  <r>
    <x v="0"/>
    <x v="0"/>
    <d v="2012-08-08T00:00:00"/>
    <n v="1700"/>
    <s v="Aug 2012"/>
  </r>
  <r>
    <x v="0"/>
    <x v="0"/>
    <d v="2012-08-10T00:00:00"/>
    <n v="1700"/>
    <s v="Aug 2012"/>
  </r>
  <r>
    <x v="0"/>
    <x v="0"/>
    <d v="2012-08-13T00:00:00"/>
    <n v="1700"/>
    <s v="Aug 2012"/>
  </r>
  <r>
    <x v="0"/>
    <x v="0"/>
    <d v="2012-08-17T00:00:00"/>
    <n v="1700"/>
    <s v="Aug 2012"/>
  </r>
  <r>
    <x v="0"/>
    <x v="0"/>
    <d v="2012-08-20T00:00:00"/>
    <n v="1700"/>
    <s v="Aug 2012"/>
  </r>
  <r>
    <x v="0"/>
    <x v="0"/>
    <d v="2012-08-22T00:00:00"/>
    <n v="1700"/>
    <s v="Aug 2012"/>
  </r>
  <r>
    <x v="0"/>
    <x v="0"/>
    <d v="2012-08-24T00:00:00"/>
    <n v="1900"/>
    <s v="Aug 2012"/>
  </r>
  <r>
    <x v="0"/>
    <x v="0"/>
    <d v="2012-08-27T00:00:00"/>
    <n v="1900"/>
    <s v="Aug 2012"/>
  </r>
  <r>
    <x v="0"/>
    <x v="0"/>
    <d v="2012-08-29T00:00:00"/>
    <n v="1900"/>
    <s v="Aug 2012"/>
  </r>
  <r>
    <x v="0"/>
    <x v="0"/>
    <d v="2012-08-31T00:00:00"/>
    <n v="1900"/>
    <s v="Aug 2012"/>
  </r>
  <r>
    <x v="0"/>
    <x v="0"/>
    <d v="2012-09-03T00:00:00"/>
    <n v="1900"/>
    <s v="Sep 2012"/>
  </r>
  <r>
    <x v="0"/>
    <x v="0"/>
    <d v="2012-09-05T00:00:00"/>
    <n v="1900"/>
    <s v="Sep 2012"/>
  </r>
  <r>
    <x v="0"/>
    <x v="1"/>
    <d v="2012-09-12T00:00:00"/>
    <n v="4"/>
    <s v="Sep 2012"/>
  </r>
  <r>
    <x v="0"/>
    <x v="1"/>
    <d v="2012-10-17T00:00:00"/>
    <n v="3"/>
    <s v="Oct 2012"/>
  </r>
  <r>
    <x v="0"/>
    <x v="1"/>
    <d v="2012-11-28T00:00:00"/>
    <n v="1"/>
    <s v="Nov 2012"/>
  </r>
  <r>
    <x v="1"/>
    <x v="0"/>
    <d v="2012-07-03T00:00:00"/>
    <n v="1100"/>
    <s v="Jul 2012"/>
  </r>
  <r>
    <x v="1"/>
    <x v="0"/>
    <d v="2012-07-05T00:00:00"/>
    <n v="1100"/>
    <s v="Jul 2012"/>
  </r>
  <r>
    <x v="1"/>
    <x v="0"/>
    <d v="2012-07-06T00:00:00"/>
    <n v="1300"/>
    <s v="Jul 2012"/>
  </r>
  <r>
    <x v="1"/>
    <x v="0"/>
    <d v="2012-07-07T00:00:00"/>
    <n v="1300"/>
    <s v="Jul 2012"/>
  </r>
  <r>
    <x v="1"/>
    <x v="0"/>
    <d v="2012-07-10T00:00:00"/>
    <n v="1300"/>
    <s v="Jul 2012"/>
  </r>
  <r>
    <x v="1"/>
    <x v="0"/>
    <d v="2012-07-12T00:00:00"/>
    <n v="1300"/>
    <s v="Jul 2012"/>
  </r>
  <r>
    <x v="1"/>
    <x v="0"/>
    <d v="2012-07-14T00:00:00"/>
    <n v="1300"/>
    <s v="Jul 2012"/>
  </r>
  <r>
    <x v="1"/>
    <x v="0"/>
    <d v="2012-07-17T00:00:00"/>
    <n v="1300"/>
    <s v="Jul 2012"/>
  </r>
  <r>
    <x v="1"/>
    <x v="0"/>
    <d v="2012-07-19T00:00:00"/>
    <n v="1300"/>
    <s v="Jul 2012"/>
  </r>
  <r>
    <x v="1"/>
    <x v="0"/>
    <d v="2012-07-21T00:00:00"/>
    <n v="1300"/>
    <s v="Jul 2012"/>
  </r>
  <r>
    <x v="1"/>
    <x v="0"/>
    <d v="2012-07-24T00:00:00"/>
    <n v="1300"/>
    <s v="Jul 2012"/>
  </r>
  <r>
    <x v="1"/>
    <x v="0"/>
    <d v="2012-07-26T00:00:00"/>
    <n v="1300"/>
    <s v="Jul 2012"/>
  </r>
  <r>
    <x v="1"/>
    <x v="0"/>
    <d v="2012-07-28T00:00:00"/>
    <n v="1300"/>
    <s v="Jul 2012"/>
  </r>
  <r>
    <x v="1"/>
    <x v="0"/>
    <d v="2012-07-31T00:00:00"/>
    <n v="1300"/>
    <s v="Jul 2012"/>
  </r>
  <r>
    <x v="1"/>
    <x v="0"/>
    <d v="2012-08-02T00:00:00"/>
    <n v="1300"/>
    <s v="Aug 2012"/>
  </r>
  <r>
    <x v="1"/>
    <x v="0"/>
    <d v="2012-08-04T00:00:00"/>
    <n v="1300"/>
    <s v="Aug 2012"/>
  </r>
  <r>
    <x v="1"/>
    <x v="0"/>
    <d v="2012-08-07T00:00:00"/>
    <n v="1300"/>
    <s v="Aug 2012"/>
  </r>
  <r>
    <x v="1"/>
    <x v="0"/>
    <d v="2012-08-09T00:00:00"/>
    <n v="1300"/>
    <s v="Aug 2012"/>
  </r>
  <r>
    <x v="1"/>
    <x v="0"/>
    <d v="2012-08-10T00:00:00"/>
    <n v="1300"/>
    <s v="Aug 2012"/>
  </r>
  <r>
    <x v="1"/>
    <x v="0"/>
    <d v="2012-08-14T00:00:00"/>
    <n v="1300"/>
    <s v="Aug 2012"/>
  </r>
  <r>
    <x v="1"/>
    <x v="0"/>
    <d v="2012-08-18T00:00:00"/>
    <n v="1300"/>
    <s v="Aug 2012"/>
  </r>
  <r>
    <x v="1"/>
    <x v="1"/>
    <d v="2012-09-13T00:00:00"/>
    <n v="3"/>
    <s v="Sep 2012"/>
  </r>
  <r>
    <x v="2"/>
    <x v="0"/>
    <d v="2012-07-02T00:00:00"/>
    <n v="100"/>
    <s v="Jul 2012"/>
  </r>
  <r>
    <x v="2"/>
    <x v="0"/>
    <d v="2012-07-04T00:00:00"/>
    <n v="100"/>
    <s v="Jul 2012"/>
  </r>
  <r>
    <x v="3"/>
    <x v="0"/>
    <d v="2012-07-02T00:00:00"/>
    <n v="1200"/>
    <s v="Jul 2012"/>
  </r>
  <r>
    <x v="3"/>
    <x v="0"/>
    <d v="2012-07-04T00:00:00"/>
    <n v="1200"/>
    <s v="Jul 2012"/>
  </r>
  <r>
    <x v="3"/>
    <x v="0"/>
    <d v="2012-07-06T00:00:00"/>
    <n v="1200"/>
    <s v="Jul 2012"/>
  </r>
  <r>
    <x v="3"/>
    <x v="0"/>
    <d v="2012-07-09T00:00:00"/>
    <n v="1200"/>
    <s v="Jul 2012"/>
  </r>
  <r>
    <x v="3"/>
    <x v="0"/>
    <d v="2012-07-11T00:00:00"/>
    <n v="1200"/>
    <s v="Jul 2012"/>
  </r>
  <r>
    <x v="3"/>
    <x v="0"/>
    <d v="2012-07-13T00:00:00"/>
    <n v="1200"/>
    <s v="Jul 2012"/>
  </r>
  <r>
    <x v="3"/>
    <x v="0"/>
    <d v="2012-07-16T00:00:00"/>
    <n v="1200"/>
    <s v="Jul 2012"/>
  </r>
  <r>
    <x v="3"/>
    <x v="0"/>
    <d v="2012-07-18T00:00:00"/>
    <n v="1200"/>
    <s v="Jul 2012"/>
  </r>
  <r>
    <x v="3"/>
    <x v="0"/>
    <d v="2012-07-20T00:00:00"/>
    <n v="1200"/>
    <s v="Jul 2012"/>
  </r>
  <r>
    <x v="3"/>
    <x v="0"/>
    <d v="2012-07-23T00:00:00"/>
    <n v="1200"/>
    <s v="Jul 2012"/>
  </r>
  <r>
    <x v="3"/>
    <x v="0"/>
    <d v="2012-07-25T00:00:00"/>
    <n v="1200"/>
    <s v="Jul 2012"/>
  </r>
  <r>
    <x v="3"/>
    <x v="0"/>
    <d v="2012-07-27T00:00:00"/>
    <n v="1200"/>
    <s v="Jul 2012"/>
  </r>
  <r>
    <x v="3"/>
    <x v="0"/>
    <d v="2012-07-30T00:00:00"/>
    <n v="1200"/>
    <s v="Jul 2012"/>
  </r>
  <r>
    <x v="3"/>
    <x v="0"/>
    <d v="2012-08-01T00:00:00"/>
    <n v="1200"/>
    <s v="Aug 2012"/>
  </r>
  <r>
    <x v="3"/>
    <x v="0"/>
    <d v="2012-08-03T00:00:00"/>
    <n v="1200"/>
    <s v="Aug 2012"/>
  </r>
  <r>
    <x v="3"/>
    <x v="0"/>
    <d v="2012-08-06T00:00:00"/>
    <n v="1300"/>
    <s v="Aug 2012"/>
  </r>
  <r>
    <x v="3"/>
    <x v="0"/>
    <d v="2012-08-08T00:00:00"/>
    <n v="1300"/>
    <s v="Aug 2012"/>
  </r>
  <r>
    <x v="3"/>
    <x v="0"/>
    <d v="2012-08-10T00:00:00"/>
    <n v="1300"/>
    <s v="Aug 2012"/>
  </r>
  <r>
    <x v="3"/>
    <x v="0"/>
    <d v="2012-08-13T00:00:00"/>
    <n v="1300"/>
    <s v="Aug 2012"/>
  </r>
  <r>
    <x v="3"/>
    <x v="0"/>
    <d v="2012-08-15T00:00:00"/>
    <n v="1300"/>
    <s v="Aug 2012"/>
  </r>
  <r>
    <x v="3"/>
    <x v="0"/>
    <d v="2012-08-17T00:00:00"/>
    <n v="1300"/>
    <s v="Aug 2012"/>
  </r>
  <r>
    <x v="3"/>
    <x v="0"/>
    <d v="2012-08-21T00:00:00"/>
    <n v="1300"/>
    <s v="Aug 2012"/>
  </r>
  <r>
    <x v="3"/>
    <x v="0"/>
    <d v="2012-08-22T00:00:00"/>
    <n v="1300"/>
    <s v="Aug 2012"/>
  </r>
  <r>
    <x v="3"/>
    <x v="0"/>
    <d v="2012-08-24T00:00:00"/>
    <n v="1300"/>
    <s v="Aug 2012"/>
  </r>
  <r>
    <x v="3"/>
    <x v="0"/>
    <d v="2012-08-27T00:00:00"/>
    <n v="1300"/>
    <s v="Aug 2012"/>
  </r>
  <r>
    <x v="3"/>
    <x v="0"/>
    <d v="2012-08-29T00:00:00"/>
    <n v="1300"/>
    <s v="Aug 2012"/>
  </r>
  <r>
    <x v="3"/>
    <x v="0"/>
    <d v="2012-08-31T00:00:00"/>
    <n v="1300"/>
    <s v="Aug 2012"/>
  </r>
  <r>
    <x v="3"/>
    <x v="0"/>
    <d v="2012-09-03T00:00:00"/>
    <n v="1300"/>
    <s v="Sep 2012"/>
  </r>
  <r>
    <x v="3"/>
    <x v="0"/>
    <d v="2012-09-05T00:00:00"/>
    <n v="1300"/>
    <s v="Sep 2012"/>
  </r>
  <r>
    <x v="3"/>
    <x v="1"/>
    <d v="2012-09-12T00:00:00"/>
    <n v="3"/>
    <s v="Sep 2012"/>
  </r>
  <r>
    <x v="3"/>
    <x v="1"/>
    <d v="2012-11-14T00:00:00"/>
    <n v="1"/>
    <s v="Nov 2012"/>
  </r>
  <r>
    <x v="4"/>
    <x v="0"/>
    <d v="2012-07-06T00:00:00"/>
    <n v="5700"/>
    <s v="Jul 2012"/>
  </r>
  <r>
    <x v="4"/>
    <x v="0"/>
    <d v="2012-07-09T00:00:00"/>
    <n v="5700"/>
    <s v="Jul 2012"/>
  </r>
  <r>
    <x v="4"/>
    <x v="0"/>
    <d v="2012-07-11T00:00:00"/>
    <n v="5700"/>
    <s v="Jul 2012"/>
  </r>
  <r>
    <x v="4"/>
    <x v="0"/>
    <d v="2012-07-13T00:00:00"/>
    <n v="5700"/>
    <s v="Jul 2012"/>
  </r>
  <r>
    <x v="4"/>
    <x v="0"/>
    <d v="2012-07-16T00:00:00"/>
    <n v="5700"/>
    <s v="Jul 2012"/>
  </r>
  <r>
    <x v="4"/>
    <x v="0"/>
    <d v="2012-07-18T00:00:00"/>
    <n v="5700"/>
    <s v="Jul 2012"/>
  </r>
  <r>
    <x v="4"/>
    <x v="0"/>
    <d v="2012-07-20T00:00:00"/>
    <n v="5700"/>
    <s v="Jul 2012"/>
  </r>
  <r>
    <x v="4"/>
    <x v="0"/>
    <d v="2012-07-23T00:00:00"/>
    <n v="5700"/>
    <s v="Jul 2012"/>
  </r>
  <r>
    <x v="4"/>
    <x v="0"/>
    <d v="2012-07-25T00:00:00"/>
    <n v="5700"/>
    <s v="Jul 2012"/>
  </r>
  <r>
    <x v="4"/>
    <x v="0"/>
    <d v="2012-07-27T00:00:00"/>
    <n v="5700"/>
    <s v="Jul 2012"/>
  </r>
  <r>
    <x v="4"/>
    <x v="0"/>
    <d v="2012-08-01T00:00:00"/>
    <n v="5700"/>
    <s v="Aug 2012"/>
  </r>
  <r>
    <x v="4"/>
    <x v="0"/>
    <d v="2012-08-03T00:00:00"/>
    <n v="5700"/>
    <s v="Aug 2012"/>
  </r>
  <r>
    <x v="4"/>
    <x v="0"/>
    <d v="2012-08-06T00:00:00"/>
    <n v="5700"/>
    <s v="Aug 2012"/>
  </r>
  <r>
    <x v="4"/>
    <x v="0"/>
    <d v="2012-08-08T00:00:00"/>
    <n v="5700"/>
    <s v="Aug 2012"/>
  </r>
  <r>
    <x v="4"/>
    <x v="0"/>
    <d v="2012-08-10T00:00:00"/>
    <n v="5700"/>
    <s v="Aug 2012"/>
  </r>
  <r>
    <x v="4"/>
    <x v="0"/>
    <d v="2012-08-13T00:00:00"/>
    <n v="5700"/>
    <s v="Aug 2012"/>
  </r>
  <r>
    <x v="4"/>
    <x v="0"/>
    <d v="2012-08-15T00:00:00"/>
    <n v="5700"/>
    <s v="Aug 2012"/>
  </r>
  <r>
    <x v="4"/>
    <x v="1"/>
    <d v="2012-09-12T00:00:00"/>
    <n v="8"/>
    <s v="Sep 2012"/>
  </r>
  <r>
    <x v="4"/>
    <x v="1"/>
    <d v="2012-10-17T00:00:00"/>
    <n v="8"/>
    <s v="Oct 2012"/>
  </r>
  <r>
    <x v="4"/>
    <x v="1"/>
    <d v="2012-11-14T00:00:00"/>
    <n v="8"/>
    <s v="Nov 2012"/>
  </r>
  <r>
    <x v="5"/>
    <x v="0"/>
    <d v="2012-12-03T00:00:00"/>
    <n v="3800"/>
    <s v="Dec 2012"/>
  </r>
  <r>
    <x v="6"/>
    <x v="0"/>
    <d v="2012-07-03T00:00:00"/>
    <n v="6400"/>
    <s v="Jul 2012"/>
  </r>
  <r>
    <x v="6"/>
    <x v="0"/>
    <d v="2012-07-07T00:00:00"/>
    <n v="6400"/>
    <s v="Jul 2012"/>
  </r>
  <r>
    <x v="6"/>
    <x v="0"/>
    <d v="2012-07-10T00:00:00"/>
    <n v="6400"/>
    <s v="Jul 2012"/>
  </r>
  <r>
    <x v="6"/>
    <x v="0"/>
    <d v="2012-07-12T00:00:00"/>
    <n v="6400"/>
    <s v="Jul 2012"/>
  </r>
  <r>
    <x v="6"/>
    <x v="0"/>
    <d v="2012-07-14T00:00:00"/>
    <n v="6400"/>
    <s v="Jul 2012"/>
  </r>
  <r>
    <x v="6"/>
    <x v="0"/>
    <d v="2012-07-17T00:00:00"/>
    <n v="6400"/>
    <s v="Jul 2012"/>
  </r>
  <r>
    <x v="6"/>
    <x v="0"/>
    <d v="2012-07-19T00:00:00"/>
    <n v="6400"/>
    <s v="Jul 2012"/>
  </r>
  <r>
    <x v="7"/>
    <x v="0"/>
    <d v="2012-07-03T00:00:00"/>
    <n v="2000"/>
    <s v="Jul 2012"/>
  </r>
  <r>
    <x v="7"/>
    <x v="0"/>
    <d v="2012-07-05T00:00:00"/>
    <n v="2000"/>
    <s v="Jul 2012"/>
  </r>
  <r>
    <x v="7"/>
    <x v="0"/>
    <d v="2012-07-07T00:00:00"/>
    <n v="2000"/>
    <s v="Jul 2012"/>
  </r>
  <r>
    <x v="7"/>
    <x v="0"/>
    <d v="2012-07-10T00:00:00"/>
    <n v="2000"/>
    <s v="Jul 2012"/>
  </r>
  <r>
    <x v="7"/>
    <x v="0"/>
    <d v="2012-07-12T00:00:00"/>
    <n v="2000"/>
    <s v="Jul 2012"/>
  </r>
  <r>
    <x v="7"/>
    <x v="0"/>
    <d v="2012-07-14T00:00:00"/>
    <n v="2000"/>
    <s v="Jul 2012"/>
  </r>
  <r>
    <x v="7"/>
    <x v="0"/>
    <d v="2012-07-17T00:00:00"/>
    <n v="2000"/>
    <s v="Jul 2012"/>
  </r>
  <r>
    <x v="7"/>
    <x v="0"/>
    <d v="2012-07-19T00:00:00"/>
    <n v="2000"/>
    <s v="Jul 2012"/>
  </r>
  <r>
    <x v="7"/>
    <x v="0"/>
    <d v="2012-07-21T00:00:00"/>
    <n v="2000"/>
    <s v="Jul 2012"/>
  </r>
  <r>
    <x v="7"/>
    <x v="0"/>
    <d v="2012-07-24T00:00:00"/>
    <n v="2000"/>
    <s v="Jul 2012"/>
  </r>
  <r>
    <x v="7"/>
    <x v="0"/>
    <d v="2012-07-26T00:00:00"/>
    <n v="2000"/>
    <s v="Jul 2012"/>
  </r>
  <r>
    <x v="7"/>
    <x v="0"/>
    <d v="2012-07-28T00:00:00"/>
    <n v="2000"/>
    <s v="Jul 2012"/>
  </r>
  <r>
    <x v="7"/>
    <x v="0"/>
    <d v="2012-07-31T00:00:00"/>
    <n v="2000"/>
    <s v="Jul 2012"/>
  </r>
  <r>
    <x v="7"/>
    <x v="0"/>
    <d v="2012-08-02T00:00:00"/>
    <n v="2000"/>
    <s v="Aug 2012"/>
  </r>
  <r>
    <x v="7"/>
    <x v="0"/>
    <d v="2012-08-04T00:00:00"/>
    <n v="2000"/>
    <s v="Aug 2012"/>
  </r>
  <r>
    <x v="7"/>
    <x v="0"/>
    <d v="2012-08-07T00:00:00"/>
    <n v="2000"/>
    <s v="Aug 2012"/>
  </r>
  <r>
    <x v="7"/>
    <x v="0"/>
    <d v="2012-08-09T00:00:00"/>
    <n v="2000"/>
    <s v="Aug 2012"/>
  </r>
  <r>
    <x v="7"/>
    <x v="0"/>
    <d v="2012-08-11T00:00:00"/>
    <n v="2000"/>
    <s v="Aug 2012"/>
  </r>
  <r>
    <x v="7"/>
    <x v="0"/>
    <d v="2012-08-14T00:00:00"/>
    <n v="2000"/>
    <s v="Aug 2012"/>
  </r>
  <r>
    <x v="7"/>
    <x v="0"/>
    <d v="2012-08-16T00:00:00"/>
    <n v="2000"/>
    <s v="Aug 2012"/>
  </r>
  <r>
    <x v="7"/>
    <x v="0"/>
    <d v="2012-08-18T00:00:00"/>
    <n v="2400"/>
    <s v="Aug 2012"/>
  </r>
  <r>
    <x v="7"/>
    <x v="0"/>
    <d v="2012-08-21T00:00:00"/>
    <n v="2400"/>
    <s v="Aug 2012"/>
  </r>
  <r>
    <x v="7"/>
    <x v="0"/>
    <d v="2012-08-23T00:00:00"/>
    <n v="2400"/>
    <s v="Aug 2012"/>
  </r>
  <r>
    <x v="7"/>
    <x v="0"/>
    <d v="2012-08-25T00:00:00"/>
    <n v="2400"/>
    <s v="Aug 2012"/>
  </r>
  <r>
    <x v="7"/>
    <x v="0"/>
    <d v="2012-08-28T00:00:00"/>
    <n v="2400"/>
    <s v="Aug 2012"/>
  </r>
  <r>
    <x v="7"/>
    <x v="0"/>
    <d v="2012-08-30T00:00:00"/>
    <n v="2400"/>
    <s v="Aug 2012"/>
  </r>
  <r>
    <x v="7"/>
    <x v="0"/>
    <d v="2012-09-01T00:00:00"/>
    <n v="2400"/>
    <s v="Sep 2012"/>
  </r>
  <r>
    <x v="7"/>
    <x v="0"/>
    <d v="2012-09-04T00:00:00"/>
    <n v="2400"/>
    <s v="Sep 2012"/>
  </r>
  <r>
    <x v="7"/>
    <x v="0"/>
    <d v="2012-09-06T00:00:00"/>
    <n v="2900"/>
    <s v="Sep 2012"/>
  </r>
  <r>
    <x v="7"/>
    <x v="1"/>
    <d v="2012-09-13T00:00:00"/>
    <n v="5"/>
    <s v="Sep 2012"/>
  </r>
  <r>
    <x v="7"/>
    <x v="1"/>
    <d v="2012-10-11T00:00:00"/>
    <n v="4"/>
    <s v="Oct 2012"/>
  </r>
  <r>
    <x v="7"/>
    <x v="1"/>
    <d v="2012-11-15T00:00:00"/>
    <n v="4"/>
    <s v="Nov 2012"/>
  </r>
  <r>
    <x v="8"/>
    <x v="0"/>
    <d v="2012-07-03T00:00:00"/>
    <n v="4000"/>
    <s v="Jul 2012"/>
  </r>
  <r>
    <x v="8"/>
    <x v="0"/>
    <d v="2012-07-05T00:00:00"/>
    <n v="4000"/>
    <s v="Jul 2012"/>
  </r>
  <r>
    <x v="8"/>
    <x v="0"/>
    <d v="2012-07-07T00:00:00"/>
    <n v="3200"/>
    <s v="Jul 2012"/>
  </r>
  <r>
    <x v="8"/>
    <x v="0"/>
    <d v="2012-07-10T00:00:00"/>
    <n v="3200"/>
    <s v="Jul 2012"/>
  </r>
  <r>
    <x v="8"/>
    <x v="0"/>
    <d v="2012-07-12T00:00:00"/>
    <n v="3200"/>
    <s v="Jul 2012"/>
  </r>
  <r>
    <x v="8"/>
    <x v="0"/>
    <d v="2012-07-14T00:00:00"/>
    <n v="3200"/>
    <s v="Jul 2012"/>
  </r>
  <r>
    <x v="8"/>
    <x v="0"/>
    <d v="2012-07-17T00:00:00"/>
    <n v="3200"/>
    <s v="Jul 2012"/>
  </r>
  <r>
    <x v="8"/>
    <x v="0"/>
    <d v="2012-07-19T00:00:00"/>
    <n v="3200"/>
    <s v="Jul 2012"/>
  </r>
  <r>
    <x v="8"/>
    <x v="0"/>
    <d v="2012-08-18T00:00:00"/>
    <n v="4500"/>
    <s v="Aug 2012"/>
  </r>
  <r>
    <x v="8"/>
    <x v="0"/>
    <d v="2012-08-21T00:00:00"/>
    <n v="4500"/>
    <s v="Aug 2012"/>
  </r>
  <r>
    <x v="8"/>
    <x v="0"/>
    <d v="2012-08-23T00:00:00"/>
    <n v="4500"/>
    <s v="Aug 2012"/>
  </r>
  <r>
    <x v="8"/>
    <x v="0"/>
    <d v="2012-08-25T00:00:00"/>
    <n v="4500"/>
    <s v="Aug 2012"/>
  </r>
  <r>
    <x v="8"/>
    <x v="0"/>
    <d v="2012-08-28T00:00:00"/>
    <n v="4500"/>
    <s v="Aug 2012"/>
  </r>
  <r>
    <x v="8"/>
    <x v="0"/>
    <d v="2012-08-30T00:00:00"/>
    <n v="4500"/>
    <s v="Aug 2012"/>
  </r>
  <r>
    <x v="8"/>
    <x v="0"/>
    <d v="2012-09-01T00:00:00"/>
    <n v="4500"/>
    <s v="Sep 2012"/>
  </r>
  <r>
    <x v="8"/>
    <x v="0"/>
    <d v="2012-09-04T00:00:00"/>
    <n v="4500"/>
    <s v="Sep 2012"/>
  </r>
  <r>
    <x v="8"/>
    <x v="0"/>
    <d v="2012-09-06T00:00:00"/>
    <n v="4500"/>
    <s v="Sep 2012"/>
  </r>
  <r>
    <x v="8"/>
    <x v="1"/>
    <d v="2012-09-13T00:00:00"/>
    <n v="8"/>
    <s v="Sep 2012"/>
  </r>
  <r>
    <x v="8"/>
    <x v="1"/>
    <d v="2012-10-11T00:00:00"/>
    <n v="6"/>
    <s v="Oct 2012"/>
  </r>
  <r>
    <x v="8"/>
    <x v="1"/>
    <d v="2012-11-15T00:00:00"/>
    <n v="6"/>
    <s v="Nov 2012"/>
  </r>
  <r>
    <x v="9"/>
    <x v="0"/>
    <d v="2012-09-01T00:00:00"/>
    <n v="3600"/>
    <s v="Sep 2012"/>
  </r>
  <r>
    <x v="9"/>
    <x v="0"/>
    <d v="2012-09-04T00:00:00"/>
    <n v="3600"/>
    <s v="Sep 2012"/>
  </r>
  <r>
    <x v="9"/>
    <x v="0"/>
    <d v="2012-09-06T00:00:00"/>
    <n v="4700"/>
    <s v="Sep 2012"/>
  </r>
  <r>
    <x v="9"/>
    <x v="1"/>
    <d v="2012-09-13T00:00:00"/>
    <n v="8"/>
    <s v="Sep 2012"/>
  </r>
  <r>
    <x v="9"/>
    <x v="1"/>
    <d v="2012-10-11T00:00:00"/>
    <n v="8"/>
    <s v="Oct 2012"/>
  </r>
  <r>
    <x v="9"/>
    <x v="1"/>
    <d v="2012-11-15T00:00:00"/>
    <n v="8"/>
    <s v="Nov 2012"/>
  </r>
  <r>
    <x v="10"/>
    <x v="1"/>
    <d v="2012-11-26T00:00:00"/>
    <n v="2"/>
    <s v="Nov 2012"/>
  </r>
  <r>
    <x v="11"/>
    <x v="0"/>
    <d v="2012-07-02T00:00:00"/>
    <n v="4000"/>
    <s v="Jul 2012"/>
  </r>
  <r>
    <x v="11"/>
    <x v="0"/>
    <d v="2012-07-06T00:00:00"/>
    <n v="4000"/>
    <s v="Jul 2012"/>
  </r>
  <r>
    <x v="11"/>
    <x v="0"/>
    <d v="2012-07-10T00:00:00"/>
    <n v="4000"/>
    <s v="Jul 2012"/>
  </r>
  <r>
    <x v="11"/>
    <x v="0"/>
    <d v="2012-07-11T00:00:00"/>
    <n v="4000"/>
    <s v="Jul 2012"/>
  </r>
  <r>
    <x v="11"/>
    <x v="0"/>
    <d v="2012-07-16T00:00:00"/>
    <n v="4000"/>
    <s v="Jul 2012"/>
  </r>
  <r>
    <x v="11"/>
    <x v="0"/>
    <d v="2012-07-20T00:00:00"/>
    <n v="4000"/>
    <s v="Jul 2012"/>
  </r>
  <r>
    <x v="11"/>
    <x v="0"/>
    <d v="2012-07-23T00:00:00"/>
    <n v="4000"/>
    <s v="Jul 2012"/>
  </r>
  <r>
    <x v="11"/>
    <x v="0"/>
    <d v="2012-07-25T00:00:00"/>
    <n v="4800"/>
    <s v="Jul 2012"/>
  </r>
  <r>
    <x v="11"/>
    <x v="0"/>
    <d v="2012-07-27T00:00:00"/>
    <n v="4800"/>
    <s v="Jul 2012"/>
  </r>
  <r>
    <x v="11"/>
    <x v="0"/>
    <d v="2012-07-30T00:00:00"/>
    <n v="4800"/>
    <s v="Jul 2012"/>
  </r>
  <r>
    <x v="11"/>
    <x v="0"/>
    <d v="2012-08-03T00:00:00"/>
    <n v="4800"/>
    <s v="Aug 2012"/>
  </r>
  <r>
    <x v="11"/>
    <x v="0"/>
    <d v="2012-08-06T00:00:00"/>
    <n v="6200"/>
    <s v="Aug 2012"/>
  </r>
  <r>
    <x v="11"/>
    <x v="0"/>
    <d v="2012-08-28T00:00:00"/>
    <n v="5800"/>
    <s v="Aug 2012"/>
  </r>
  <r>
    <x v="11"/>
    <x v="0"/>
    <d v="2012-08-29T00:00:00"/>
    <n v="5800"/>
    <s v="Aug 2012"/>
  </r>
  <r>
    <x v="11"/>
    <x v="0"/>
    <d v="2012-08-31T00:00:00"/>
    <n v="7800"/>
    <s v="Aug 2012"/>
  </r>
  <r>
    <x v="11"/>
    <x v="0"/>
    <d v="2012-09-03T00:00:00"/>
    <n v="7800"/>
    <s v="Sep 2012"/>
  </r>
  <r>
    <x v="11"/>
    <x v="0"/>
    <d v="2012-09-05T00:00:00"/>
    <n v="7800"/>
    <s v="Sep 2012"/>
  </r>
  <r>
    <x v="11"/>
    <x v="1"/>
    <d v="2012-09-12T00:00:00"/>
    <n v="10"/>
    <s v="Sep 2012"/>
  </r>
  <r>
    <x v="11"/>
    <x v="1"/>
    <d v="2012-10-10T00:00:00"/>
    <n v="10"/>
    <s v="Oct 2012"/>
  </r>
  <r>
    <x v="12"/>
    <x v="0"/>
    <d v="2012-11-23T00:00:00"/>
    <n v="20000"/>
    <s v="Nov 2012"/>
  </r>
  <r>
    <x v="12"/>
    <x v="0"/>
    <d v="2012-11-26T00:00:00"/>
    <n v="20000"/>
    <s v="Nov 2012"/>
  </r>
  <r>
    <x v="13"/>
    <x v="0"/>
    <d v="2012-07-02T00:00:00"/>
    <n v="300"/>
    <s v="Jul 2012"/>
  </r>
  <r>
    <x v="13"/>
    <x v="0"/>
    <d v="2012-07-09T00:00:00"/>
    <n v="300"/>
    <s v="Jul 2012"/>
  </r>
  <r>
    <x v="13"/>
    <x v="0"/>
    <d v="2012-07-16T00:00:00"/>
    <n v="300"/>
    <s v="Jul 2012"/>
  </r>
  <r>
    <x v="13"/>
    <x v="0"/>
    <d v="2012-07-23T00:00:00"/>
    <n v="300"/>
    <s v="Jul 2012"/>
  </r>
  <r>
    <x v="13"/>
    <x v="0"/>
    <d v="2012-07-30T00:00:00"/>
    <n v="300"/>
    <s v="Jul 2012"/>
  </r>
  <r>
    <x v="13"/>
    <x v="0"/>
    <d v="2012-08-06T00:00:00"/>
    <n v="300"/>
    <s v="Aug 2012"/>
  </r>
  <r>
    <x v="13"/>
    <x v="0"/>
    <d v="2012-08-13T00:00:00"/>
    <n v="300"/>
    <s v="Aug 2012"/>
  </r>
  <r>
    <x v="13"/>
    <x v="0"/>
    <d v="2012-08-20T00:00:00"/>
    <n v="300"/>
    <s v="Aug 2012"/>
  </r>
  <r>
    <x v="13"/>
    <x v="0"/>
    <d v="2012-08-27T00:00:00"/>
    <n v="300"/>
    <s v="Aug 2012"/>
  </r>
  <r>
    <x v="13"/>
    <x v="0"/>
    <d v="2012-09-03T00:00:00"/>
    <n v="300"/>
    <s v="Sep 2012"/>
  </r>
  <r>
    <x v="14"/>
    <x v="0"/>
    <d v="2012-07-06T00:00:00"/>
    <n v="1400"/>
    <s v="Jul 2012"/>
  </r>
  <r>
    <x v="14"/>
    <x v="0"/>
    <d v="2012-07-09T00:00:00"/>
    <n v="1400"/>
    <s v="Jul 2012"/>
  </r>
  <r>
    <x v="14"/>
    <x v="0"/>
    <d v="2012-07-11T00:00:00"/>
    <n v="1400"/>
    <s v="Jul 2012"/>
  </r>
  <r>
    <x v="14"/>
    <x v="0"/>
    <d v="2012-07-13T00:00:00"/>
    <n v="1400"/>
    <s v="Jul 2012"/>
  </r>
  <r>
    <x v="14"/>
    <x v="0"/>
    <d v="2012-07-16T00:00:00"/>
    <n v="1400"/>
    <s v="Jul 2012"/>
  </r>
  <r>
    <x v="14"/>
    <x v="0"/>
    <d v="2012-07-18T00:00:00"/>
    <n v="1400"/>
    <s v="Jul 2012"/>
  </r>
  <r>
    <x v="14"/>
    <x v="0"/>
    <d v="2012-07-20T00:00:00"/>
    <n v="1400"/>
    <s v="Jul 2012"/>
  </r>
  <r>
    <x v="14"/>
    <x v="0"/>
    <d v="2012-07-23T00:00:00"/>
    <n v="1400"/>
    <s v="Jul 2012"/>
  </r>
  <r>
    <x v="14"/>
    <x v="0"/>
    <d v="2012-07-25T00:00:00"/>
    <n v="1400"/>
    <s v="Jul 2012"/>
  </r>
  <r>
    <x v="14"/>
    <x v="0"/>
    <d v="2012-07-27T00:00:00"/>
    <n v="1400"/>
    <s v="Jul 2012"/>
  </r>
  <r>
    <x v="14"/>
    <x v="0"/>
    <d v="2012-07-31T00:00:00"/>
    <n v="1400"/>
    <s v="Jul 2012"/>
  </r>
  <r>
    <x v="14"/>
    <x v="0"/>
    <d v="2012-08-01T00:00:00"/>
    <n v="1400"/>
    <s v="Aug 2012"/>
  </r>
  <r>
    <x v="14"/>
    <x v="0"/>
    <d v="2012-09-03T00:00:00"/>
    <n v="1000"/>
    <s v="Sep 2012"/>
  </r>
  <r>
    <x v="14"/>
    <x v="0"/>
    <d v="2012-09-05T00:00:00"/>
    <n v="1000"/>
    <s v="Sep 2012"/>
  </r>
  <r>
    <x v="14"/>
    <x v="1"/>
    <d v="2012-09-12T00:00:00"/>
    <n v="3"/>
    <s v="Sep 2012"/>
  </r>
  <r>
    <x v="14"/>
    <x v="1"/>
    <d v="2012-11-14T00:00:00"/>
    <n v="1"/>
    <s v="Nov 2012"/>
  </r>
  <r>
    <x v="15"/>
    <x v="0"/>
    <d v="2012-07-03T00:00:00"/>
    <n v="5000"/>
    <s v="Jul 2012"/>
  </r>
  <r>
    <x v="15"/>
    <x v="0"/>
    <d v="2012-07-05T00:00:00"/>
    <n v="5000"/>
    <s v="Jul 2012"/>
  </r>
  <r>
    <x v="15"/>
    <x v="0"/>
    <d v="2012-07-07T00:00:00"/>
    <n v="5000"/>
    <s v="Jul 2012"/>
  </r>
  <r>
    <x v="15"/>
    <x v="0"/>
    <d v="2012-07-10T00:00:00"/>
    <n v="5000"/>
    <s v="Jul 2012"/>
  </r>
  <r>
    <x v="15"/>
    <x v="0"/>
    <d v="2012-07-12T00:00:00"/>
    <n v="5000"/>
    <s v="Jul 2012"/>
  </r>
  <r>
    <x v="15"/>
    <x v="0"/>
    <d v="2012-07-14T00:00:00"/>
    <n v="5000"/>
    <s v="Jul 2012"/>
  </r>
  <r>
    <x v="15"/>
    <x v="0"/>
    <d v="2012-07-19T00:00:00"/>
    <n v="5000"/>
    <s v="Jul 2012"/>
  </r>
  <r>
    <x v="15"/>
    <x v="0"/>
    <d v="2012-07-21T00:00:00"/>
    <n v="4500"/>
    <s v="Jul 2012"/>
  </r>
  <r>
    <x v="15"/>
    <x v="0"/>
    <d v="2012-07-24T00:00:00"/>
    <n v="4500"/>
    <s v="Jul 2012"/>
  </r>
  <r>
    <x v="15"/>
    <x v="0"/>
    <d v="2012-07-26T00:00:00"/>
    <n v="4500"/>
    <s v="Jul 2012"/>
  </r>
  <r>
    <x v="15"/>
    <x v="0"/>
    <d v="2012-07-28T00:00:00"/>
    <n v="4500"/>
    <s v="Jul 2012"/>
  </r>
  <r>
    <x v="15"/>
    <x v="0"/>
    <d v="2012-07-31T00:00:00"/>
    <n v="4500"/>
    <s v="Jul 2012"/>
  </r>
  <r>
    <x v="15"/>
    <x v="0"/>
    <d v="2012-08-02T00:00:00"/>
    <n v="4500"/>
    <s v="Aug 2012"/>
  </r>
  <r>
    <x v="15"/>
    <x v="0"/>
    <d v="2012-08-04T00:00:00"/>
    <n v="4500"/>
    <s v="Aug 2012"/>
  </r>
  <r>
    <x v="15"/>
    <x v="0"/>
    <d v="2012-08-07T00:00:00"/>
    <n v="4500"/>
    <s v="Aug 2012"/>
  </r>
  <r>
    <x v="15"/>
    <x v="0"/>
    <d v="2012-08-09T00:00:00"/>
    <n v="4500"/>
    <s v="Aug 2012"/>
  </r>
  <r>
    <x v="15"/>
    <x v="0"/>
    <d v="2012-08-11T00:00:00"/>
    <n v="4500"/>
    <s v="Aug 2012"/>
  </r>
  <r>
    <x v="15"/>
    <x v="0"/>
    <d v="2012-08-14T00:00:00"/>
    <n v="4500"/>
    <s v="Aug 2012"/>
  </r>
  <r>
    <x v="15"/>
    <x v="0"/>
    <d v="2012-08-16T00:00:00"/>
    <n v="4500"/>
    <s v="Aug 2012"/>
  </r>
  <r>
    <x v="15"/>
    <x v="0"/>
    <d v="2012-08-18T00:00:00"/>
    <n v="5900"/>
    <s v="Aug 2012"/>
  </r>
  <r>
    <x v="15"/>
    <x v="0"/>
    <d v="2012-08-21T00:00:00"/>
    <n v="5900"/>
    <s v="Aug 2012"/>
  </r>
  <r>
    <x v="15"/>
    <x v="0"/>
    <d v="2012-08-23T00:00:00"/>
    <n v="5900"/>
    <s v="Aug 2012"/>
  </r>
  <r>
    <x v="15"/>
    <x v="0"/>
    <d v="2012-08-25T00:00:00"/>
    <n v="5900"/>
    <s v="Aug 2012"/>
  </r>
  <r>
    <x v="15"/>
    <x v="0"/>
    <d v="2012-08-28T00:00:00"/>
    <n v="5900"/>
    <s v="Aug 2012"/>
  </r>
  <r>
    <x v="15"/>
    <x v="0"/>
    <d v="2012-08-30T00:00:00"/>
    <n v="5900"/>
    <s v="Aug 2012"/>
  </r>
  <r>
    <x v="15"/>
    <x v="0"/>
    <d v="2012-09-01T00:00:00"/>
    <n v="5900"/>
    <s v="Sep 2012"/>
  </r>
  <r>
    <x v="15"/>
    <x v="0"/>
    <d v="2012-09-04T00:00:00"/>
    <n v="5900"/>
    <s v="Sep 2012"/>
  </r>
  <r>
    <x v="15"/>
    <x v="0"/>
    <d v="2012-09-06T00:00:00"/>
    <n v="5900"/>
    <s v="Sep 2012"/>
  </r>
  <r>
    <x v="15"/>
    <x v="1"/>
    <d v="2012-09-13T00:00:00"/>
    <n v="8"/>
    <s v="Sep 2012"/>
  </r>
  <r>
    <x v="15"/>
    <x v="1"/>
    <d v="2012-11-10T00:00:00"/>
    <n v="2"/>
    <s v="Nov 2012"/>
  </r>
  <r>
    <x v="16"/>
    <x v="0"/>
    <d v="2012-07-03T00:00:00"/>
    <n v="800"/>
    <s v="Jul 2012"/>
  </r>
  <r>
    <x v="16"/>
    <x v="0"/>
    <d v="2012-07-05T00:00:00"/>
    <n v="800"/>
    <s v="Jul 2012"/>
  </r>
  <r>
    <x v="16"/>
    <x v="0"/>
    <d v="2012-07-10T00:00:00"/>
    <n v="900"/>
    <s v="Jul 2012"/>
  </r>
  <r>
    <x v="16"/>
    <x v="0"/>
    <d v="2012-07-12T00:00:00"/>
    <n v="900"/>
    <s v="Jul 2012"/>
  </r>
  <r>
    <x v="16"/>
    <x v="0"/>
    <d v="2012-08-02T00:00:00"/>
    <n v="5000"/>
    <s v="Aug 2012"/>
  </r>
  <r>
    <x v="16"/>
    <x v="0"/>
    <d v="2012-08-04T00:00:00"/>
    <n v="5000"/>
    <s v="Aug 2012"/>
  </r>
  <r>
    <x v="16"/>
    <x v="0"/>
    <d v="2012-08-07T00:00:00"/>
    <n v="5000"/>
    <s v="Aug 2012"/>
  </r>
  <r>
    <x v="16"/>
    <x v="0"/>
    <d v="2012-08-28T00:00:00"/>
    <n v="3200"/>
    <s v="Aug 2012"/>
  </r>
  <r>
    <x v="16"/>
    <x v="0"/>
    <d v="2012-08-30T00:00:00"/>
    <n v="3200"/>
    <s v="Aug 2012"/>
  </r>
  <r>
    <x v="16"/>
    <x v="0"/>
    <d v="2012-09-01T00:00:00"/>
    <n v="3200"/>
    <s v="Sep 2012"/>
  </r>
  <r>
    <x v="16"/>
    <x v="0"/>
    <d v="2012-09-04T00:00:00"/>
    <n v="3200"/>
    <s v="Sep 2012"/>
  </r>
  <r>
    <x v="16"/>
    <x v="0"/>
    <d v="2012-09-06T00:00:00"/>
    <n v="3200"/>
    <s v="Sep 2012"/>
  </r>
  <r>
    <x v="16"/>
    <x v="1"/>
    <d v="2012-09-13T00:00:00"/>
    <n v="6"/>
    <s v="Sep 2012"/>
  </r>
  <r>
    <x v="16"/>
    <x v="1"/>
    <d v="2012-10-11T00:00:00"/>
    <n v="5"/>
    <s v="Oct 2012"/>
  </r>
  <r>
    <x v="16"/>
    <x v="1"/>
    <d v="2012-11-15T00:00:00"/>
    <n v="16"/>
    <s v="Nov 2012"/>
  </r>
  <r>
    <x v="17"/>
    <x v="0"/>
    <d v="2012-07-06T00:00:00"/>
    <n v="3300"/>
    <s v="Jul 2012"/>
  </r>
  <r>
    <x v="17"/>
    <x v="0"/>
    <d v="2012-07-09T00:00:00"/>
    <n v="3300"/>
    <s v="Jul 2012"/>
  </r>
  <r>
    <x v="17"/>
    <x v="0"/>
    <d v="2012-07-11T00:00:00"/>
    <n v="3300"/>
    <s v="Jul 2012"/>
  </r>
  <r>
    <x v="17"/>
    <x v="0"/>
    <d v="2012-07-13T00:00:00"/>
    <n v="3300"/>
    <s v="Jul 2012"/>
  </r>
  <r>
    <x v="17"/>
    <x v="0"/>
    <d v="2012-07-16T00:00:00"/>
    <n v="3300"/>
    <s v="Jul 2012"/>
  </r>
  <r>
    <x v="17"/>
    <x v="0"/>
    <d v="2012-07-18T00:00:00"/>
    <n v="3300"/>
    <s v="Jul 2012"/>
  </r>
  <r>
    <x v="17"/>
    <x v="0"/>
    <d v="2012-07-20T00:00:00"/>
    <n v="4300"/>
    <s v="Jul 2012"/>
  </r>
  <r>
    <x v="17"/>
    <x v="0"/>
    <d v="2012-07-23T00:00:00"/>
    <n v="4300"/>
    <s v="Jul 2012"/>
  </r>
  <r>
    <x v="17"/>
    <x v="0"/>
    <d v="2012-07-25T00:00:00"/>
    <n v="4300"/>
    <s v="Jul 2012"/>
  </r>
  <r>
    <x v="17"/>
    <x v="0"/>
    <d v="2012-07-27T00:00:00"/>
    <n v="4300"/>
    <s v="Jul 2012"/>
  </r>
  <r>
    <x v="17"/>
    <x v="0"/>
    <d v="2012-07-30T00:00:00"/>
    <n v="4300"/>
    <s v="Jul 2012"/>
  </r>
  <r>
    <x v="17"/>
    <x v="0"/>
    <d v="2012-08-01T00:00:00"/>
    <n v="4300"/>
    <s v="Aug 2012"/>
  </r>
  <r>
    <x v="17"/>
    <x v="0"/>
    <d v="2012-08-03T00:00:00"/>
    <n v="4300"/>
    <s v="Aug 2012"/>
  </r>
  <r>
    <x v="17"/>
    <x v="0"/>
    <d v="2012-08-06T00:00:00"/>
    <n v="4800"/>
    <s v="Aug 2012"/>
  </r>
  <r>
    <x v="17"/>
    <x v="0"/>
    <d v="2012-08-08T00:00:00"/>
    <n v="4800"/>
    <s v="Aug 2012"/>
  </r>
  <r>
    <x v="17"/>
    <x v="0"/>
    <d v="2012-08-10T00:00:00"/>
    <n v="4800"/>
    <s v="Aug 2012"/>
  </r>
  <r>
    <x v="17"/>
    <x v="0"/>
    <d v="2012-08-13T00:00:00"/>
    <n v="4800"/>
    <s v="Aug 2012"/>
  </r>
  <r>
    <x v="17"/>
    <x v="0"/>
    <d v="2012-08-15T00:00:00"/>
    <n v="4800"/>
    <s v="Aug 2012"/>
  </r>
  <r>
    <x v="17"/>
    <x v="0"/>
    <d v="2012-08-17T00:00:00"/>
    <n v="4800"/>
    <s v="Aug 2012"/>
  </r>
  <r>
    <x v="17"/>
    <x v="0"/>
    <d v="2012-08-20T00:00:00"/>
    <n v="5800"/>
    <s v="Aug 2012"/>
  </r>
  <r>
    <x v="17"/>
    <x v="0"/>
    <d v="2012-08-22T00:00:00"/>
    <n v="5800"/>
    <s v="Aug 2012"/>
  </r>
  <r>
    <x v="17"/>
    <x v="0"/>
    <d v="2012-08-24T00:00:00"/>
    <n v="5800"/>
    <s v="Aug 2012"/>
  </r>
  <r>
    <x v="17"/>
    <x v="0"/>
    <d v="2012-08-27T00:00:00"/>
    <n v="5800"/>
    <s v="Aug 2012"/>
  </r>
  <r>
    <x v="17"/>
    <x v="0"/>
    <d v="2012-08-29T00:00:00"/>
    <n v="5800"/>
    <s v="Aug 2012"/>
  </r>
  <r>
    <x v="17"/>
    <x v="0"/>
    <d v="2012-08-31T00:00:00"/>
    <n v="5800"/>
    <s v="Aug 2012"/>
  </r>
  <r>
    <x v="17"/>
    <x v="0"/>
    <d v="2012-09-03T00:00:00"/>
    <n v="5800"/>
    <s v="Sep 2012"/>
  </r>
  <r>
    <x v="17"/>
    <x v="0"/>
    <d v="2012-09-05T00:00:00"/>
    <n v="5800"/>
    <s v="Sep 2012"/>
  </r>
  <r>
    <x v="17"/>
    <x v="1"/>
    <d v="2012-09-21T00:00:00"/>
    <n v="8"/>
    <s v="Sep 2012"/>
  </r>
  <r>
    <x v="17"/>
    <x v="1"/>
    <d v="2012-10-10T00:00:00"/>
    <n v="8"/>
    <s v="Oct 2012"/>
  </r>
  <r>
    <x v="17"/>
    <x v="1"/>
    <d v="2012-11-15T00:00:00"/>
    <n v="8"/>
    <s v="Nov 2012"/>
  </r>
  <r>
    <x v="18"/>
    <x v="0"/>
    <d v="2012-07-02T00:00:00"/>
    <n v="1700"/>
    <s v="Jul 2012"/>
  </r>
  <r>
    <x v="18"/>
    <x v="0"/>
    <d v="2012-07-04T00:00:00"/>
    <n v="1700"/>
    <s v="Jul 2012"/>
  </r>
  <r>
    <x v="18"/>
    <x v="0"/>
    <d v="2012-07-06T00:00:00"/>
    <n v="1700"/>
    <s v="Jul 2012"/>
  </r>
  <r>
    <x v="18"/>
    <x v="0"/>
    <d v="2012-07-09T00:00:00"/>
    <n v="1700"/>
    <s v="Jul 2012"/>
  </r>
  <r>
    <x v="18"/>
    <x v="0"/>
    <d v="2012-07-11T00:00:00"/>
    <n v="1700"/>
    <s v="Jul 2012"/>
  </r>
  <r>
    <x v="18"/>
    <x v="0"/>
    <d v="2012-07-13T00:00:00"/>
    <n v="1700"/>
    <s v="Jul 2012"/>
  </r>
  <r>
    <x v="18"/>
    <x v="0"/>
    <d v="2012-07-16T00:00:00"/>
    <n v="1700"/>
    <s v="Jul 2012"/>
  </r>
  <r>
    <x v="18"/>
    <x v="0"/>
    <d v="2012-07-18T00:00:00"/>
    <n v="1700"/>
    <s v="Jul 2012"/>
  </r>
  <r>
    <x v="18"/>
    <x v="0"/>
    <d v="2012-07-20T00:00:00"/>
    <n v="1700"/>
    <s v="Jul 2012"/>
  </r>
  <r>
    <x v="18"/>
    <x v="0"/>
    <d v="2012-07-23T00:00:00"/>
    <n v="1700"/>
    <s v="Jul 2012"/>
  </r>
  <r>
    <x v="18"/>
    <x v="0"/>
    <d v="2012-07-25T00:00:00"/>
    <n v="1700"/>
    <s v="Jul 2012"/>
  </r>
  <r>
    <x v="18"/>
    <x v="0"/>
    <d v="2012-07-27T00:00:00"/>
    <n v="1700"/>
    <s v="Jul 2012"/>
  </r>
  <r>
    <x v="18"/>
    <x v="0"/>
    <d v="2012-07-30T00:00:00"/>
    <n v="1700"/>
    <s v="Jul 2012"/>
  </r>
  <r>
    <x v="18"/>
    <x v="0"/>
    <d v="2012-08-01T00:00:00"/>
    <n v="1700"/>
    <s v="Aug 2012"/>
  </r>
  <r>
    <x v="18"/>
    <x v="0"/>
    <d v="2012-08-03T00:00:00"/>
    <n v="1700"/>
    <s v="Aug 2012"/>
  </r>
  <r>
    <x v="18"/>
    <x v="0"/>
    <d v="2012-08-06T00:00:00"/>
    <n v="1700"/>
    <s v="Aug 2012"/>
  </r>
  <r>
    <x v="18"/>
    <x v="0"/>
    <d v="2012-08-08T00:00:00"/>
    <n v="1700"/>
    <s v="Aug 2012"/>
  </r>
  <r>
    <x v="18"/>
    <x v="0"/>
    <d v="2012-08-10T00:00:00"/>
    <n v="1700"/>
    <s v="Aug 2012"/>
  </r>
  <r>
    <x v="18"/>
    <x v="0"/>
    <d v="2012-08-13T00:00:00"/>
    <n v="1700"/>
    <s v="Aug 2012"/>
  </r>
  <r>
    <x v="18"/>
    <x v="0"/>
    <d v="2012-08-15T00:00:00"/>
    <n v="1700"/>
    <s v="Aug 2012"/>
  </r>
  <r>
    <x v="18"/>
    <x v="0"/>
    <d v="2012-08-17T00:00:00"/>
    <n v="1700"/>
    <s v="Aug 2012"/>
  </r>
  <r>
    <x v="18"/>
    <x v="0"/>
    <d v="2012-08-20T00:00:00"/>
    <n v="1700"/>
    <s v="Aug 2012"/>
  </r>
  <r>
    <x v="18"/>
    <x v="0"/>
    <d v="2012-08-22T00:00:00"/>
    <n v="1700"/>
    <s v="Aug 2012"/>
  </r>
  <r>
    <x v="18"/>
    <x v="0"/>
    <d v="2012-08-24T00:00:00"/>
    <n v="1700"/>
    <s v="Aug 2012"/>
  </r>
  <r>
    <x v="18"/>
    <x v="0"/>
    <d v="2012-08-27T00:00:00"/>
    <n v="1700"/>
    <s v="Aug 2012"/>
  </r>
  <r>
    <x v="18"/>
    <x v="0"/>
    <d v="2012-08-29T00:00:00"/>
    <n v="1700"/>
    <s v="Aug 2012"/>
  </r>
  <r>
    <x v="18"/>
    <x v="0"/>
    <d v="2012-08-31T00:00:00"/>
    <n v="1700"/>
    <s v="Aug 2012"/>
  </r>
  <r>
    <x v="18"/>
    <x v="0"/>
    <d v="2012-09-03T00:00:00"/>
    <n v="1700"/>
    <s v="Sep 2012"/>
  </r>
  <r>
    <x v="18"/>
    <x v="0"/>
    <d v="2012-09-05T00:00:00"/>
    <n v="1700"/>
    <s v="Sep 2012"/>
  </r>
  <r>
    <x v="18"/>
    <x v="1"/>
    <d v="2012-09-12T00:00:00"/>
    <n v="4"/>
    <s v="Sep 2012"/>
  </r>
  <r>
    <x v="18"/>
    <x v="1"/>
    <d v="2012-10-10T00:00:00"/>
    <n v="3"/>
    <s v="Oct 2012"/>
  </r>
  <r>
    <x v="18"/>
    <x v="1"/>
    <d v="2012-11-14T00:00:00"/>
    <n v="5"/>
    <s v="Nov 2012"/>
  </r>
  <r>
    <x v="19"/>
    <x v="0"/>
    <d v="2012-07-02T00:00:00"/>
    <n v="3400"/>
    <s v="Jul 2012"/>
  </r>
  <r>
    <x v="19"/>
    <x v="0"/>
    <d v="2012-07-04T00:00:00"/>
    <n v="3400"/>
    <s v="Jul 2012"/>
  </r>
  <r>
    <x v="19"/>
    <x v="0"/>
    <d v="2012-07-06T00:00:00"/>
    <n v="3400"/>
    <s v="Jul 2012"/>
  </r>
  <r>
    <x v="19"/>
    <x v="0"/>
    <d v="2012-07-09T00:00:00"/>
    <n v="3400"/>
    <s v="Jul 2012"/>
  </r>
  <r>
    <x v="19"/>
    <x v="0"/>
    <d v="2012-07-11T00:00:00"/>
    <n v="3400"/>
    <s v="Jul 2012"/>
  </r>
  <r>
    <x v="19"/>
    <x v="0"/>
    <d v="2012-07-13T00:00:00"/>
    <n v="3400"/>
    <s v="Jul 2012"/>
  </r>
  <r>
    <x v="19"/>
    <x v="0"/>
    <d v="2012-07-16T00:00:00"/>
    <n v="3400"/>
    <s v="Jul 2012"/>
  </r>
  <r>
    <x v="19"/>
    <x v="0"/>
    <d v="2012-07-18T00:00:00"/>
    <n v="3400"/>
    <s v="Jul 2012"/>
  </r>
  <r>
    <x v="19"/>
    <x v="0"/>
    <d v="2012-07-20T00:00:00"/>
    <n v="4100"/>
    <s v="Jul 2012"/>
  </r>
  <r>
    <x v="19"/>
    <x v="0"/>
    <d v="2012-07-23T00:00:00"/>
    <n v="4100"/>
    <s v="Jul 2012"/>
  </r>
  <r>
    <x v="19"/>
    <x v="0"/>
    <d v="2012-07-25T00:00:00"/>
    <n v="4100"/>
    <s v="Jul 2012"/>
  </r>
  <r>
    <x v="19"/>
    <x v="0"/>
    <d v="2012-07-27T00:00:00"/>
    <n v="4100"/>
    <s v="Jul 2012"/>
  </r>
  <r>
    <x v="19"/>
    <x v="0"/>
    <d v="2012-07-30T00:00:00"/>
    <n v="4100"/>
    <s v="Jul 2012"/>
  </r>
  <r>
    <x v="19"/>
    <x v="0"/>
    <d v="2012-08-01T00:00:00"/>
    <n v="4100"/>
    <s v="Aug 2012"/>
  </r>
  <r>
    <x v="19"/>
    <x v="0"/>
    <d v="2012-08-03T00:00:00"/>
    <n v="4600"/>
    <s v="Aug 2012"/>
  </r>
  <r>
    <x v="19"/>
    <x v="0"/>
    <d v="2012-08-06T00:00:00"/>
    <n v="4600"/>
    <s v="Aug 2012"/>
  </r>
  <r>
    <x v="19"/>
    <x v="0"/>
    <d v="2012-08-08T00:00:00"/>
    <n v="4600"/>
    <s v="Aug 2012"/>
  </r>
  <r>
    <x v="19"/>
    <x v="0"/>
    <d v="2012-08-10T00:00:00"/>
    <n v="4600"/>
    <s v="Aug 2012"/>
  </r>
  <r>
    <x v="19"/>
    <x v="0"/>
    <d v="2012-08-13T00:00:00"/>
    <n v="4600"/>
    <s v="Aug 2012"/>
  </r>
  <r>
    <x v="19"/>
    <x v="0"/>
    <d v="2012-08-15T00:00:00"/>
    <n v="4600"/>
    <s v="Aug 2012"/>
  </r>
  <r>
    <x v="19"/>
    <x v="0"/>
    <d v="2012-08-17T00:00:00"/>
    <n v="4600"/>
    <s v="Aug 2012"/>
  </r>
  <r>
    <x v="19"/>
    <x v="0"/>
    <d v="2012-08-20T00:00:00"/>
    <n v="5600"/>
    <s v="Aug 2012"/>
  </r>
  <r>
    <x v="19"/>
    <x v="0"/>
    <d v="2012-08-22T00:00:00"/>
    <n v="5600"/>
    <s v="Aug 2012"/>
  </r>
  <r>
    <x v="19"/>
    <x v="0"/>
    <d v="2012-08-24T00:00:00"/>
    <n v="5600"/>
    <s v="Aug 2012"/>
  </r>
  <r>
    <x v="19"/>
    <x v="0"/>
    <d v="2012-08-27T00:00:00"/>
    <n v="5600"/>
    <s v="Aug 2012"/>
  </r>
  <r>
    <x v="19"/>
    <x v="0"/>
    <d v="2012-08-29T00:00:00"/>
    <n v="5600"/>
    <s v="Aug 2012"/>
  </r>
  <r>
    <x v="19"/>
    <x v="0"/>
    <d v="2012-08-31T00:00:00"/>
    <n v="5600"/>
    <s v="Aug 2012"/>
  </r>
  <r>
    <x v="19"/>
    <x v="0"/>
    <d v="2012-09-03T00:00:00"/>
    <n v="5600"/>
    <s v="Sep 2012"/>
  </r>
  <r>
    <x v="19"/>
    <x v="0"/>
    <d v="2012-09-05T00:00:00"/>
    <n v="5600"/>
    <s v="Sep 2012"/>
  </r>
  <r>
    <x v="19"/>
    <x v="1"/>
    <d v="2012-09-12T00:00:00"/>
    <n v="8"/>
    <s v="Sep 2012"/>
  </r>
  <r>
    <x v="19"/>
    <x v="1"/>
    <d v="2012-11-14T00:00:00"/>
    <n v="2"/>
    <s v="Nov 2012"/>
  </r>
  <r>
    <x v="20"/>
    <x v="0"/>
    <d v="2012-07-02T00:00:00"/>
    <n v="1900"/>
    <s v="Jul 2012"/>
  </r>
  <r>
    <x v="20"/>
    <x v="0"/>
    <d v="2012-07-04T00:00:00"/>
    <n v="1900"/>
    <s v="Jul 2012"/>
  </r>
  <r>
    <x v="20"/>
    <x v="0"/>
    <d v="2012-07-06T00:00:00"/>
    <n v="1900"/>
    <s v="Jul 2012"/>
  </r>
  <r>
    <x v="20"/>
    <x v="0"/>
    <d v="2012-07-09T00:00:00"/>
    <n v="1900"/>
    <s v="Jul 2012"/>
  </r>
  <r>
    <x v="20"/>
    <x v="0"/>
    <d v="2012-07-11T00:00:00"/>
    <n v="1900"/>
    <s v="Jul 2012"/>
  </r>
  <r>
    <x v="20"/>
    <x v="0"/>
    <d v="2012-07-13T00:00:00"/>
    <n v="1900"/>
    <s v="Jul 2012"/>
  </r>
  <r>
    <x v="20"/>
    <x v="0"/>
    <d v="2012-07-16T00:00:00"/>
    <n v="1900"/>
    <s v="Jul 2012"/>
  </r>
  <r>
    <x v="20"/>
    <x v="0"/>
    <d v="2012-07-18T00:00:00"/>
    <n v="1900"/>
    <s v="Jul 2012"/>
  </r>
  <r>
    <x v="20"/>
    <x v="0"/>
    <d v="2012-07-20T00:00:00"/>
    <n v="2500"/>
    <s v="Jul 2012"/>
  </r>
  <r>
    <x v="20"/>
    <x v="0"/>
    <d v="2012-07-23T00:00:00"/>
    <n v="2500"/>
    <s v="Jul 2012"/>
  </r>
  <r>
    <x v="20"/>
    <x v="0"/>
    <d v="2012-07-27T00:00:00"/>
    <n v="2500"/>
    <s v="Jul 2012"/>
  </r>
  <r>
    <x v="20"/>
    <x v="0"/>
    <d v="2012-07-30T00:00:00"/>
    <n v="2500"/>
    <s v="Jul 2012"/>
  </r>
  <r>
    <x v="20"/>
    <x v="0"/>
    <d v="2012-08-01T00:00:00"/>
    <n v="2500"/>
    <s v="Aug 2012"/>
  </r>
  <r>
    <x v="20"/>
    <x v="0"/>
    <d v="2012-08-06T00:00:00"/>
    <n v="2500"/>
    <s v="Aug 2012"/>
  </r>
  <r>
    <x v="20"/>
    <x v="0"/>
    <d v="2012-08-08T00:00:00"/>
    <n v="2500"/>
    <s v="Aug 2012"/>
  </r>
  <r>
    <x v="20"/>
    <x v="0"/>
    <d v="2012-08-10T00:00:00"/>
    <n v="2500"/>
    <s v="Aug 2012"/>
  </r>
  <r>
    <x v="20"/>
    <x v="0"/>
    <d v="2012-08-13T00:00:00"/>
    <n v="2500"/>
    <s v="Aug 2012"/>
  </r>
  <r>
    <x v="20"/>
    <x v="0"/>
    <d v="2012-08-15T00:00:00"/>
    <n v="2500"/>
    <s v="Aug 2012"/>
  </r>
  <r>
    <x v="20"/>
    <x v="0"/>
    <d v="2012-08-17T00:00:00"/>
    <n v="3300"/>
    <s v="Aug 2012"/>
  </r>
  <r>
    <x v="20"/>
    <x v="0"/>
    <d v="2012-08-20T00:00:00"/>
    <n v="3300"/>
    <s v="Aug 2012"/>
  </r>
  <r>
    <x v="20"/>
    <x v="0"/>
    <d v="2012-08-22T00:00:00"/>
    <n v="3300"/>
    <s v="Aug 2012"/>
  </r>
  <r>
    <x v="20"/>
    <x v="0"/>
    <d v="2012-08-24T00:00:00"/>
    <n v="3300"/>
    <s v="Aug 2012"/>
  </r>
  <r>
    <x v="20"/>
    <x v="0"/>
    <d v="2012-08-27T00:00:00"/>
    <n v="3300"/>
    <s v="Aug 2012"/>
  </r>
  <r>
    <x v="20"/>
    <x v="0"/>
    <d v="2012-08-29T00:00:00"/>
    <n v="3300"/>
    <s v="Aug 2012"/>
  </r>
  <r>
    <x v="20"/>
    <x v="0"/>
    <d v="2012-09-03T00:00:00"/>
    <n v="3300"/>
    <s v="Sep 2012"/>
  </r>
  <r>
    <x v="20"/>
    <x v="0"/>
    <d v="2012-09-05T00:00:00"/>
    <n v="3300"/>
    <s v="Sep 2012"/>
  </r>
  <r>
    <x v="20"/>
    <x v="1"/>
    <d v="2012-09-12T00:00:00"/>
    <n v="6"/>
    <s v="Sep 2012"/>
  </r>
  <r>
    <x v="20"/>
    <x v="1"/>
    <d v="2012-10-10T00:00:00"/>
    <n v="6"/>
    <s v="Oct 2012"/>
  </r>
  <r>
    <x v="21"/>
    <x v="0"/>
    <d v="2012-07-02T00:00:00"/>
    <n v="8000"/>
    <s v="Jul 2012"/>
  </r>
  <r>
    <x v="21"/>
    <x v="0"/>
    <d v="2012-07-04T00:00:00"/>
    <n v="8000"/>
    <s v="Jul 2012"/>
  </r>
  <r>
    <x v="21"/>
    <x v="0"/>
    <d v="2012-07-23T00:00:00"/>
    <n v="5600"/>
    <s v="Jul 2012"/>
  </r>
  <r>
    <x v="21"/>
    <x v="0"/>
    <d v="2012-07-25T00:00:00"/>
    <n v="5600"/>
    <s v="Jul 2012"/>
  </r>
  <r>
    <x v="21"/>
    <x v="0"/>
    <d v="2012-07-27T00:00:00"/>
    <n v="5600"/>
    <s v="Jul 2012"/>
  </r>
  <r>
    <x v="21"/>
    <x v="0"/>
    <d v="2012-07-30T00:00:00"/>
    <n v="5600"/>
    <s v="Jul 2012"/>
  </r>
  <r>
    <x v="21"/>
    <x v="0"/>
    <d v="2012-08-01T00:00:00"/>
    <n v="5600"/>
    <s v="Aug 2012"/>
  </r>
  <r>
    <x v="21"/>
    <x v="0"/>
    <d v="2012-08-03T00:00:00"/>
    <n v="7300"/>
    <s v="Aug 2012"/>
  </r>
  <r>
    <x v="21"/>
    <x v="0"/>
    <d v="2012-08-06T00:00:00"/>
    <n v="7300"/>
    <s v="Aug 2012"/>
  </r>
  <r>
    <x v="21"/>
    <x v="0"/>
    <d v="2012-08-08T00:00:00"/>
    <n v="7300"/>
    <s v="Aug 2012"/>
  </r>
  <r>
    <x v="21"/>
    <x v="0"/>
    <d v="2012-08-10T00:00:00"/>
    <n v="7300"/>
    <s v="Aug 2012"/>
  </r>
  <r>
    <x v="21"/>
    <x v="0"/>
    <d v="2012-08-13T00:00:00"/>
    <n v="7300"/>
    <s v="Aug 2012"/>
  </r>
  <r>
    <x v="21"/>
    <x v="0"/>
    <d v="2012-08-15T00:00:00"/>
    <n v="7300"/>
    <s v="Aug 2012"/>
  </r>
  <r>
    <x v="21"/>
    <x v="0"/>
    <d v="2012-08-17T00:00:00"/>
    <n v="7300"/>
    <s v="Aug 2012"/>
  </r>
  <r>
    <x v="21"/>
    <x v="0"/>
    <d v="2012-08-20T00:00:00"/>
    <n v="7300"/>
    <s v="Aug 2012"/>
  </r>
  <r>
    <x v="21"/>
    <x v="0"/>
    <d v="2012-08-22T00:00:00"/>
    <n v="7300"/>
    <s v="Aug 2012"/>
  </r>
  <r>
    <x v="21"/>
    <x v="0"/>
    <d v="2012-08-24T00:00:00"/>
    <n v="7300"/>
    <s v="Aug 2012"/>
  </r>
  <r>
    <x v="21"/>
    <x v="0"/>
    <d v="2012-08-27T00:00:00"/>
    <n v="7300"/>
    <s v="Aug 2012"/>
  </r>
  <r>
    <x v="21"/>
    <x v="0"/>
    <d v="2012-08-29T00:00:00"/>
    <n v="7300"/>
    <s v="Aug 2012"/>
  </r>
  <r>
    <x v="21"/>
    <x v="0"/>
    <d v="2012-09-03T00:00:00"/>
    <n v="7300"/>
    <s v="Sep 2012"/>
  </r>
  <r>
    <x v="21"/>
    <x v="0"/>
    <d v="2012-09-05T00:00:00"/>
    <n v="7300"/>
    <s v="Sep 2012"/>
  </r>
  <r>
    <x v="21"/>
    <x v="1"/>
    <d v="2012-10-10T00:00:00"/>
    <n v="2"/>
    <s v="Oct 2012"/>
  </r>
  <r>
    <x v="21"/>
    <x v="1"/>
    <d v="2012-11-14T00:00:00"/>
    <n v="4"/>
    <s v="Nov 2012"/>
  </r>
  <r>
    <x v="22"/>
    <x v="0"/>
    <d v="2012-07-12T00:00:00"/>
    <n v="7000"/>
    <s v="Jul 2012"/>
  </r>
  <r>
    <x v="22"/>
    <x v="0"/>
    <d v="2012-07-14T00:00:00"/>
    <n v="7000"/>
    <s v="Jul 2012"/>
  </r>
  <r>
    <x v="22"/>
    <x v="0"/>
    <d v="2012-07-19T00:00:00"/>
    <n v="7000"/>
    <s v="Jul 2012"/>
  </r>
  <r>
    <x v="22"/>
    <x v="0"/>
    <d v="2012-07-21T00:00:00"/>
    <n v="9100"/>
    <s v="Jul 2012"/>
  </r>
  <r>
    <x v="22"/>
    <x v="0"/>
    <d v="2012-07-24T00:00:00"/>
    <n v="9100"/>
    <s v="Jul 2012"/>
  </r>
  <r>
    <x v="22"/>
    <x v="0"/>
    <d v="2012-07-28T00:00:00"/>
    <n v="9100"/>
    <s v="Jul 2012"/>
  </r>
  <r>
    <x v="22"/>
    <x v="0"/>
    <d v="2012-07-31T00:00:00"/>
    <n v="9100"/>
    <s v="Jul 2012"/>
  </r>
  <r>
    <x v="22"/>
    <x v="0"/>
    <d v="2012-08-03T00:00:00"/>
    <n v="9100"/>
    <s v="Aug 2012"/>
  </r>
  <r>
    <x v="22"/>
    <x v="0"/>
    <d v="2012-08-07T00:00:00"/>
    <n v="9100"/>
    <s v="Aug 2012"/>
  </r>
  <r>
    <x v="22"/>
    <x v="0"/>
    <d v="2012-08-11T00:00:00"/>
    <n v="11400"/>
    <s v="Aug 2012"/>
  </r>
  <r>
    <x v="22"/>
    <x v="0"/>
    <d v="2012-08-15T00:00:00"/>
    <n v="11400"/>
    <s v="Aug 2012"/>
  </r>
  <r>
    <x v="22"/>
    <x v="0"/>
    <d v="2012-08-21T00:00:00"/>
    <n v="11400"/>
    <s v="Aug 2012"/>
  </r>
  <r>
    <x v="23"/>
    <x v="1"/>
    <d v="2012-09-25T00:00:00"/>
    <n v="3"/>
    <s v="Sep 2012"/>
  </r>
  <r>
    <x v="23"/>
    <x v="1"/>
    <d v="2012-10-06T00:00:00"/>
    <n v="5"/>
    <s v="Oct 2012"/>
  </r>
  <r>
    <x v="24"/>
    <x v="0"/>
    <d v="2012-08-27T00:00:00"/>
    <n v="3000"/>
    <s v="Aug 2012"/>
  </r>
  <r>
    <x v="24"/>
    <x v="0"/>
    <d v="2012-08-29T00:00:00"/>
    <n v="3000"/>
    <s v="Aug 2012"/>
  </r>
  <r>
    <x v="24"/>
    <x v="0"/>
    <d v="2012-08-31T00:00:00"/>
    <n v="3000"/>
    <s v="Aug 2012"/>
  </r>
  <r>
    <x v="24"/>
    <x v="0"/>
    <d v="2012-09-03T00:00:00"/>
    <n v="3000"/>
    <s v="Sep 2012"/>
  </r>
  <r>
    <x v="24"/>
    <x v="0"/>
    <d v="2012-09-05T00:00:00"/>
    <n v="3000"/>
    <s v="Sep 2012"/>
  </r>
  <r>
    <x v="24"/>
    <x v="1"/>
    <d v="2012-09-12T00:00:00"/>
    <n v="6"/>
    <s v="Sep 2012"/>
  </r>
  <r>
    <x v="24"/>
    <x v="1"/>
    <d v="2012-10-12T00:00:00"/>
    <n v="6"/>
    <s v="Oct 2012"/>
  </r>
  <r>
    <x v="24"/>
    <x v="1"/>
    <d v="2012-11-14T00:00:00"/>
    <n v="6"/>
    <s v="Nov 2012"/>
  </r>
  <r>
    <x v="25"/>
    <x v="0"/>
    <d v="2012-08-06T00:00:00"/>
    <n v="13800"/>
    <s v="Aug 2012"/>
  </r>
  <r>
    <x v="26"/>
    <x v="0"/>
    <d v="2012-11-20T00:00:00"/>
    <n v="1200"/>
    <s v="Nov 2012"/>
  </r>
  <r>
    <x v="26"/>
    <x v="0"/>
    <d v="2012-11-23T00:00:00"/>
    <n v="1200"/>
    <s v="Nov 2012"/>
  </r>
  <r>
    <x v="27"/>
    <x v="0"/>
    <d v="2012-07-09T00:00:00"/>
    <n v="5500"/>
    <s v="Jul 2012"/>
  </r>
  <r>
    <x v="27"/>
    <x v="0"/>
    <d v="2012-07-11T00:00:00"/>
    <n v="5500"/>
    <s v="Jul 2012"/>
  </r>
  <r>
    <x v="27"/>
    <x v="0"/>
    <d v="2012-07-13T00:00:00"/>
    <n v="5500"/>
    <s v="Jul 2012"/>
  </r>
  <r>
    <x v="27"/>
    <x v="0"/>
    <d v="2012-07-16T00:00:00"/>
    <n v="5500"/>
    <s v="Jul 2012"/>
  </r>
  <r>
    <x v="27"/>
    <x v="0"/>
    <d v="2012-07-18T00:00:00"/>
    <n v="5500"/>
    <s v="Jul 2012"/>
  </r>
  <r>
    <x v="27"/>
    <x v="0"/>
    <d v="2012-07-20T00:00:00"/>
    <n v="5500"/>
    <s v="Jul 2012"/>
  </r>
  <r>
    <x v="27"/>
    <x v="0"/>
    <d v="2012-07-23T00:00:00"/>
    <n v="5500"/>
    <s v="Jul 2012"/>
  </r>
  <r>
    <x v="27"/>
    <x v="0"/>
    <d v="2012-07-25T00:00:00"/>
    <n v="5500"/>
    <s v="Jul 2012"/>
  </r>
  <r>
    <x v="27"/>
    <x v="0"/>
    <d v="2012-07-27T00:00:00"/>
    <n v="5500"/>
    <s v="Jul 2012"/>
  </r>
  <r>
    <x v="27"/>
    <x v="0"/>
    <d v="2012-07-30T00:00:00"/>
    <n v="5500"/>
    <s v="Jul 2012"/>
  </r>
  <r>
    <x v="27"/>
    <x v="0"/>
    <d v="2012-08-01T00:00:00"/>
    <n v="5500"/>
    <s v="Aug 2012"/>
  </r>
  <r>
    <x v="27"/>
    <x v="0"/>
    <d v="2012-08-03T00:00:00"/>
    <n v="5000"/>
    <s v="Aug 2012"/>
  </r>
  <r>
    <x v="27"/>
    <x v="0"/>
    <d v="2012-08-06T00:00:00"/>
    <n v="5000"/>
    <s v="Aug 2012"/>
  </r>
  <r>
    <x v="27"/>
    <x v="0"/>
    <d v="2012-08-08T00:00:00"/>
    <n v="5000"/>
    <s v="Aug 2012"/>
  </r>
  <r>
    <x v="27"/>
    <x v="0"/>
    <d v="2012-08-10T00:00:00"/>
    <n v="5000"/>
    <s v="Aug 2012"/>
  </r>
  <r>
    <x v="27"/>
    <x v="0"/>
    <d v="2012-08-13T00:00:00"/>
    <n v="5000"/>
    <s v="Aug 2012"/>
  </r>
  <r>
    <x v="27"/>
    <x v="0"/>
    <d v="2012-08-15T00:00:00"/>
    <n v="5000"/>
    <s v="Aug 2012"/>
  </r>
  <r>
    <x v="27"/>
    <x v="0"/>
    <d v="2012-08-17T00:00:00"/>
    <n v="5000"/>
    <s v="Aug 2012"/>
  </r>
  <r>
    <x v="27"/>
    <x v="1"/>
    <d v="2012-09-12T00:00:00"/>
    <n v="6"/>
    <s v="Sep 2012"/>
  </r>
  <r>
    <x v="27"/>
    <x v="1"/>
    <d v="2012-11-14T00:00:00"/>
    <n v="2"/>
    <s v="Nov 2012"/>
  </r>
  <r>
    <x v="28"/>
    <x v="0"/>
    <d v="2012-07-03T00:00:00"/>
    <n v="4800"/>
    <s v="Jul 2012"/>
  </r>
  <r>
    <x v="28"/>
    <x v="0"/>
    <d v="2012-07-05T00:00:00"/>
    <n v="4800"/>
    <s v="Jul 2012"/>
  </r>
  <r>
    <x v="28"/>
    <x v="0"/>
    <d v="2012-07-21T00:00:00"/>
    <n v="4400"/>
    <s v="Jul 2012"/>
  </r>
  <r>
    <x v="28"/>
    <x v="0"/>
    <d v="2012-07-26T00:00:00"/>
    <n v="4400"/>
    <s v="Jul 2012"/>
  </r>
  <r>
    <x v="28"/>
    <x v="0"/>
    <d v="2012-07-28T00:00:00"/>
    <n v="4400"/>
    <s v="Jul 2012"/>
  </r>
  <r>
    <x v="28"/>
    <x v="0"/>
    <d v="2012-07-31T00:00:00"/>
    <n v="4400"/>
    <s v="Jul 2012"/>
  </r>
  <r>
    <x v="28"/>
    <x v="0"/>
    <d v="2012-08-02T00:00:00"/>
    <n v="4400"/>
    <s v="Aug 2012"/>
  </r>
  <r>
    <x v="28"/>
    <x v="0"/>
    <d v="2012-08-18T00:00:00"/>
    <n v="4400"/>
    <s v="Aug 2012"/>
  </r>
  <r>
    <x v="28"/>
    <x v="0"/>
    <d v="2012-08-21T00:00:00"/>
    <n v="4400"/>
    <s v="Aug 2012"/>
  </r>
  <r>
    <x v="28"/>
    <x v="0"/>
    <d v="2012-08-23T00:00:00"/>
    <n v="4400"/>
    <s v="Aug 2012"/>
  </r>
  <r>
    <x v="28"/>
    <x v="0"/>
    <d v="2012-08-25T00:00:00"/>
    <n v="4400"/>
    <s v="Aug 2012"/>
  </r>
  <r>
    <x v="28"/>
    <x v="0"/>
    <d v="2012-09-01T00:00:00"/>
    <n v="4400"/>
    <s v="Sep 2012"/>
  </r>
  <r>
    <x v="28"/>
    <x v="0"/>
    <d v="2012-09-04T00:00:00"/>
    <n v="4400"/>
    <s v="Sep 2012"/>
  </r>
  <r>
    <x v="28"/>
    <x v="1"/>
    <d v="2012-09-13T00:00:00"/>
    <n v="8"/>
    <s v="Sep 2012"/>
  </r>
  <r>
    <x v="28"/>
    <x v="1"/>
    <d v="2012-11-17T00:00:00"/>
    <n v="10"/>
    <s v="Nov 2012"/>
  </r>
  <r>
    <x v="29"/>
    <x v="0"/>
    <d v="2012-07-02T00:00:00"/>
    <n v="900"/>
    <s v="Jul 2012"/>
  </r>
  <r>
    <x v="29"/>
    <x v="0"/>
    <d v="2012-07-04T00:00:00"/>
    <n v="900"/>
    <s v="Jul 2012"/>
  </r>
  <r>
    <x v="29"/>
    <x v="0"/>
    <d v="2012-07-11T00:00:00"/>
    <n v="900"/>
    <s v="Jul 2012"/>
  </r>
  <r>
    <x v="29"/>
    <x v="0"/>
    <d v="2012-07-13T00:00:00"/>
    <n v="900"/>
    <s v="Jul 2012"/>
  </r>
  <r>
    <x v="29"/>
    <x v="0"/>
    <d v="2012-07-16T00:00:00"/>
    <n v="900"/>
    <s v="Jul 2012"/>
  </r>
  <r>
    <x v="29"/>
    <x v="0"/>
    <d v="2012-07-18T00:00:00"/>
    <n v="900"/>
    <s v="Jul 2012"/>
  </r>
  <r>
    <x v="29"/>
    <x v="0"/>
    <d v="2012-07-27T00:00:00"/>
    <n v="800"/>
    <s v="Jul 2012"/>
  </r>
  <r>
    <x v="29"/>
    <x v="0"/>
    <d v="2012-07-28T00:00:00"/>
    <n v="800"/>
    <s v="Jul 2012"/>
  </r>
  <r>
    <x v="29"/>
    <x v="0"/>
    <d v="2012-07-30T00:00:00"/>
    <n v="800"/>
    <s v="Jul 2012"/>
  </r>
  <r>
    <x v="29"/>
    <x v="0"/>
    <d v="2012-08-01T00:00:00"/>
    <n v="800"/>
    <s v="Aug 2012"/>
  </r>
  <r>
    <x v="29"/>
    <x v="0"/>
    <d v="2012-08-03T00:00:00"/>
    <n v="800"/>
    <s v="Aug 2012"/>
  </r>
  <r>
    <x v="29"/>
    <x v="0"/>
    <d v="2012-08-06T00:00:00"/>
    <n v="800"/>
    <s v="Aug 2012"/>
  </r>
  <r>
    <x v="29"/>
    <x v="0"/>
    <d v="2012-08-08T00:00:00"/>
    <n v="800"/>
    <s v="Aug 2012"/>
  </r>
  <r>
    <x v="29"/>
    <x v="0"/>
    <d v="2012-08-10T00:00:00"/>
    <n v="800"/>
    <s v="Aug 2012"/>
  </r>
  <r>
    <x v="29"/>
    <x v="0"/>
    <d v="2012-08-13T00:00:00"/>
    <n v="800"/>
    <s v="Aug 2012"/>
  </r>
  <r>
    <x v="29"/>
    <x v="0"/>
    <d v="2012-08-15T00:00:00"/>
    <n v="800"/>
    <s v="Aug 2012"/>
  </r>
  <r>
    <x v="29"/>
    <x v="0"/>
    <d v="2012-08-24T00:00:00"/>
    <n v="800"/>
    <s v="Aug 2012"/>
  </r>
  <r>
    <x v="29"/>
    <x v="0"/>
    <d v="2012-08-27T00:00:00"/>
    <n v="800"/>
    <s v="Aug 2012"/>
  </r>
  <r>
    <x v="29"/>
    <x v="0"/>
    <d v="2012-08-29T00:00:00"/>
    <n v="800"/>
    <s v="Aug 2012"/>
  </r>
  <r>
    <x v="29"/>
    <x v="0"/>
    <d v="2012-08-31T00:00:00"/>
    <n v="800"/>
    <s v="Aug 2012"/>
  </r>
  <r>
    <x v="29"/>
    <x v="0"/>
    <d v="2012-09-03T00:00:00"/>
    <n v="800"/>
    <s v="Sep 2012"/>
  </r>
  <r>
    <x v="29"/>
    <x v="0"/>
    <d v="2012-09-04T00:00:00"/>
    <n v="800"/>
    <s v="Sep 2012"/>
  </r>
  <r>
    <x v="29"/>
    <x v="0"/>
    <d v="2012-09-06T00:00:00"/>
    <n v="800"/>
    <s v="Sep 2012"/>
  </r>
  <r>
    <x v="29"/>
    <x v="1"/>
    <d v="2012-09-13T00:00:00"/>
    <n v="2"/>
    <s v="Sep 2012"/>
  </r>
  <r>
    <x v="29"/>
    <x v="1"/>
    <d v="2012-10-18T00:00:00"/>
    <n v="3"/>
    <s v="Oct 2012"/>
  </r>
  <r>
    <x v="30"/>
    <x v="0"/>
    <d v="2012-07-07T00:00:00"/>
    <n v="10100"/>
    <s v="Jul 2012"/>
  </r>
  <r>
    <x v="30"/>
    <x v="0"/>
    <d v="2012-07-12T00:00:00"/>
    <n v="12100"/>
    <s v="Jul 2012"/>
  </r>
  <r>
    <x v="30"/>
    <x v="0"/>
    <d v="2012-07-14T00:00:00"/>
    <n v="12100"/>
    <s v="Jul 2012"/>
  </r>
  <r>
    <x v="30"/>
    <x v="0"/>
    <d v="2012-07-19T00:00:00"/>
    <n v="12100"/>
    <s v="Jul 2012"/>
  </r>
  <r>
    <x v="30"/>
    <x v="0"/>
    <d v="2012-07-21T00:00:00"/>
    <n v="12100"/>
    <s v="Jul 2012"/>
  </r>
  <r>
    <x v="30"/>
    <x v="0"/>
    <d v="2012-07-26T00:00:00"/>
    <n v="12100"/>
    <s v="Jul 2012"/>
  </r>
  <r>
    <x v="30"/>
    <x v="0"/>
    <d v="2012-07-28T00:00:00"/>
    <n v="12100"/>
    <s v="Jul 2012"/>
  </r>
  <r>
    <x v="30"/>
    <x v="0"/>
    <d v="2012-07-31T00:00:00"/>
    <n v="12100"/>
    <s v="Jul 2012"/>
  </r>
  <r>
    <x v="30"/>
    <x v="0"/>
    <d v="2012-08-04T00:00:00"/>
    <n v="12100"/>
    <s v="Aug 2012"/>
  </r>
  <r>
    <x v="30"/>
    <x v="1"/>
    <d v="2012-09-15T00:00:00"/>
    <n v="13"/>
    <s v="Sep 2012"/>
  </r>
  <r>
    <x v="30"/>
    <x v="1"/>
    <d v="2012-10-11T00:00:00"/>
    <n v="13"/>
    <s v="Oct 2012"/>
  </r>
  <r>
    <x v="30"/>
    <x v="1"/>
    <d v="2012-11-15T00:00:00"/>
    <n v="13"/>
    <s v="Nov 2012"/>
  </r>
  <r>
    <x v="31"/>
    <x v="0"/>
    <d v="2012-11-20T00:00:00"/>
    <n v="14000"/>
    <s v="Nov 2012"/>
  </r>
  <r>
    <x v="31"/>
    <x v="0"/>
    <d v="2012-11-23T00:00:00"/>
    <n v="14000"/>
    <s v="Nov 2012"/>
  </r>
  <r>
    <x v="32"/>
    <x v="0"/>
    <d v="2012-07-03T00:00:00"/>
    <n v="6000"/>
    <s v="Jul 2012"/>
  </r>
  <r>
    <x v="32"/>
    <x v="0"/>
    <d v="2012-07-05T00:00:00"/>
    <n v="6000"/>
    <s v="Jul 2012"/>
  </r>
  <r>
    <x v="32"/>
    <x v="0"/>
    <d v="2012-07-07T00:00:00"/>
    <n v="6000"/>
    <s v="Jul 2012"/>
  </r>
  <r>
    <x v="32"/>
    <x v="0"/>
    <d v="2012-07-10T00:00:00"/>
    <n v="6000"/>
    <s v="Jul 2012"/>
  </r>
  <r>
    <x v="32"/>
    <x v="0"/>
    <d v="2012-07-12T00:00:00"/>
    <n v="6000"/>
    <s v="Jul 2012"/>
  </r>
  <r>
    <x v="32"/>
    <x v="0"/>
    <d v="2012-07-14T00:00:00"/>
    <n v="6000"/>
    <s v="Jul 2012"/>
  </r>
  <r>
    <x v="32"/>
    <x v="0"/>
    <d v="2012-07-17T00:00:00"/>
    <n v="6000"/>
    <s v="Jul 2012"/>
  </r>
  <r>
    <x v="32"/>
    <x v="0"/>
    <d v="2012-07-19T00:00:00"/>
    <n v="6000"/>
    <s v="Jul 2012"/>
  </r>
  <r>
    <x v="32"/>
    <x v="0"/>
    <d v="2012-08-18T00:00:00"/>
    <n v="6000"/>
    <s v="Aug 2012"/>
  </r>
  <r>
    <x v="32"/>
    <x v="0"/>
    <d v="2012-08-21T00:00:00"/>
    <n v="6000"/>
    <s v="Aug 2012"/>
  </r>
  <r>
    <x v="32"/>
    <x v="0"/>
    <d v="2012-08-23T00:00:00"/>
    <n v="6000"/>
    <s v="Aug 2012"/>
  </r>
  <r>
    <x v="32"/>
    <x v="0"/>
    <d v="2012-08-25T00:00:00"/>
    <n v="6000"/>
    <s v="Aug 2012"/>
  </r>
  <r>
    <x v="32"/>
    <x v="0"/>
    <d v="2012-08-28T00:00:00"/>
    <n v="6000"/>
    <s v="Aug 2012"/>
  </r>
  <r>
    <x v="32"/>
    <x v="0"/>
    <d v="2012-08-30T00:00:00"/>
    <n v="6000"/>
    <s v="Aug 2012"/>
  </r>
  <r>
    <x v="32"/>
    <x v="0"/>
    <d v="2012-09-04T00:00:00"/>
    <n v="6000"/>
    <s v="Sep 2012"/>
  </r>
  <r>
    <x v="32"/>
    <x v="1"/>
    <d v="2012-10-23T00:00:00"/>
    <n v="5"/>
    <s v="Oct 2012"/>
  </r>
  <r>
    <x v="32"/>
    <x v="1"/>
    <d v="2012-11-16T00:00:00"/>
    <n v="5"/>
    <s v="Nov 2012"/>
  </r>
  <r>
    <x v="33"/>
    <x v="1"/>
    <d v="2012-10-10T00:00:00"/>
    <n v="3"/>
    <s v="Oct 2012"/>
  </r>
  <r>
    <x v="33"/>
    <x v="1"/>
    <d v="2012-11-14T00:00:00"/>
    <n v="3"/>
    <s v="Nov 2012"/>
  </r>
  <r>
    <x v="34"/>
    <x v="0"/>
    <d v="2012-07-14T00:00:00"/>
    <n v="6700"/>
    <s v="Jul 2012"/>
  </r>
  <r>
    <x v="34"/>
    <x v="0"/>
    <d v="2012-07-17T00:00:00"/>
    <n v="6700"/>
    <s v="Jul 2012"/>
  </r>
  <r>
    <x v="34"/>
    <x v="0"/>
    <d v="2012-07-19T00:00:00"/>
    <n v="6700"/>
    <s v="Jul 2012"/>
  </r>
  <r>
    <x v="34"/>
    <x v="0"/>
    <d v="2012-07-24T00:00:00"/>
    <n v="10000"/>
    <s v="Jul 2012"/>
  </r>
  <r>
    <x v="34"/>
    <x v="0"/>
    <d v="2012-07-26T00:00:00"/>
    <n v="10000"/>
    <s v="Jul 2012"/>
  </r>
  <r>
    <x v="34"/>
    <x v="0"/>
    <d v="2012-07-31T00:00:00"/>
    <n v="10000"/>
    <s v="Jul 2012"/>
  </r>
  <r>
    <x v="34"/>
    <x v="0"/>
    <d v="2012-08-02T00:00:00"/>
    <n v="10000"/>
    <s v="Aug 2012"/>
  </r>
  <r>
    <x v="34"/>
    <x v="0"/>
    <d v="2012-08-04T00:00:00"/>
    <n v="13000"/>
    <s v="Aug 2012"/>
  </r>
  <r>
    <x v="34"/>
    <x v="0"/>
    <d v="2012-08-09T00:00:00"/>
    <n v="13000"/>
    <s v="Aug 2012"/>
  </r>
  <r>
    <x v="34"/>
    <x v="0"/>
    <d v="2012-08-11T00:00:00"/>
    <n v="13000"/>
    <s v="Aug 2012"/>
  </r>
  <r>
    <x v="34"/>
    <x v="0"/>
    <d v="2012-08-14T00:00:00"/>
    <n v="13000"/>
    <s v="Aug 2012"/>
  </r>
  <r>
    <x v="34"/>
    <x v="0"/>
    <d v="2012-08-16T00:00:00"/>
    <n v="13000"/>
    <s v="Aug 2012"/>
  </r>
  <r>
    <x v="34"/>
    <x v="0"/>
    <d v="2012-08-18T00:00:00"/>
    <n v="15600"/>
    <s v="Aug 2012"/>
  </r>
  <r>
    <x v="34"/>
    <x v="0"/>
    <d v="2012-08-21T00:00:00"/>
    <n v="15600"/>
    <s v="Aug 2012"/>
  </r>
  <r>
    <x v="34"/>
    <x v="0"/>
    <d v="2012-08-23T00:00:00"/>
    <n v="15600"/>
    <s v="Aug 2012"/>
  </r>
  <r>
    <x v="34"/>
    <x v="0"/>
    <d v="2012-08-28T00:00:00"/>
    <n v="15600"/>
    <s v="Aug 2012"/>
  </r>
  <r>
    <x v="34"/>
    <x v="1"/>
    <d v="2012-10-18T00:00:00"/>
    <n v="3"/>
    <s v="Oct 2012"/>
  </r>
  <r>
    <x v="34"/>
    <x v="1"/>
    <d v="2012-11-15T00:00:00"/>
    <n v="5"/>
    <s v="Nov 2012"/>
  </r>
  <r>
    <x v="35"/>
    <x v="0"/>
    <d v="2012-07-02T00:00:00"/>
    <n v="3700"/>
    <s v="Jul 2012"/>
  </r>
  <r>
    <x v="35"/>
    <x v="0"/>
    <d v="2012-07-04T00:00:00"/>
    <n v="3700"/>
    <s v="Jul 2012"/>
  </r>
  <r>
    <x v="35"/>
    <x v="0"/>
    <d v="2012-07-06T00:00:00"/>
    <n v="3700"/>
    <s v="Jul 2012"/>
  </r>
  <r>
    <x v="35"/>
    <x v="0"/>
    <d v="2012-07-09T00:00:00"/>
    <n v="3700"/>
    <s v="Jul 2012"/>
  </r>
  <r>
    <x v="35"/>
    <x v="0"/>
    <d v="2012-07-11T00:00:00"/>
    <n v="3700"/>
    <s v="Jul 2012"/>
  </r>
  <r>
    <x v="35"/>
    <x v="0"/>
    <d v="2012-07-13T00:00:00"/>
    <n v="3700"/>
    <s v="Jul 2012"/>
  </r>
  <r>
    <x v="35"/>
    <x v="0"/>
    <d v="2012-07-16T00:00:00"/>
    <n v="3700"/>
    <s v="Jul 2012"/>
  </r>
  <r>
    <x v="35"/>
    <x v="0"/>
    <d v="2012-07-18T00:00:00"/>
    <n v="3700"/>
    <s v="Jul 2012"/>
  </r>
  <r>
    <x v="35"/>
    <x v="0"/>
    <d v="2012-07-20T00:00:00"/>
    <n v="3700"/>
    <s v="Jul 2012"/>
  </r>
  <r>
    <x v="35"/>
    <x v="0"/>
    <d v="2012-08-06T00:00:00"/>
    <n v="3700"/>
    <s v="Aug 2012"/>
  </r>
  <r>
    <x v="35"/>
    <x v="0"/>
    <d v="2012-08-08T00:00:00"/>
    <n v="3700"/>
    <s v="Aug 2012"/>
  </r>
  <r>
    <x v="35"/>
    <x v="0"/>
    <d v="2012-08-10T00:00:00"/>
    <n v="3700"/>
    <s v="Aug 2012"/>
  </r>
  <r>
    <x v="35"/>
    <x v="0"/>
    <d v="2012-08-13T00:00:00"/>
    <n v="3700"/>
    <s v="Aug 2012"/>
  </r>
  <r>
    <x v="35"/>
    <x v="0"/>
    <d v="2012-08-15T00:00:00"/>
    <n v="3700"/>
    <s v="Aug 2012"/>
  </r>
  <r>
    <x v="35"/>
    <x v="0"/>
    <d v="2012-08-17T00:00:00"/>
    <n v="3700"/>
    <s v="Aug 2012"/>
  </r>
  <r>
    <x v="35"/>
    <x v="1"/>
    <d v="2012-09-12T00:00:00"/>
    <n v="6"/>
    <s v="Sep 2012"/>
  </r>
  <r>
    <x v="35"/>
    <x v="1"/>
    <d v="2012-10-17T00:00:00"/>
    <n v="5"/>
    <s v="Oct 2012"/>
  </r>
  <r>
    <x v="35"/>
    <x v="1"/>
    <d v="2012-11-14T00:00:00"/>
    <n v="4"/>
    <s v="Nov 2012"/>
  </r>
  <r>
    <x v="36"/>
    <x v="1"/>
    <d v="2012-10-11T00:00:00"/>
    <n v="1"/>
    <s v="Oct 2012"/>
  </r>
  <r>
    <x v="36"/>
    <x v="1"/>
    <d v="2012-11-15T00:00:00"/>
    <n v="1"/>
    <s v="Nov 2012"/>
  </r>
  <r>
    <x v="37"/>
    <x v="0"/>
    <d v="2012-09-06T00:00:00"/>
    <n v="2600"/>
    <s v="Sep 2012"/>
  </r>
  <r>
    <x v="37"/>
    <x v="1"/>
    <d v="2012-09-15T00:00:00"/>
    <n v="5"/>
    <s v="Sep 2012"/>
  </r>
  <r>
    <x v="38"/>
    <x v="0"/>
    <d v="2012-07-03T00:00:00"/>
    <n v="4500"/>
    <s v="Jul 2012"/>
  </r>
  <r>
    <x v="38"/>
    <x v="0"/>
    <d v="2012-07-10T00:00:00"/>
    <n v="4500"/>
    <s v="Jul 2012"/>
  </r>
  <r>
    <x v="38"/>
    <x v="0"/>
    <d v="2012-07-12T00:00:00"/>
    <n v="4500"/>
    <s v="Jul 2012"/>
  </r>
  <r>
    <x v="38"/>
    <x v="0"/>
    <d v="2012-07-14T00:00:00"/>
    <n v="4500"/>
    <s v="Jul 2012"/>
  </r>
  <r>
    <x v="38"/>
    <x v="0"/>
    <d v="2012-07-17T00:00:00"/>
    <n v="4500"/>
    <s v="Jul 2012"/>
  </r>
  <r>
    <x v="38"/>
    <x v="0"/>
    <d v="2012-07-21T00:00:00"/>
    <n v="4500"/>
    <s v="Jul 2012"/>
  </r>
  <r>
    <x v="38"/>
    <x v="0"/>
    <d v="2012-07-28T00:00:00"/>
    <n v="4500"/>
    <s v="Jul 2012"/>
  </r>
  <r>
    <x v="38"/>
    <x v="0"/>
    <d v="2012-07-31T00:00:00"/>
    <n v="4500"/>
    <s v="Jul 2012"/>
  </r>
  <r>
    <x v="38"/>
    <x v="0"/>
    <d v="2012-08-02T00:00:00"/>
    <n v="4500"/>
    <s v="Aug 2012"/>
  </r>
  <r>
    <x v="38"/>
    <x v="0"/>
    <d v="2012-08-07T00:00:00"/>
    <n v="4500"/>
    <s v="Aug 2012"/>
  </r>
  <r>
    <x v="38"/>
    <x v="0"/>
    <d v="2012-08-11T00:00:00"/>
    <n v="4500"/>
    <s v="Aug 2012"/>
  </r>
  <r>
    <x v="38"/>
    <x v="0"/>
    <d v="2012-08-16T00:00:00"/>
    <n v="4500"/>
    <s v="Aug 2012"/>
  </r>
  <r>
    <x v="38"/>
    <x v="0"/>
    <d v="2012-08-18T00:00:00"/>
    <n v="4500"/>
    <s v="Aug 2012"/>
  </r>
  <r>
    <x v="38"/>
    <x v="0"/>
    <d v="2012-08-23T00:00:00"/>
    <n v="4500"/>
    <s v="Aug 2012"/>
  </r>
  <r>
    <x v="38"/>
    <x v="0"/>
    <d v="2012-08-30T00:00:00"/>
    <n v="4500"/>
    <s v="Aug 2012"/>
  </r>
  <r>
    <x v="38"/>
    <x v="0"/>
    <d v="2012-09-05T00:00:00"/>
    <n v="4500"/>
    <s v="Sep 2012"/>
  </r>
  <r>
    <x v="38"/>
    <x v="1"/>
    <d v="2012-09-13T00:00:00"/>
    <n v="8"/>
    <s v="Sep 2012"/>
  </r>
  <r>
    <x v="39"/>
    <x v="0"/>
    <d v="2012-07-07T00:00:00"/>
    <n v="3400"/>
    <s v="Jul 2012"/>
  </r>
  <r>
    <x v="39"/>
    <x v="0"/>
    <d v="2012-07-10T00:00:00"/>
    <n v="3400"/>
    <s v="Jul 2012"/>
  </r>
  <r>
    <x v="39"/>
    <x v="0"/>
    <d v="2012-07-12T00:00:00"/>
    <n v="3400"/>
    <s v="Jul 2012"/>
  </r>
  <r>
    <x v="39"/>
    <x v="0"/>
    <d v="2012-07-14T00:00:00"/>
    <n v="3400"/>
    <s v="Jul 2012"/>
  </r>
  <r>
    <x v="39"/>
    <x v="0"/>
    <d v="2012-07-17T00:00:00"/>
    <n v="3400"/>
    <s v="Jul 2012"/>
  </r>
  <r>
    <x v="39"/>
    <x v="0"/>
    <d v="2012-07-19T00:00:00"/>
    <n v="3400"/>
    <s v="Jul 2012"/>
  </r>
  <r>
    <x v="39"/>
    <x v="0"/>
    <d v="2012-07-21T00:00:00"/>
    <n v="3400"/>
    <s v="Jul 2012"/>
  </r>
  <r>
    <x v="39"/>
    <x v="0"/>
    <d v="2012-07-24T00:00:00"/>
    <n v="3400"/>
    <s v="Jul 2012"/>
  </r>
  <r>
    <x v="39"/>
    <x v="0"/>
    <d v="2012-07-26T00:00:00"/>
    <n v="3400"/>
    <s v="Jul 2012"/>
  </r>
  <r>
    <x v="39"/>
    <x v="0"/>
    <d v="2012-07-28T00:00:00"/>
    <n v="3400"/>
    <s v="Jul 2012"/>
  </r>
  <r>
    <x v="39"/>
    <x v="0"/>
    <d v="2012-07-31T00:00:00"/>
    <n v="3400"/>
    <s v="Jul 2012"/>
  </r>
  <r>
    <x v="39"/>
    <x v="0"/>
    <d v="2012-08-02T00:00:00"/>
    <n v="3400"/>
    <s v="Aug 2012"/>
  </r>
  <r>
    <x v="39"/>
    <x v="0"/>
    <d v="2012-08-04T00:00:00"/>
    <n v="3400"/>
    <s v="Aug 2012"/>
  </r>
  <r>
    <x v="39"/>
    <x v="0"/>
    <d v="2012-08-07T00:00:00"/>
    <n v="3400"/>
    <s v="Aug 2012"/>
  </r>
  <r>
    <x v="39"/>
    <x v="0"/>
    <d v="2012-08-09T00:00:00"/>
    <n v="3400"/>
    <s v="Aug 2012"/>
  </r>
  <r>
    <x v="39"/>
    <x v="0"/>
    <d v="2012-08-14T00:00:00"/>
    <n v="3400"/>
    <s v="Aug 2012"/>
  </r>
  <r>
    <x v="39"/>
    <x v="0"/>
    <d v="2012-08-16T00:00:00"/>
    <n v="3400"/>
    <s v="Aug 2012"/>
  </r>
  <r>
    <x v="40"/>
    <x v="1"/>
    <d v="2012-09-13T00:00:00"/>
    <n v="6"/>
    <s v="Sep 2012"/>
  </r>
  <r>
    <x v="40"/>
    <x v="1"/>
    <d v="2012-10-11T00:00:00"/>
    <n v="6"/>
    <s v="Oct 2012"/>
  </r>
  <r>
    <x v="41"/>
    <x v="0"/>
    <d v="2012-07-13T00:00:00"/>
    <n v="2600"/>
    <s v="Jul 2012"/>
  </r>
  <r>
    <x v="41"/>
    <x v="0"/>
    <d v="2012-07-16T00:00:00"/>
    <n v="2600"/>
    <s v="Jul 2012"/>
  </r>
  <r>
    <x v="41"/>
    <x v="0"/>
    <d v="2012-07-18T00:00:00"/>
    <n v="2600"/>
    <s v="Jul 2012"/>
  </r>
  <r>
    <x v="41"/>
    <x v="1"/>
    <d v="2012-10-12T00:00:00"/>
    <n v="2"/>
    <s v="Oct 2012"/>
  </r>
  <r>
    <x v="41"/>
    <x v="1"/>
    <d v="2012-11-14T00:00:00"/>
    <n v="3"/>
    <s v="Nov 2012"/>
  </r>
  <r>
    <x v="42"/>
    <x v="0"/>
    <d v="2012-07-02T00:00:00"/>
    <n v="3000"/>
    <s v="Jul 2012"/>
  </r>
  <r>
    <x v="42"/>
    <x v="0"/>
    <d v="2012-07-04T00:00:00"/>
    <n v="3000"/>
    <s v="Jul 2012"/>
  </r>
  <r>
    <x v="42"/>
    <x v="0"/>
    <d v="2012-07-06T00:00:00"/>
    <n v="3000"/>
    <s v="Jul 2012"/>
  </r>
  <r>
    <x v="43"/>
    <x v="1"/>
    <d v="2012-10-13T00:00:00"/>
    <n v="2"/>
    <s v="Oct 2012"/>
  </r>
  <r>
    <x v="44"/>
    <x v="1"/>
    <d v="2012-11-14T00:00:00"/>
    <n v="2"/>
    <s v="Nov 2012"/>
  </r>
  <r>
    <x v="45"/>
    <x v="0"/>
    <d v="2012-07-06T00:00:00"/>
    <n v="10600"/>
    <s v="Jul 2012"/>
  </r>
  <r>
    <x v="45"/>
    <x v="0"/>
    <d v="2012-07-09T00:00:00"/>
    <n v="10600"/>
    <s v="Jul 2012"/>
  </r>
  <r>
    <x v="45"/>
    <x v="0"/>
    <d v="2012-07-11T00:00:00"/>
    <n v="10600"/>
    <s v="Jul 2012"/>
  </r>
  <r>
    <x v="45"/>
    <x v="0"/>
    <d v="2012-07-13T00:00:00"/>
    <n v="10600"/>
    <s v="Jul 2012"/>
  </r>
  <r>
    <x v="45"/>
    <x v="0"/>
    <d v="2012-07-16T00:00:00"/>
    <n v="10600"/>
    <s v="Jul 2012"/>
  </r>
  <r>
    <x v="45"/>
    <x v="0"/>
    <d v="2012-07-18T00:00:00"/>
    <n v="10600"/>
    <s v="Jul 2012"/>
  </r>
  <r>
    <x v="45"/>
    <x v="0"/>
    <d v="2012-07-20T00:00:00"/>
    <n v="10600"/>
    <s v="Jul 2012"/>
  </r>
  <r>
    <x v="45"/>
    <x v="0"/>
    <d v="2012-07-23T00:00:00"/>
    <n v="10600"/>
    <s v="Jul 2012"/>
  </r>
  <r>
    <x v="45"/>
    <x v="0"/>
    <d v="2012-07-25T00:00:00"/>
    <n v="10600"/>
    <s v="Jul 2012"/>
  </r>
  <r>
    <x v="45"/>
    <x v="0"/>
    <d v="2012-07-27T00:00:00"/>
    <n v="10600"/>
    <s v="Jul 2012"/>
  </r>
  <r>
    <x v="45"/>
    <x v="0"/>
    <d v="2012-07-30T00:00:00"/>
    <n v="10600"/>
    <s v="Jul 2012"/>
  </r>
  <r>
    <x v="45"/>
    <x v="0"/>
    <d v="2012-08-01T00:00:00"/>
    <n v="10600"/>
    <s v="Aug 2012"/>
  </r>
  <r>
    <x v="45"/>
    <x v="0"/>
    <d v="2012-08-03T00:00:00"/>
    <n v="10600"/>
    <s v="Aug 2012"/>
  </r>
  <r>
    <x v="45"/>
    <x v="0"/>
    <d v="2012-08-06T00:00:00"/>
    <n v="11700"/>
    <s v="Aug 2012"/>
  </r>
  <r>
    <x v="45"/>
    <x v="0"/>
    <d v="2012-08-08T00:00:00"/>
    <n v="11700"/>
    <s v="Aug 2012"/>
  </r>
  <r>
    <x v="45"/>
    <x v="0"/>
    <d v="2012-08-10T00:00:00"/>
    <n v="11700"/>
    <s v="Aug 2012"/>
  </r>
  <r>
    <x v="45"/>
    <x v="0"/>
    <d v="2012-08-13T00:00:00"/>
    <n v="11700"/>
    <s v="Aug 2012"/>
  </r>
  <r>
    <x v="45"/>
    <x v="0"/>
    <d v="2012-08-15T00:00:00"/>
    <n v="11700"/>
    <s v="Aug 2012"/>
  </r>
  <r>
    <x v="45"/>
    <x v="0"/>
    <d v="2012-08-17T00:00:00"/>
    <n v="11700"/>
    <s v="Aug 2012"/>
  </r>
  <r>
    <x v="45"/>
    <x v="0"/>
    <d v="2012-08-20T00:00:00"/>
    <n v="11700"/>
    <s v="Aug 2012"/>
  </r>
  <r>
    <x v="45"/>
    <x v="0"/>
    <d v="2012-08-22T00:00:00"/>
    <n v="11700"/>
    <s v="Aug 2012"/>
  </r>
  <r>
    <x v="45"/>
    <x v="0"/>
    <d v="2012-08-24T00:00:00"/>
    <n v="11700"/>
    <s v="Aug 2012"/>
  </r>
  <r>
    <x v="45"/>
    <x v="0"/>
    <d v="2012-08-27T00:00:00"/>
    <n v="11700"/>
    <s v="Aug 2012"/>
  </r>
  <r>
    <x v="45"/>
    <x v="0"/>
    <d v="2012-08-29T00:00:00"/>
    <n v="11700"/>
    <s v="Aug 2012"/>
  </r>
  <r>
    <x v="45"/>
    <x v="0"/>
    <d v="2012-08-31T00:00:00"/>
    <n v="11700"/>
    <s v="Aug 2012"/>
  </r>
  <r>
    <x v="45"/>
    <x v="0"/>
    <d v="2012-09-03T00:00:00"/>
    <n v="11700"/>
    <s v="Sep 2012"/>
  </r>
  <r>
    <x v="45"/>
    <x v="0"/>
    <d v="2012-09-05T00:00:00"/>
    <n v="11700"/>
    <s v="Sep 2012"/>
  </r>
  <r>
    <x v="45"/>
    <x v="1"/>
    <d v="2012-09-12T00:00:00"/>
    <n v="13"/>
    <s v="Sep 2012"/>
  </r>
  <r>
    <x v="45"/>
    <x v="1"/>
    <d v="2012-10-15T00:00:00"/>
    <n v="8"/>
    <s v="Oct 2012"/>
  </r>
  <r>
    <x v="45"/>
    <x v="1"/>
    <d v="2012-11-14T00:00:00"/>
    <n v="10"/>
    <s v="Nov 2012"/>
  </r>
  <r>
    <x v="46"/>
    <x v="0"/>
    <d v="2012-07-02T00:00:00"/>
    <n v="20000"/>
    <s v="Jul 2012"/>
  </r>
  <r>
    <x v="46"/>
    <x v="0"/>
    <d v="2012-07-04T00:00:00"/>
    <n v="20000"/>
    <s v="Jul 2012"/>
  </r>
  <r>
    <x v="46"/>
    <x v="0"/>
    <d v="2012-07-06T00:00:00"/>
    <n v="20000"/>
    <s v="Jul 2012"/>
  </r>
  <r>
    <x v="46"/>
    <x v="0"/>
    <d v="2012-07-09T00:00:00"/>
    <n v="20000"/>
    <s v="Jul 2012"/>
  </r>
  <r>
    <x v="46"/>
    <x v="0"/>
    <d v="2012-07-11T00:00:00"/>
    <n v="20000"/>
    <s v="Jul 2012"/>
  </r>
  <r>
    <x v="46"/>
    <x v="0"/>
    <d v="2012-07-13T00:00:00"/>
    <n v="20000"/>
    <s v="Jul 2012"/>
  </r>
  <r>
    <x v="46"/>
    <x v="0"/>
    <d v="2012-07-16T00:00:00"/>
    <n v="20000"/>
    <s v="Jul 2012"/>
  </r>
  <r>
    <x v="46"/>
    <x v="0"/>
    <d v="2012-07-18T00:00:00"/>
    <n v="20000"/>
    <s v="Jul 2012"/>
  </r>
  <r>
    <x v="46"/>
    <x v="0"/>
    <d v="2012-07-20T00:00:00"/>
    <n v="18000"/>
    <s v="Jul 2012"/>
  </r>
  <r>
    <x v="46"/>
    <x v="0"/>
    <d v="2012-07-23T00:00:00"/>
    <n v="18000"/>
    <s v="Jul 2012"/>
  </r>
  <r>
    <x v="46"/>
    <x v="0"/>
    <d v="2012-07-25T00:00:00"/>
    <n v="18000"/>
    <s v="Jul 2012"/>
  </r>
  <r>
    <x v="46"/>
    <x v="0"/>
    <d v="2012-07-27T00:00:00"/>
    <n v="18000"/>
    <s v="Jul 2012"/>
  </r>
  <r>
    <x v="46"/>
    <x v="0"/>
    <d v="2012-07-30T00:00:00"/>
    <n v="18000"/>
    <s v="Jul 2012"/>
  </r>
  <r>
    <x v="46"/>
    <x v="0"/>
    <d v="2012-08-01T00:00:00"/>
    <n v="18000"/>
    <s v="Aug 2012"/>
  </r>
  <r>
    <x v="46"/>
    <x v="0"/>
    <d v="2012-08-03T00:00:00"/>
    <n v="18000"/>
    <s v="Aug 2012"/>
  </r>
  <r>
    <x v="46"/>
    <x v="0"/>
    <d v="2012-08-06T00:00:00"/>
    <n v="18000"/>
    <s v="Aug 2012"/>
  </r>
  <r>
    <x v="46"/>
    <x v="0"/>
    <d v="2012-08-08T00:00:00"/>
    <n v="18000"/>
    <s v="Aug 2012"/>
  </r>
  <r>
    <x v="46"/>
    <x v="0"/>
    <d v="2012-08-10T00:00:00"/>
    <n v="18000"/>
    <s v="Aug 2012"/>
  </r>
  <r>
    <x v="46"/>
    <x v="0"/>
    <d v="2012-08-13T00:00:00"/>
    <n v="18000"/>
    <s v="Aug 2012"/>
  </r>
  <r>
    <x v="46"/>
    <x v="0"/>
    <d v="2012-08-15T00:00:00"/>
    <n v="18000"/>
    <s v="Aug 2012"/>
  </r>
  <r>
    <x v="46"/>
    <x v="0"/>
    <d v="2012-08-17T00:00:00"/>
    <n v="18000"/>
    <s v="Aug 2012"/>
  </r>
  <r>
    <x v="46"/>
    <x v="0"/>
    <d v="2012-08-20T00:00:00"/>
    <n v="18000"/>
    <s v="Aug 2012"/>
  </r>
  <r>
    <x v="46"/>
    <x v="0"/>
    <d v="2012-08-22T00:00:00"/>
    <n v="18000"/>
    <s v="Aug 2012"/>
  </r>
  <r>
    <x v="46"/>
    <x v="0"/>
    <d v="2012-08-24T00:00:00"/>
    <n v="18000"/>
    <s v="Aug 2012"/>
  </r>
  <r>
    <x v="46"/>
    <x v="0"/>
    <d v="2012-08-27T00:00:00"/>
    <n v="18000"/>
    <s v="Aug 2012"/>
  </r>
  <r>
    <x v="46"/>
    <x v="0"/>
    <d v="2012-08-29T00:00:00"/>
    <n v="18000"/>
    <s v="Aug 2012"/>
  </r>
  <r>
    <x v="46"/>
    <x v="0"/>
    <d v="2012-08-31T00:00:00"/>
    <n v="18000"/>
    <s v="Aug 2012"/>
  </r>
  <r>
    <x v="46"/>
    <x v="0"/>
    <d v="2012-09-03T00:00:00"/>
    <n v="18000"/>
    <s v="Sep 2012"/>
  </r>
  <r>
    <x v="46"/>
    <x v="0"/>
    <d v="2012-09-05T00:00:00"/>
    <n v="18000"/>
    <s v="Sep 2012"/>
  </r>
  <r>
    <x v="46"/>
    <x v="1"/>
    <d v="2012-09-12T00:00:00"/>
    <n v="16"/>
    <s v="Sep 2012"/>
  </r>
  <r>
    <x v="46"/>
    <x v="1"/>
    <d v="2012-10-10T00:00:00"/>
    <n v="20"/>
    <s v="Oct 2012"/>
  </r>
  <r>
    <x v="46"/>
    <x v="1"/>
    <d v="2012-11-14T00:00:00"/>
    <n v="20"/>
    <s v="Nov 2012"/>
  </r>
  <r>
    <x v="47"/>
    <x v="0"/>
    <d v="2012-07-02T00:00:00"/>
    <n v="3200"/>
    <s v="Jul 2012"/>
  </r>
  <r>
    <x v="47"/>
    <x v="0"/>
    <d v="2012-07-04T00:00:00"/>
    <n v="3200"/>
    <s v="Jul 2012"/>
  </r>
  <r>
    <x v="47"/>
    <x v="0"/>
    <d v="2012-07-06T00:00:00"/>
    <n v="3200"/>
    <s v="Jul 2012"/>
  </r>
  <r>
    <x v="47"/>
    <x v="0"/>
    <d v="2012-07-09T00:00:00"/>
    <n v="3200"/>
    <s v="Jul 2012"/>
  </r>
  <r>
    <x v="47"/>
    <x v="0"/>
    <d v="2012-07-11T00:00:00"/>
    <n v="3200"/>
    <s v="Jul 2012"/>
  </r>
  <r>
    <x v="47"/>
    <x v="0"/>
    <d v="2012-07-13T00:00:00"/>
    <n v="3200"/>
    <s v="Jul 2012"/>
  </r>
  <r>
    <x v="47"/>
    <x v="0"/>
    <d v="2012-07-16T00:00:00"/>
    <n v="3200"/>
    <s v="Jul 2012"/>
  </r>
  <r>
    <x v="47"/>
    <x v="0"/>
    <d v="2012-07-18T00:00:00"/>
    <n v="3200"/>
    <s v="Jul 2012"/>
  </r>
  <r>
    <x v="47"/>
    <x v="0"/>
    <d v="2012-07-20T00:00:00"/>
    <n v="2900"/>
    <s v="Jul 2012"/>
  </r>
  <r>
    <x v="47"/>
    <x v="0"/>
    <d v="2012-07-23T00:00:00"/>
    <n v="2900"/>
    <s v="Jul 2012"/>
  </r>
  <r>
    <x v="47"/>
    <x v="0"/>
    <d v="2012-07-25T00:00:00"/>
    <n v="2900"/>
    <s v="Jul 2012"/>
  </r>
  <r>
    <x v="47"/>
    <x v="0"/>
    <d v="2012-07-27T00:00:00"/>
    <n v="2900"/>
    <s v="Jul 2012"/>
  </r>
  <r>
    <x v="47"/>
    <x v="0"/>
    <d v="2012-07-30T00:00:00"/>
    <n v="2900"/>
    <s v="Jul 2012"/>
  </r>
  <r>
    <x v="47"/>
    <x v="0"/>
    <d v="2012-08-01T00:00:00"/>
    <n v="2900"/>
    <s v="Aug 2012"/>
  </r>
  <r>
    <x v="47"/>
    <x v="0"/>
    <d v="2012-08-03T00:00:00"/>
    <n v="2900"/>
    <s v="Aug 2012"/>
  </r>
  <r>
    <x v="47"/>
    <x v="0"/>
    <d v="2012-08-06T00:00:00"/>
    <n v="2900"/>
    <s v="Aug 2012"/>
  </r>
  <r>
    <x v="47"/>
    <x v="0"/>
    <d v="2012-08-08T00:00:00"/>
    <n v="2900"/>
    <s v="Aug 2012"/>
  </r>
  <r>
    <x v="47"/>
    <x v="0"/>
    <d v="2012-08-10T00:00:00"/>
    <n v="2900"/>
    <s v="Aug 2012"/>
  </r>
  <r>
    <x v="47"/>
    <x v="0"/>
    <d v="2012-08-13T00:00:00"/>
    <n v="2900"/>
    <s v="Aug 2012"/>
  </r>
  <r>
    <x v="47"/>
    <x v="0"/>
    <d v="2012-08-15T00:00:00"/>
    <n v="2900"/>
    <s v="Aug 2012"/>
  </r>
  <r>
    <x v="47"/>
    <x v="0"/>
    <d v="2012-09-03T00:00:00"/>
    <n v="2000"/>
    <s v="Sep 2012"/>
  </r>
  <r>
    <x v="47"/>
    <x v="0"/>
    <d v="2012-09-05T00:00:00"/>
    <n v="2000"/>
    <s v="Sep 2012"/>
  </r>
  <r>
    <x v="47"/>
    <x v="1"/>
    <d v="2012-09-12T00:00:00"/>
    <n v="4"/>
    <s v="Sep 2012"/>
  </r>
  <r>
    <x v="47"/>
    <x v="1"/>
    <d v="2012-10-10T00:00:00"/>
    <n v="3"/>
    <s v="Oct 2012"/>
  </r>
  <r>
    <x v="47"/>
    <x v="1"/>
    <d v="2012-11-14T00:00:00"/>
    <n v="5"/>
    <s v="Nov 2012"/>
  </r>
  <r>
    <x v="48"/>
    <x v="0"/>
    <d v="2012-07-03T00:00:00"/>
    <n v="1700"/>
    <s v="Jul 2012"/>
  </r>
  <r>
    <x v="48"/>
    <x v="0"/>
    <d v="2012-07-05T00:00:00"/>
    <n v="1700"/>
    <s v="Jul 2012"/>
  </r>
  <r>
    <x v="48"/>
    <x v="0"/>
    <d v="2012-07-21T00:00:00"/>
    <n v="1700"/>
    <s v="Jul 2012"/>
  </r>
  <r>
    <x v="48"/>
    <x v="0"/>
    <d v="2012-07-24T00:00:00"/>
    <n v="1700"/>
    <s v="Jul 2012"/>
  </r>
  <r>
    <x v="48"/>
    <x v="0"/>
    <d v="2012-07-26T00:00:00"/>
    <n v="1700"/>
    <s v="Jul 2012"/>
  </r>
  <r>
    <x v="48"/>
    <x v="0"/>
    <d v="2012-07-28T00:00:00"/>
    <n v="1700"/>
    <s v="Jul 2012"/>
  </r>
  <r>
    <x v="48"/>
    <x v="0"/>
    <d v="2012-07-31T00:00:00"/>
    <n v="1700"/>
    <s v="Jul 2012"/>
  </r>
  <r>
    <x v="48"/>
    <x v="0"/>
    <d v="2012-08-02T00:00:00"/>
    <n v="1700"/>
    <s v="Aug 2012"/>
  </r>
  <r>
    <x v="48"/>
    <x v="0"/>
    <d v="2012-08-04T00:00:00"/>
    <n v="1700"/>
    <s v="Aug 2012"/>
  </r>
  <r>
    <x v="48"/>
    <x v="0"/>
    <d v="2012-08-07T00:00:00"/>
    <n v="1700"/>
    <s v="Aug 2012"/>
  </r>
  <r>
    <x v="48"/>
    <x v="0"/>
    <d v="2012-08-09T00:00:00"/>
    <n v="1700"/>
    <s v="Aug 2012"/>
  </r>
  <r>
    <x v="48"/>
    <x v="0"/>
    <d v="2012-08-11T00:00:00"/>
    <n v="1700"/>
    <s v="Aug 2012"/>
  </r>
  <r>
    <x v="48"/>
    <x v="0"/>
    <d v="2012-08-14T00:00:00"/>
    <n v="1700"/>
    <s v="Aug 2012"/>
  </r>
  <r>
    <x v="48"/>
    <x v="0"/>
    <d v="2012-08-16T00:00:00"/>
    <n v="1700"/>
    <s v="Aug 2012"/>
  </r>
  <r>
    <x v="48"/>
    <x v="0"/>
    <d v="2012-08-21T00:00:00"/>
    <n v="1700"/>
    <s v="Aug 2012"/>
  </r>
  <r>
    <x v="48"/>
    <x v="0"/>
    <d v="2012-08-23T00:00:00"/>
    <n v="1700"/>
    <s v="Aug 2012"/>
  </r>
  <r>
    <x v="48"/>
    <x v="0"/>
    <d v="2012-08-25T00:00:00"/>
    <n v="1700"/>
    <s v="Aug 2012"/>
  </r>
  <r>
    <x v="48"/>
    <x v="0"/>
    <d v="2012-08-28T00:00:00"/>
    <n v="1700"/>
    <s v="Aug 2012"/>
  </r>
  <r>
    <x v="48"/>
    <x v="0"/>
    <d v="2012-08-30T00:00:00"/>
    <n v="1700"/>
    <s v="Aug 2012"/>
  </r>
  <r>
    <x v="48"/>
    <x v="0"/>
    <d v="2012-09-01T00:00:00"/>
    <n v="1700"/>
    <s v="Sep 2012"/>
  </r>
  <r>
    <x v="48"/>
    <x v="0"/>
    <d v="2012-09-04T00:00:00"/>
    <n v="1700"/>
    <s v="Sep 2012"/>
  </r>
  <r>
    <x v="48"/>
    <x v="0"/>
    <d v="2012-09-06T00:00:00"/>
    <n v="1700"/>
    <s v="Sep 2012"/>
  </r>
  <r>
    <x v="48"/>
    <x v="1"/>
    <d v="2012-09-13T00:00:00"/>
    <n v="4"/>
    <s v="Sep 2012"/>
  </r>
  <r>
    <x v="49"/>
    <x v="0"/>
    <d v="2012-07-03T00:00:00"/>
    <n v="8000"/>
    <s v="Jul 2012"/>
  </r>
  <r>
    <x v="49"/>
    <x v="0"/>
    <d v="2012-07-05T00:00:00"/>
    <n v="8000"/>
    <s v="Jul 2012"/>
  </r>
  <r>
    <x v="49"/>
    <x v="0"/>
    <d v="2012-07-07T00:00:00"/>
    <n v="8000"/>
    <s v="Jul 2012"/>
  </r>
  <r>
    <x v="49"/>
    <x v="0"/>
    <d v="2012-07-10T00:00:00"/>
    <n v="8000"/>
    <s v="Jul 2012"/>
  </r>
  <r>
    <x v="49"/>
    <x v="0"/>
    <d v="2012-07-12T00:00:00"/>
    <n v="8000"/>
    <s v="Jul 2012"/>
  </r>
  <r>
    <x v="49"/>
    <x v="0"/>
    <d v="2012-07-14T00:00:00"/>
    <n v="8000"/>
    <s v="Jul 2012"/>
  </r>
  <r>
    <x v="49"/>
    <x v="0"/>
    <d v="2012-07-17T00:00:00"/>
    <n v="8000"/>
    <s v="Jul 2012"/>
  </r>
  <r>
    <x v="49"/>
    <x v="0"/>
    <d v="2012-07-19T00:00:00"/>
    <n v="8000"/>
    <s v="Jul 2012"/>
  </r>
  <r>
    <x v="49"/>
    <x v="0"/>
    <d v="2012-07-28T00:00:00"/>
    <n v="7200"/>
    <s v="Jul 2012"/>
  </r>
  <r>
    <x v="49"/>
    <x v="0"/>
    <d v="2012-07-31T00:00:00"/>
    <n v="7200"/>
    <s v="Jul 2012"/>
  </r>
  <r>
    <x v="49"/>
    <x v="0"/>
    <d v="2012-08-02T00:00:00"/>
    <n v="7200"/>
    <s v="Aug 2012"/>
  </r>
  <r>
    <x v="49"/>
    <x v="0"/>
    <d v="2012-08-04T00:00:00"/>
    <n v="7200"/>
    <s v="Aug 2012"/>
  </r>
  <r>
    <x v="49"/>
    <x v="0"/>
    <d v="2012-08-07T00:00:00"/>
    <n v="7200"/>
    <s v="Aug 2012"/>
  </r>
  <r>
    <x v="49"/>
    <x v="0"/>
    <d v="2012-08-09T00:00:00"/>
    <n v="7200"/>
    <s v="Aug 2012"/>
  </r>
  <r>
    <x v="49"/>
    <x v="0"/>
    <d v="2012-08-11T00:00:00"/>
    <n v="7200"/>
    <s v="Aug 2012"/>
  </r>
  <r>
    <x v="49"/>
    <x v="0"/>
    <d v="2012-08-14T00:00:00"/>
    <n v="7200"/>
    <s v="Aug 2012"/>
  </r>
  <r>
    <x v="49"/>
    <x v="0"/>
    <d v="2012-08-16T00:00:00"/>
    <n v="7200"/>
    <s v="Aug 2012"/>
  </r>
  <r>
    <x v="49"/>
    <x v="0"/>
    <d v="2012-08-18T00:00:00"/>
    <n v="7200"/>
    <s v="Aug 2012"/>
  </r>
  <r>
    <x v="49"/>
    <x v="0"/>
    <d v="2012-08-21T00:00:00"/>
    <n v="7200"/>
    <s v="Aug 2012"/>
  </r>
  <r>
    <x v="49"/>
    <x v="0"/>
    <d v="2012-08-23T00:00:00"/>
    <n v="7200"/>
    <s v="Aug 2012"/>
  </r>
  <r>
    <x v="49"/>
    <x v="0"/>
    <d v="2012-08-25T00:00:00"/>
    <n v="7200"/>
    <s v="Aug 2012"/>
  </r>
  <r>
    <x v="49"/>
    <x v="0"/>
    <d v="2012-08-28T00:00:00"/>
    <n v="7200"/>
    <s v="Aug 2012"/>
  </r>
  <r>
    <x v="49"/>
    <x v="0"/>
    <d v="2012-08-30T00:00:00"/>
    <n v="7200"/>
    <s v="Aug 2012"/>
  </r>
  <r>
    <x v="49"/>
    <x v="0"/>
    <d v="2012-09-01T00:00:00"/>
    <n v="7200"/>
    <s v="Sep 2012"/>
  </r>
  <r>
    <x v="49"/>
    <x v="0"/>
    <d v="2012-09-04T00:00:00"/>
    <n v="7200"/>
    <s v="Sep 2012"/>
  </r>
  <r>
    <x v="49"/>
    <x v="0"/>
    <d v="2012-09-06T00:00:00"/>
    <n v="6500"/>
    <s v="Sep 2012"/>
  </r>
  <r>
    <x v="50"/>
    <x v="0"/>
    <d v="2012-07-03T00:00:00"/>
    <n v="5000"/>
    <s v="Jul 2012"/>
  </r>
  <r>
    <x v="51"/>
    <x v="0"/>
    <d v="2012-08-04T00:00:00"/>
    <n v="4200"/>
    <s v="Aug 2012"/>
  </r>
  <r>
    <x v="51"/>
    <x v="0"/>
    <d v="2012-08-07T00:00:00"/>
    <n v="4200"/>
    <s v="Aug 2012"/>
  </r>
  <r>
    <x v="51"/>
    <x v="0"/>
    <d v="2012-08-09T00:00:00"/>
    <n v="4200"/>
    <s v="Aug 2012"/>
  </r>
  <r>
    <x v="51"/>
    <x v="0"/>
    <d v="2012-08-11T00:00:00"/>
    <n v="4200"/>
    <s v="Aug 2012"/>
  </r>
  <r>
    <x v="51"/>
    <x v="0"/>
    <d v="2012-08-14T00:00:00"/>
    <n v="4200"/>
    <s v="Aug 2012"/>
  </r>
  <r>
    <x v="51"/>
    <x v="0"/>
    <d v="2012-08-16T00:00:00"/>
    <n v="4200"/>
    <s v="Aug 2012"/>
  </r>
  <r>
    <x v="51"/>
    <x v="0"/>
    <d v="2012-08-18T00:00:00"/>
    <n v="4600"/>
    <s v="Aug 2012"/>
  </r>
  <r>
    <x v="51"/>
    <x v="0"/>
    <d v="2012-08-21T00:00:00"/>
    <n v="4600"/>
    <s v="Aug 2012"/>
  </r>
  <r>
    <x v="51"/>
    <x v="0"/>
    <d v="2012-08-23T00:00:00"/>
    <n v="4600"/>
    <s v="Aug 2012"/>
  </r>
  <r>
    <x v="51"/>
    <x v="0"/>
    <d v="2012-08-25T00:00:00"/>
    <n v="4600"/>
    <s v="Aug 2012"/>
  </r>
  <r>
    <x v="51"/>
    <x v="0"/>
    <d v="2012-08-28T00:00:00"/>
    <n v="4600"/>
    <s v="Aug 2012"/>
  </r>
  <r>
    <x v="51"/>
    <x v="0"/>
    <d v="2012-08-30T00:00:00"/>
    <n v="4600"/>
    <s v="Aug 2012"/>
  </r>
  <r>
    <x v="51"/>
    <x v="0"/>
    <d v="2012-09-04T00:00:00"/>
    <n v="4600"/>
    <s v="Sep 2012"/>
  </r>
  <r>
    <x v="51"/>
    <x v="0"/>
    <d v="2012-09-06T00:00:00"/>
    <n v="4600"/>
    <s v="Sep 2012"/>
  </r>
  <r>
    <x v="51"/>
    <x v="1"/>
    <d v="2012-09-13T00:00:00"/>
    <n v="8"/>
    <s v="Sep 2012"/>
  </r>
  <r>
    <x v="51"/>
    <x v="1"/>
    <d v="2012-10-11T00:00:00"/>
    <n v="8"/>
    <s v="Oct 2012"/>
  </r>
  <r>
    <x v="51"/>
    <x v="1"/>
    <d v="2012-11-17T00:00:00"/>
    <n v="8"/>
    <s v="Nov 2012"/>
  </r>
  <r>
    <x v="52"/>
    <x v="0"/>
    <d v="2012-07-03T00:00:00"/>
    <n v="2200"/>
    <s v="Jul 2012"/>
  </r>
  <r>
    <x v="52"/>
    <x v="0"/>
    <d v="2012-07-05T00:00:00"/>
    <n v="2200"/>
    <s v="Jul 2012"/>
  </r>
  <r>
    <x v="52"/>
    <x v="0"/>
    <d v="2012-07-07T00:00:00"/>
    <n v="2200"/>
    <s v="Jul 2012"/>
  </r>
  <r>
    <x v="52"/>
    <x v="0"/>
    <d v="2012-08-28T00:00:00"/>
    <n v="1800"/>
    <s v="Aug 2012"/>
  </r>
  <r>
    <x v="52"/>
    <x v="0"/>
    <d v="2012-08-30T00:00:00"/>
    <n v="1800"/>
    <s v="Aug 2012"/>
  </r>
  <r>
    <x v="52"/>
    <x v="0"/>
    <d v="2012-09-01T00:00:00"/>
    <n v="1800"/>
    <s v="Sep 2012"/>
  </r>
  <r>
    <x v="52"/>
    <x v="0"/>
    <d v="2012-09-04T00:00:00"/>
    <n v="1800"/>
    <s v="Sep 2012"/>
  </r>
  <r>
    <x v="52"/>
    <x v="0"/>
    <d v="2012-09-06T00:00:00"/>
    <n v="1800"/>
    <s v="Sep 2012"/>
  </r>
  <r>
    <x v="52"/>
    <x v="1"/>
    <d v="2012-09-13T00:00:00"/>
    <n v="4"/>
    <s v="Sep 2012"/>
  </r>
  <r>
    <x v="52"/>
    <x v="1"/>
    <d v="2012-10-11T00:00:00"/>
    <n v="4"/>
    <s v="Oct 2012"/>
  </r>
  <r>
    <x v="52"/>
    <x v="1"/>
    <d v="2012-11-15T00:00:00"/>
    <n v="3"/>
    <s v="Nov 2012"/>
  </r>
  <r>
    <x v="53"/>
    <x v="0"/>
    <d v="2012-07-02T00:00:00"/>
    <n v="4500"/>
    <s v="Jul 2012"/>
  </r>
  <r>
    <x v="53"/>
    <x v="0"/>
    <d v="2012-07-04T00:00:00"/>
    <n v="4500"/>
    <s v="Jul 2012"/>
  </r>
  <r>
    <x v="53"/>
    <x v="0"/>
    <d v="2012-07-06T00:00:00"/>
    <n v="4700"/>
    <s v="Jul 2012"/>
  </r>
  <r>
    <x v="53"/>
    <x v="0"/>
    <d v="2012-07-09T00:00:00"/>
    <n v="4700"/>
    <s v="Jul 2012"/>
  </r>
  <r>
    <x v="53"/>
    <x v="0"/>
    <d v="2012-07-11T00:00:00"/>
    <n v="4700"/>
    <s v="Jul 2012"/>
  </r>
  <r>
    <x v="53"/>
    <x v="0"/>
    <d v="2012-07-13T00:00:00"/>
    <n v="4700"/>
    <s v="Jul 2012"/>
  </r>
  <r>
    <x v="53"/>
    <x v="0"/>
    <d v="2012-07-16T00:00:00"/>
    <n v="4700"/>
    <s v="Jul 2012"/>
  </r>
  <r>
    <x v="53"/>
    <x v="0"/>
    <d v="2012-07-18T00:00:00"/>
    <n v="4700"/>
    <s v="Jul 2012"/>
  </r>
  <r>
    <x v="53"/>
    <x v="0"/>
    <d v="2012-07-23T00:00:00"/>
    <n v="5200"/>
    <s v="Jul 2012"/>
  </r>
  <r>
    <x v="53"/>
    <x v="0"/>
    <d v="2012-07-26T00:00:00"/>
    <n v="5200"/>
    <s v="Jul 2012"/>
  </r>
  <r>
    <x v="53"/>
    <x v="0"/>
    <d v="2012-07-27T00:00:00"/>
    <n v="5200"/>
    <s v="Jul 2012"/>
  </r>
  <r>
    <x v="53"/>
    <x v="0"/>
    <d v="2012-07-30T00:00:00"/>
    <n v="5200"/>
    <s v="Jul 2012"/>
  </r>
  <r>
    <x v="53"/>
    <x v="0"/>
    <d v="2012-08-01T00:00:00"/>
    <n v="5200"/>
    <s v="Aug 2012"/>
  </r>
  <r>
    <x v="53"/>
    <x v="0"/>
    <d v="2012-08-03T00:00:00"/>
    <n v="5200"/>
    <s v="Aug 2012"/>
  </r>
  <r>
    <x v="53"/>
    <x v="0"/>
    <d v="2012-08-06T00:00:00"/>
    <n v="6300"/>
    <s v="Aug 2012"/>
  </r>
  <r>
    <x v="53"/>
    <x v="0"/>
    <d v="2012-08-08T00:00:00"/>
    <n v="6300"/>
    <s v="Aug 2012"/>
  </r>
  <r>
    <x v="53"/>
    <x v="0"/>
    <d v="2012-08-10T00:00:00"/>
    <n v="6300"/>
    <s v="Aug 2012"/>
  </r>
  <r>
    <x v="53"/>
    <x v="0"/>
    <d v="2012-08-13T00:00:00"/>
    <n v="6300"/>
    <s v="Aug 2012"/>
  </r>
  <r>
    <x v="53"/>
    <x v="0"/>
    <d v="2012-08-15T00:00:00"/>
    <n v="6300"/>
    <s v="Aug 2012"/>
  </r>
  <r>
    <x v="53"/>
    <x v="0"/>
    <d v="2012-08-17T00:00:00"/>
    <n v="7000"/>
    <s v="Aug 2012"/>
  </r>
  <r>
    <x v="53"/>
    <x v="0"/>
    <d v="2012-08-20T00:00:00"/>
    <n v="7000"/>
    <s v="Aug 2012"/>
  </r>
  <r>
    <x v="53"/>
    <x v="0"/>
    <d v="2012-08-22T00:00:00"/>
    <n v="7000"/>
    <s v="Aug 2012"/>
  </r>
  <r>
    <x v="53"/>
    <x v="0"/>
    <d v="2012-08-24T00:00:00"/>
    <n v="7000"/>
    <s v="Aug 2012"/>
  </r>
  <r>
    <x v="53"/>
    <x v="0"/>
    <d v="2012-08-27T00:00:00"/>
    <n v="7000"/>
    <s v="Aug 2012"/>
  </r>
  <r>
    <x v="53"/>
    <x v="0"/>
    <d v="2012-08-29T00:00:00"/>
    <n v="7000"/>
    <s v="Aug 2012"/>
  </r>
  <r>
    <x v="53"/>
    <x v="0"/>
    <d v="2012-08-31T00:00:00"/>
    <n v="7000"/>
    <s v="Aug 2012"/>
  </r>
  <r>
    <x v="53"/>
    <x v="0"/>
    <d v="2012-09-03T00:00:00"/>
    <n v="7000"/>
    <s v="Sep 2012"/>
  </r>
  <r>
    <x v="53"/>
    <x v="1"/>
    <d v="2012-09-12T00:00:00"/>
    <n v="10"/>
    <s v="Sep 2012"/>
  </r>
  <r>
    <x v="53"/>
    <x v="1"/>
    <d v="2012-10-10T00:00:00"/>
    <n v="10"/>
    <s v="Oct 2012"/>
  </r>
  <r>
    <x v="53"/>
    <x v="1"/>
    <d v="2012-11-14T00:00:00"/>
    <n v="10"/>
    <s v="Nov 2012"/>
  </r>
  <r>
    <x v="54"/>
    <x v="0"/>
    <d v="2012-07-04T00:00:00"/>
    <n v="5700"/>
    <s v="Jul 2012"/>
  </r>
  <r>
    <x v="54"/>
    <x v="0"/>
    <d v="2012-07-06T00:00:00"/>
    <n v="6300"/>
    <s v="Jul 2012"/>
  </r>
  <r>
    <x v="54"/>
    <x v="0"/>
    <d v="2012-07-09T00:00:00"/>
    <n v="6300"/>
    <s v="Jul 2012"/>
  </r>
  <r>
    <x v="54"/>
    <x v="0"/>
    <d v="2012-07-11T00:00:00"/>
    <n v="6300"/>
    <s v="Jul 2012"/>
  </r>
  <r>
    <x v="54"/>
    <x v="0"/>
    <d v="2012-07-13T00:00:00"/>
    <n v="6300"/>
    <s v="Jul 2012"/>
  </r>
  <r>
    <x v="54"/>
    <x v="0"/>
    <d v="2012-07-16T00:00:00"/>
    <n v="6300"/>
    <s v="Jul 2012"/>
  </r>
  <r>
    <x v="54"/>
    <x v="0"/>
    <d v="2012-07-18T00:00:00"/>
    <n v="6300"/>
    <s v="Jul 2012"/>
  </r>
  <r>
    <x v="54"/>
    <x v="0"/>
    <d v="2012-07-20T00:00:00"/>
    <n v="6300"/>
    <s v="Jul 2012"/>
  </r>
  <r>
    <x v="54"/>
    <x v="0"/>
    <d v="2012-07-23T00:00:00"/>
    <n v="6300"/>
    <s v="Jul 2012"/>
  </r>
  <r>
    <x v="54"/>
    <x v="0"/>
    <d v="2012-07-25T00:00:00"/>
    <n v="6900"/>
    <s v="Jul 2012"/>
  </r>
  <r>
    <x v="54"/>
    <x v="0"/>
    <d v="2012-07-27T00:00:00"/>
    <n v="6900"/>
    <s v="Jul 2012"/>
  </r>
  <r>
    <x v="54"/>
    <x v="0"/>
    <d v="2012-08-01T00:00:00"/>
    <n v="6900"/>
    <s v="Aug 2012"/>
  </r>
  <r>
    <x v="54"/>
    <x v="0"/>
    <d v="2012-08-10T00:00:00"/>
    <n v="6900"/>
    <s v="Aug 2012"/>
  </r>
  <r>
    <x v="54"/>
    <x v="0"/>
    <d v="2012-08-15T00:00:00"/>
    <n v="6900"/>
    <s v="Aug 2012"/>
  </r>
  <r>
    <x v="54"/>
    <x v="0"/>
    <d v="2012-08-20T00:00:00"/>
    <n v="9000"/>
    <s v="Aug 2012"/>
  </r>
  <r>
    <x v="55"/>
    <x v="1"/>
    <d v="2012-09-27T00:00:00"/>
    <n v="2"/>
    <s v="Sep 2012"/>
  </r>
  <r>
    <x v="55"/>
    <x v="1"/>
    <d v="2012-10-11T00:00:00"/>
    <n v="3"/>
    <s v="Oct 2012"/>
  </r>
  <r>
    <x v="55"/>
    <x v="1"/>
    <d v="2012-11-15T00:00:00"/>
    <n v="3"/>
    <s v="Nov 2012"/>
  </r>
  <r>
    <x v="56"/>
    <x v="0"/>
    <d v="2012-07-02T00:00:00"/>
    <n v="18000"/>
    <s v="Jul 2012"/>
  </r>
  <r>
    <x v="56"/>
    <x v="0"/>
    <d v="2012-07-06T00:00:00"/>
    <n v="18000"/>
    <s v="Jul 2012"/>
  </r>
  <r>
    <x v="56"/>
    <x v="0"/>
    <d v="2012-07-09T00:00:00"/>
    <n v="18000"/>
    <s v="Jul 2012"/>
  </r>
  <r>
    <x v="56"/>
    <x v="0"/>
    <d v="2012-07-11T00:00:00"/>
    <n v="18000"/>
    <s v="Jul 2012"/>
  </r>
  <r>
    <x v="56"/>
    <x v="0"/>
    <d v="2012-07-16T00:00:00"/>
    <n v="18000"/>
    <s v="Jul 2012"/>
  </r>
  <r>
    <x v="56"/>
    <x v="0"/>
    <d v="2012-07-18T00:00:00"/>
    <n v="18000"/>
    <s v="Jul 2012"/>
  </r>
  <r>
    <x v="56"/>
    <x v="0"/>
    <d v="2012-07-20T00:00:00"/>
    <n v="18000"/>
    <s v="Jul 2012"/>
  </r>
  <r>
    <x v="56"/>
    <x v="0"/>
    <d v="2012-07-23T00:00:00"/>
    <n v="18000"/>
    <s v="Jul 2012"/>
  </r>
  <r>
    <x v="56"/>
    <x v="0"/>
    <d v="2012-07-25T00:00:00"/>
    <n v="18000"/>
    <s v="Jul 2012"/>
  </r>
  <r>
    <x v="56"/>
    <x v="0"/>
    <d v="2012-07-27T00:00:00"/>
    <n v="18000"/>
    <s v="Jul 2012"/>
  </r>
  <r>
    <x v="56"/>
    <x v="0"/>
    <d v="2012-07-30T00:00:00"/>
    <n v="18000"/>
    <s v="Jul 2012"/>
  </r>
  <r>
    <x v="56"/>
    <x v="0"/>
    <d v="2012-08-01T00:00:00"/>
    <n v="18000"/>
    <s v="Aug 2012"/>
  </r>
  <r>
    <x v="56"/>
    <x v="1"/>
    <d v="2012-09-12T00:00:00"/>
    <n v="16"/>
    <s v="Sep 2012"/>
  </r>
  <r>
    <x v="56"/>
    <x v="1"/>
    <d v="2012-10-10T00:00:00"/>
    <n v="13"/>
    <s v="Oct 2012"/>
  </r>
  <r>
    <x v="56"/>
    <x v="1"/>
    <d v="2012-11-14T00:00:00"/>
    <n v="13"/>
    <s v="Nov 2012"/>
  </r>
  <r>
    <x v="57"/>
    <x v="0"/>
    <d v="2012-12-03T00:00:00"/>
    <n v="800"/>
    <s v="Dec 2012"/>
  </r>
  <r>
    <x v="58"/>
    <x v="0"/>
    <d v="2012-07-02T00:00:00"/>
    <n v="1300"/>
    <s v="Jul 2012"/>
  </r>
  <r>
    <x v="58"/>
    <x v="0"/>
    <d v="2012-07-04T00:00:00"/>
    <n v="1300"/>
    <s v="Jul 2012"/>
  </r>
  <r>
    <x v="58"/>
    <x v="0"/>
    <d v="2012-07-06T00:00:00"/>
    <n v="1300"/>
    <s v="Jul 2012"/>
  </r>
  <r>
    <x v="58"/>
    <x v="0"/>
    <d v="2012-07-09T00:00:00"/>
    <n v="1300"/>
    <s v="Jul 2012"/>
  </r>
  <r>
    <x v="58"/>
    <x v="0"/>
    <d v="2012-07-11T00:00:00"/>
    <n v="1300"/>
    <s v="Jul 2012"/>
  </r>
  <r>
    <x v="58"/>
    <x v="0"/>
    <d v="2012-07-13T00:00:00"/>
    <n v="1300"/>
    <s v="Jul 2012"/>
  </r>
  <r>
    <x v="58"/>
    <x v="0"/>
    <d v="2012-07-16T00:00:00"/>
    <n v="1300"/>
    <s v="Jul 2012"/>
  </r>
  <r>
    <x v="58"/>
    <x v="0"/>
    <d v="2012-07-18T00:00:00"/>
    <n v="1300"/>
    <s v="Jul 2012"/>
  </r>
  <r>
    <x v="58"/>
    <x v="0"/>
    <d v="2012-07-20T00:00:00"/>
    <n v="1300"/>
    <s v="Jul 2012"/>
  </r>
  <r>
    <x v="58"/>
    <x v="0"/>
    <d v="2012-07-23T00:00:00"/>
    <n v="1300"/>
    <s v="Jul 2012"/>
  </r>
  <r>
    <x v="58"/>
    <x v="0"/>
    <d v="2012-07-25T00:00:00"/>
    <n v="1300"/>
    <s v="Jul 2012"/>
  </r>
  <r>
    <x v="58"/>
    <x v="0"/>
    <d v="2012-07-27T00:00:00"/>
    <n v="1300"/>
    <s v="Jul 2012"/>
  </r>
  <r>
    <x v="58"/>
    <x v="0"/>
    <d v="2012-07-30T00:00:00"/>
    <n v="1300"/>
    <s v="Jul 2012"/>
  </r>
  <r>
    <x v="58"/>
    <x v="0"/>
    <d v="2012-08-01T00:00:00"/>
    <n v="1300"/>
    <s v="Aug 2012"/>
  </r>
  <r>
    <x v="59"/>
    <x v="0"/>
    <d v="2012-07-02T00:00:00"/>
    <n v="2500"/>
    <s v="Jul 2012"/>
  </r>
  <r>
    <x v="59"/>
    <x v="0"/>
    <d v="2012-07-04T00:00:00"/>
    <n v="2500"/>
    <s v="Jul 2012"/>
  </r>
  <r>
    <x v="59"/>
    <x v="0"/>
    <d v="2012-07-06T00:00:00"/>
    <n v="2500"/>
    <s v="Jul 2012"/>
  </r>
  <r>
    <x v="59"/>
    <x v="0"/>
    <d v="2012-07-09T00:00:00"/>
    <n v="2500"/>
    <s v="Jul 2012"/>
  </r>
  <r>
    <x v="59"/>
    <x v="0"/>
    <d v="2012-07-11T00:00:00"/>
    <n v="2500"/>
    <s v="Jul 2012"/>
  </r>
  <r>
    <x v="59"/>
    <x v="0"/>
    <d v="2012-07-13T00:00:00"/>
    <n v="2500"/>
    <s v="Jul 2012"/>
  </r>
  <r>
    <x v="59"/>
    <x v="0"/>
    <d v="2012-07-16T00:00:00"/>
    <n v="2500"/>
    <s v="Jul 2012"/>
  </r>
  <r>
    <x v="59"/>
    <x v="0"/>
    <d v="2012-07-17T00:00:00"/>
    <n v="2500"/>
    <s v="Jul 2012"/>
  </r>
  <r>
    <x v="59"/>
    <x v="0"/>
    <d v="2012-07-20T00:00:00"/>
    <n v="2500"/>
    <s v="Jul 2012"/>
  </r>
  <r>
    <x v="59"/>
    <x v="0"/>
    <d v="2012-07-23T00:00:00"/>
    <n v="2500"/>
    <s v="Jul 2012"/>
  </r>
  <r>
    <x v="59"/>
    <x v="0"/>
    <d v="2012-07-25T00:00:00"/>
    <n v="2500"/>
    <s v="Jul 2012"/>
  </r>
  <r>
    <x v="59"/>
    <x v="0"/>
    <d v="2012-07-27T00:00:00"/>
    <n v="2500"/>
    <s v="Jul 2012"/>
  </r>
  <r>
    <x v="59"/>
    <x v="0"/>
    <d v="2012-07-30T00:00:00"/>
    <n v="2500"/>
    <s v="Jul 2012"/>
  </r>
  <r>
    <x v="59"/>
    <x v="0"/>
    <d v="2012-08-01T00:00:00"/>
    <n v="2500"/>
    <s v="Aug 2012"/>
  </r>
  <r>
    <x v="59"/>
    <x v="0"/>
    <d v="2012-08-03T00:00:00"/>
    <n v="2500"/>
    <s v="Aug 2012"/>
  </r>
  <r>
    <x v="59"/>
    <x v="0"/>
    <d v="2012-08-06T00:00:00"/>
    <n v="2500"/>
    <s v="Aug 2012"/>
  </r>
  <r>
    <x v="59"/>
    <x v="0"/>
    <d v="2012-08-08T00:00:00"/>
    <n v="2500"/>
    <s v="Aug 2012"/>
  </r>
  <r>
    <x v="59"/>
    <x v="0"/>
    <d v="2012-08-10T00:00:00"/>
    <n v="2500"/>
    <s v="Aug 2012"/>
  </r>
  <r>
    <x v="59"/>
    <x v="0"/>
    <d v="2012-08-13T00:00:00"/>
    <n v="2500"/>
    <s v="Aug 2012"/>
  </r>
  <r>
    <x v="59"/>
    <x v="0"/>
    <d v="2012-08-15T00:00:00"/>
    <n v="2500"/>
    <s v="Aug 2012"/>
  </r>
  <r>
    <x v="59"/>
    <x v="0"/>
    <d v="2012-08-17T00:00:00"/>
    <n v="2500"/>
    <s v="Aug 2012"/>
  </r>
  <r>
    <x v="59"/>
    <x v="0"/>
    <d v="2012-08-20T00:00:00"/>
    <n v="2500"/>
    <s v="Aug 2012"/>
  </r>
  <r>
    <x v="59"/>
    <x v="0"/>
    <d v="2012-08-22T00:00:00"/>
    <n v="2500"/>
    <s v="Aug 2012"/>
  </r>
  <r>
    <x v="59"/>
    <x v="0"/>
    <d v="2012-08-24T00:00:00"/>
    <n v="2500"/>
    <s v="Aug 2012"/>
  </r>
  <r>
    <x v="59"/>
    <x v="0"/>
    <d v="2012-08-27T00:00:00"/>
    <n v="2500"/>
    <s v="Aug 2012"/>
  </r>
  <r>
    <x v="59"/>
    <x v="0"/>
    <d v="2012-08-29T00:00:00"/>
    <n v="2500"/>
    <s v="Aug 2012"/>
  </r>
  <r>
    <x v="59"/>
    <x v="0"/>
    <d v="2012-08-31T00:00:00"/>
    <n v="2500"/>
    <s v="Aug 2012"/>
  </r>
  <r>
    <x v="59"/>
    <x v="0"/>
    <d v="2012-09-03T00:00:00"/>
    <n v="2500"/>
    <s v="Sep 2012"/>
  </r>
  <r>
    <x v="59"/>
    <x v="0"/>
    <d v="2012-09-05T00:00:00"/>
    <n v="2500"/>
    <s v="Sep 2012"/>
  </r>
  <r>
    <x v="59"/>
    <x v="1"/>
    <d v="2012-09-13T00:00:00"/>
    <n v="5"/>
    <s v="Sep 2012"/>
  </r>
  <r>
    <x v="59"/>
    <x v="1"/>
    <d v="2012-10-10T00:00:00"/>
    <n v="5"/>
    <s v="Oct 2012"/>
  </r>
  <r>
    <x v="59"/>
    <x v="1"/>
    <d v="2012-11-14T00:00:00"/>
    <n v="6"/>
    <s v="Nov 2012"/>
  </r>
  <r>
    <x v="60"/>
    <x v="0"/>
    <d v="2012-07-03T00:00:00"/>
    <n v="1000"/>
    <s v="Jul 2012"/>
  </r>
  <r>
    <x v="60"/>
    <x v="0"/>
    <d v="2012-07-05T00:00:00"/>
    <n v="1000"/>
    <s v="Jul 2012"/>
  </r>
  <r>
    <x v="60"/>
    <x v="0"/>
    <d v="2012-08-04T00:00:00"/>
    <n v="800"/>
    <s v="Aug 2012"/>
  </r>
  <r>
    <x v="60"/>
    <x v="0"/>
    <d v="2012-08-09T00:00:00"/>
    <n v="800"/>
    <s v="Aug 2012"/>
  </r>
  <r>
    <x v="60"/>
    <x v="0"/>
    <d v="2012-08-14T00:00:00"/>
    <n v="800"/>
    <s v="Aug 2012"/>
  </r>
  <r>
    <x v="60"/>
    <x v="0"/>
    <d v="2012-08-16T00:00:00"/>
    <n v="800"/>
    <s v="Aug 2012"/>
  </r>
  <r>
    <x v="60"/>
    <x v="0"/>
    <d v="2012-08-18T00:00:00"/>
    <n v="800"/>
    <s v="Aug 2012"/>
  </r>
  <r>
    <x v="60"/>
    <x v="0"/>
    <d v="2012-08-23T00:00:00"/>
    <n v="800"/>
    <s v="Aug 2012"/>
  </r>
  <r>
    <x v="60"/>
    <x v="0"/>
    <d v="2012-08-25T00:00:00"/>
    <n v="800"/>
    <s v="Aug 2012"/>
  </r>
  <r>
    <x v="60"/>
    <x v="0"/>
    <d v="2012-08-28T00:00:00"/>
    <n v="800"/>
    <s v="Aug 2012"/>
  </r>
  <r>
    <x v="61"/>
    <x v="0"/>
    <d v="2012-09-03T00:00:00"/>
    <n v="1400"/>
    <s v="Sep 2012"/>
  </r>
  <r>
    <x v="62"/>
    <x v="0"/>
    <d v="2012-07-02T00:00:00"/>
    <n v="4000"/>
    <s v="Jul 2012"/>
  </r>
  <r>
    <x v="62"/>
    <x v="0"/>
    <d v="2012-07-04T00:00:00"/>
    <n v="4000"/>
    <s v="Jul 2012"/>
  </r>
  <r>
    <x v="62"/>
    <x v="0"/>
    <d v="2012-07-06T00:00:00"/>
    <n v="4000"/>
    <s v="Jul 2012"/>
  </r>
  <r>
    <x v="62"/>
    <x v="0"/>
    <d v="2012-07-09T00:00:00"/>
    <n v="4000"/>
    <s v="Jul 2012"/>
  </r>
  <r>
    <x v="62"/>
    <x v="0"/>
    <d v="2012-07-11T00:00:00"/>
    <n v="4000"/>
    <s v="Jul 2012"/>
  </r>
  <r>
    <x v="62"/>
    <x v="0"/>
    <d v="2012-07-13T00:00:00"/>
    <n v="4000"/>
    <s v="Jul 2012"/>
  </r>
  <r>
    <x v="62"/>
    <x v="0"/>
    <d v="2012-07-16T00:00:00"/>
    <n v="4000"/>
    <s v="Jul 2012"/>
  </r>
  <r>
    <x v="62"/>
    <x v="0"/>
    <d v="2012-07-18T00:00:00"/>
    <n v="4000"/>
    <s v="Jul 2012"/>
  </r>
  <r>
    <x v="62"/>
    <x v="0"/>
    <d v="2012-07-20T00:00:00"/>
    <n v="4000"/>
    <s v="Jul 2012"/>
  </r>
  <r>
    <x v="62"/>
    <x v="0"/>
    <d v="2012-07-23T00:00:00"/>
    <n v="4000"/>
    <s v="Jul 2012"/>
  </r>
  <r>
    <x v="62"/>
    <x v="0"/>
    <d v="2012-07-25T00:00:00"/>
    <n v="4000"/>
    <s v="Jul 2012"/>
  </r>
  <r>
    <x v="62"/>
    <x v="0"/>
    <d v="2012-07-27T00:00:00"/>
    <n v="4000"/>
    <s v="Jul 2012"/>
  </r>
  <r>
    <x v="62"/>
    <x v="0"/>
    <d v="2012-07-30T00:00:00"/>
    <n v="4000"/>
    <s v="Jul 2012"/>
  </r>
  <r>
    <x v="62"/>
    <x v="0"/>
    <d v="2012-08-01T00:00:00"/>
    <n v="4000"/>
    <s v="Aug 2012"/>
  </r>
  <r>
    <x v="62"/>
    <x v="0"/>
    <d v="2012-08-03T00:00:00"/>
    <n v="4000"/>
    <s v="Aug 2012"/>
  </r>
  <r>
    <x v="62"/>
    <x v="0"/>
    <d v="2012-08-06T00:00:00"/>
    <n v="4000"/>
    <s v="Aug 2012"/>
  </r>
  <r>
    <x v="62"/>
    <x v="0"/>
    <d v="2012-08-08T00:00:00"/>
    <n v="4000"/>
    <s v="Aug 2012"/>
  </r>
  <r>
    <x v="62"/>
    <x v="0"/>
    <d v="2012-08-10T00:00:00"/>
    <n v="4000"/>
    <s v="Aug 2012"/>
  </r>
  <r>
    <x v="62"/>
    <x v="0"/>
    <d v="2012-08-13T00:00:00"/>
    <n v="4000"/>
    <s v="Aug 2012"/>
  </r>
  <r>
    <x v="62"/>
    <x v="0"/>
    <d v="2012-08-15T00:00:00"/>
    <n v="4000"/>
    <s v="Aug 2012"/>
  </r>
  <r>
    <x v="62"/>
    <x v="0"/>
    <d v="2012-08-17T00:00:00"/>
    <n v="4000"/>
    <s v="Aug 2012"/>
  </r>
  <r>
    <x v="62"/>
    <x v="1"/>
    <d v="2012-09-12T00:00:00"/>
    <n v="6"/>
    <s v="Sep 2012"/>
  </r>
  <r>
    <x v="62"/>
    <x v="1"/>
    <d v="2012-10-10T00:00:00"/>
    <n v="5"/>
    <s v="Oct 2012"/>
  </r>
  <r>
    <x v="63"/>
    <x v="0"/>
    <d v="2012-08-06T00:00:00"/>
    <n v="5700"/>
    <s v="Aug 2012"/>
  </r>
  <r>
    <x v="63"/>
    <x v="0"/>
    <d v="2012-08-08T00:00:00"/>
    <n v="5700"/>
    <s v="Aug 2012"/>
  </r>
  <r>
    <x v="63"/>
    <x v="0"/>
    <d v="2012-08-10T00:00:00"/>
    <n v="5700"/>
    <s v="Aug 2012"/>
  </r>
  <r>
    <x v="63"/>
    <x v="0"/>
    <d v="2012-08-13T00:00:00"/>
    <n v="5700"/>
    <s v="Aug 2012"/>
  </r>
  <r>
    <x v="63"/>
    <x v="0"/>
    <d v="2012-08-15T00:00:00"/>
    <n v="5700"/>
    <s v="Aug 2012"/>
  </r>
  <r>
    <x v="63"/>
    <x v="0"/>
    <d v="2012-08-17T00:00:00"/>
    <n v="5700"/>
    <s v="Aug 2012"/>
  </r>
  <r>
    <x v="63"/>
    <x v="0"/>
    <d v="2012-08-20T00:00:00"/>
    <n v="5700"/>
    <s v="Aug 2012"/>
  </r>
  <r>
    <x v="63"/>
    <x v="0"/>
    <d v="2012-08-22T00:00:00"/>
    <n v="5700"/>
    <s v="Aug 2012"/>
  </r>
  <r>
    <x v="63"/>
    <x v="0"/>
    <d v="2012-08-24T00:00:00"/>
    <n v="5700"/>
    <s v="Aug 2012"/>
  </r>
  <r>
    <x v="63"/>
    <x v="0"/>
    <d v="2012-08-28T00:00:00"/>
    <n v="5700"/>
    <s v="Aug 2012"/>
  </r>
  <r>
    <x v="63"/>
    <x v="0"/>
    <d v="2012-08-29T00:00:00"/>
    <n v="5700"/>
    <s v="Aug 2012"/>
  </r>
  <r>
    <x v="63"/>
    <x v="0"/>
    <d v="2012-08-31T00:00:00"/>
    <n v="5700"/>
    <s v="Aug 2012"/>
  </r>
  <r>
    <x v="63"/>
    <x v="0"/>
    <d v="2012-09-04T00:00:00"/>
    <n v="5700"/>
    <s v="Sep 2012"/>
  </r>
  <r>
    <x v="63"/>
    <x v="0"/>
    <d v="2012-09-05T00:00:00"/>
    <n v="5700"/>
    <s v="Sep 2012"/>
  </r>
  <r>
    <x v="64"/>
    <x v="0"/>
    <d v="2012-07-03T00:00:00"/>
    <n v="14500"/>
    <s v="Jul 2012"/>
  </r>
  <r>
    <x v="64"/>
    <x v="0"/>
    <d v="2012-07-05T00:00:00"/>
    <n v="14500"/>
    <s v="Jul 2012"/>
  </r>
  <r>
    <x v="64"/>
    <x v="0"/>
    <d v="2012-07-07T00:00:00"/>
    <n v="16000"/>
    <s v="Jul 2012"/>
  </r>
  <r>
    <x v="64"/>
    <x v="0"/>
    <d v="2012-07-10T00:00:00"/>
    <n v="16000"/>
    <s v="Jul 2012"/>
  </r>
  <r>
    <x v="64"/>
    <x v="0"/>
    <d v="2012-07-12T00:00:00"/>
    <n v="16000"/>
    <s v="Jul 2012"/>
  </r>
  <r>
    <x v="64"/>
    <x v="0"/>
    <d v="2012-07-14T00:00:00"/>
    <n v="16000"/>
    <s v="Jul 2012"/>
  </r>
  <r>
    <x v="64"/>
    <x v="0"/>
    <d v="2012-07-17T00:00:00"/>
    <n v="16000"/>
    <s v="Jul 2012"/>
  </r>
  <r>
    <x v="64"/>
    <x v="0"/>
    <d v="2012-07-19T00:00:00"/>
    <n v="16000"/>
    <s v="Jul 2012"/>
  </r>
  <r>
    <x v="64"/>
    <x v="0"/>
    <d v="2012-07-21T00:00:00"/>
    <n v="19200"/>
    <s v="Jul 2012"/>
  </r>
  <r>
    <x v="64"/>
    <x v="0"/>
    <d v="2012-07-24T00:00:00"/>
    <n v="19200"/>
    <s v="Jul 2012"/>
  </r>
  <r>
    <x v="64"/>
    <x v="0"/>
    <d v="2012-07-26T00:00:00"/>
    <n v="19200"/>
    <s v="Jul 2012"/>
  </r>
  <r>
    <x v="64"/>
    <x v="0"/>
    <d v="2012-07-28T00:00:00"/>
    <n v="19200"/>
    <s v="Jul 2012"/>
  </r>
  <r>
    <x v="64"/>
    <x v="0"/>
    <d v="2012-07-31T00:00:00"/>
    <n v="19200"/>
    <s v="Jul 2012"/>
  </r>
  <r>
    <x v="64"/>
    <x v="0"/>
    <d v="2012-08-02T00:00:00"/>
    <n v="19200"/>
    <s v="Aug 2012"/>
  </r>
  <r>
    <x v="64"/>
    <x v="0"/>
    <d v="2012-08-04T00:00:00"/>
    <n v="20000"/>
    <s v="Aug 2012"/>
  </r>
  <r>
    <x v="64"/>
    <x v="0"/>
    <d v="2012-08-07T00:00:00"/>
    <n v="20000"/>
    <s v="Aug 2012"/>
  </r>
  <r>
    <x v="64"/>
    <x v="0"/>
    <d v="2012-08-09T00:00:00"/>
    <n v="20000"/>
    <s v="Aug 2012"/>
  </r>
  <r>
    <x v="64"/>
    <x v="0"/>
    <d v="2012-08-11T00:00:00"/>
    <n v="20000"/>
    <s v="Aug 2012"/>
  </r>
  <r>
    <x v="64"/>
    <x v="0"/>
    <d v="2012-08-14T00:00:00"/>
    <n v="20000"/>
    <s v="Aug 2012"/>
  </r>
  <r>
    <x v="64"/>
    <x v="0"/>
    <d v="2012-08-16T00:00:00"/>
    <n v="20000"/>
    <s v="Aug 2012"/>
  </r>
  <r>
    <x v="64"/>
    <x v="0"/>
    <d v="2012-08-18T00:00:00"/>
    <n v="20000"/>
    <s v="Aug 2012"/>
  </r>
  <r>
    <x v="64"/>
    <x v="0"/>
    <d v="2012-08-21T00:00:00"/>
    <n v="20000"/>
    <s v="Aug 2012"/>
  </r>
  <r>
    <x v="64"/>
    <x v="0"/>
    <d v="2012-08-23T00:00:00"/>
    <n v="20000"/>
    <s v="Aug 2012"/>
  </r>
  <r>
    <x v="64"/>
    <x v="0"/>
    <d v="2012-08-25T00:00:00"/>
    <n v="20000"/>
    <s v="Aug 2012"/>
  </r>
  <r>
    <x v="64"/>
    <x v="0"/>
    <d v="2012-08-28T00:00:00"/>
    <n v="20000"/>
    <s v="Aug 2012"/>
  </r>
  <r>
    <x v="64"/>
    <x v="0"/>
    <d v="2012-08-30T00:00:00"/>
    <n v="20000"/>
    <s v="Aug 2012"/>
  </r>
  <r>
    <x v="64"/>
    <x v="0"/>
    <d v="2012-09-01T00:00:00"/>
    <n v="20000"/>
    <s v="Sep 2012"/>
  </r>
  <r>
    <x v="64"/>
    <x v="0"/>
    <d v="2012-09-04T00:00:00"/>
    <n v="20000"/>
    <s v="Sep 2012"/>
  </r>
  <r>
    <x v="64"/>
    <x v="0"/>
    <d v="2012-09-06T00:00:00"/>
    <n v="20000"/>
    <s v="Sep 2012"/>
  </r>
  <r>
    <x v="64"/>
    <x v="1"/>
    <d v="2012-09-13T00:00:00"/>
    <n v="16"/>
    <s v="Sep 2012"/>
  </r>
  <r>
    <x v="64"/>
    <x v="1"/>
    <d v="2012-10-11T00:00:00"/>
    <n v="16"/>
    <s v="Oct 2012"/>
  </r>
  <r>
    <x v="65"/>
    <x v="0"/>
    <d v="2012-07-02T00:00:00"/>
    <n v="3000"/>
    <s v="Jul 2012"/>
  </r>
  <r>
    <x v="65"/>
    <x v="0"/>
    <d v="2012-07-04T00:00:00"/>
    <n v="3000"/>
    <s v="Jul 2012"/>
  </r>
  <r>
    <x v="65"/>
    <x v="0"/>
    <d v="2012-07-06T00:00:00"/>
    <n v="3000"/>
    <s v="Jul 2012"/>
  </r>
  <r>
    <x v="65"/>
    <x v="0"/>
    <d v="2012-07-09T00:00:00"/>
    <n v="3000"/>
    <s v="Jul 2012"/>
  </r>
  <r>
    <x v="65"/>
    <x v="0"/>
    <d v="2012-07-11T00:00:00"/>
    <n v="3000"/>
    <s v="Jul 2012"/>
  </r>
  <r>
    <x v="65"/>
    <x v="0"/>
    <d v="2012-07-13T00:00:00"/>
    <n v="3000"/>
    <s v="Jul 2012"/>
  </r>
  <r>
    <x v="65"/>
    <x v="0"/>
    <d v="2012-07-16T00:00:00"/>
    <n v="3000"/>
    <s v="Jul 2012"/>
  </r>
  <r>
    <x v="65"/>
    <x v="0"/>
    <d v="2012-07-18T00:00:00"/>
    <n v="3000"/>
    <s v="Jul 2012"/>
  </r>
  <r>
    <x v="65"/>
    <x v="0"/>
    <d v="2012-07-20T00:00:00"/>
    <n v="2700"/>
    <s v="Jul 2012"/>
  </r>
  <r>
    <x v="65"/>
    <x v="0"/>
    <d v="2012-07-23T00:00:00"/>
    <n v="2700"/>
    <s v="Jul 2012"/>
  </r>
  <r>
    <x v="65"/>
    <x v="0"/>
    <d v="2012-07-25T00:00:00"/>
    <n v="2700"/>
    <s v="Jul 2012"/>
  </r>
  <r>
    <x v="65"/>
    <x v="0"/>
    <d v="2012-07-27T00:00:00"/>
    <n v="2700"/>
    <s v="Jul 2012"/>
  </r>
  <r>
    <x v="65"/>
    <x v="0"/>
    <d v="2012-07-30T00:00:00"/>
    <n v="2700"/>
    <s v="Jul 2012"/>
  </r>
  <r>
    <x v="65"/>
    <x v="0"/>
    <d v="2012-08-01T00:00:00"/>
    <n v="2700"/>
    <s v="Aug 2012"/>
  </r>
  <r>
    <x v="65"/>
    <x v="0"/>
    <d v="2012-08-03T00:00:00"/>
    <n v="2700"/>
    <s v="Aug 2012"/>
  </r>
  <r>
    <x v="65"/>
    <x v="0"/>
    <d v="2012-08-06T00:00:00"/>
    <n v="2700"/>
    <s v="Aug 2012"/>
  </r>
  <r>
    <x v="65"/>
    <x v="0"/>
    <d v="2012-08-08T00:00:00"/>
    <n v="2700"/>
    <s v="Aug 2012"/>
  </r>
  <r>
    <x v="65"/>
    <x v="0"/>
    <d v="2012-08-10T00:00:00"/>
    <n v="2700"/>
    <s v="Aug 2012"/>
  </r>
  <r>
    <x v="65"/>
    <x v="0"/>
    <d v="2012-08-13T00:00:00"/>
    <n v="2700"/>
    <s v="Aug 2012"/>
  </r>
  <r>
    <x v="65"/>
    <x v="0"/>
    <d v="2012-08-15T00:00:00"/>
    <n v="2700"/>
    <s v="Aug 2012"/>
  </r>
  <r>
    <x v="65"/>
    <x v="0"/>
    <d v="2012-08-17T00:00:00"/>
    <n v="2700"/>
    <s v="Aug 2012"/>
  </r>
  <r>
    <x v="65"/>
    <x v="0"/>
    <d v="2012-08-20T00:00:00"/>
    <n v="2700"/>
    <s v="Aug 2012"/>
  </r>
  <r>
    <x v="65"/>
    <x v="0"/>
    <d v="2012-08-22T00:00:00"/>
    <n v="2700"/>
    <s v="Aug 2012"/>
  </r>
  <r>
    <x v="65"/>
    <x v="0"/>
    <d v="2012-08-24T00:00:00"/>
    <n v="2700"/>
    <s v="Aug 2012"/>
  </r>
  <r>
    <x v="65"/>
    <x v="0"/>
    <d v="2012-08-27T00:00:00"/>
    <n v="2700"/>
    <s v="Aug 2012"/>
  </r>
  <r>
    <x v="65"/>
    <x v="0"/>
    <d v="2012-08-29T00:00:00"/>
    <n v="2700"/>
    <s v="Aug 2012"/>
  </r>
  <r>
    <x v="65"/>
    <x v="0"/>
    <d v="2012-08-31T00:00:00"/>
    <n v="2700"/>
    <s v="Aug 2012"/>
  </r>
  <r>
    <x v="65"/>
    <x v="0"/>
    <d v="2012-09-03T00:00:00"/>
    <n v="2700"/>
    <s v="Sep 2012"/>
  </r>
  <r>
    <x v="65"/>
    <x v="0"/>
    <d v="2012-09-05T00:00:00"/>
    <n v="2700"/>
    <s v="Sep 2012"/>
  </r>
  <r>
    <x v="65"/>
    <x v="1"/>
    <d v="2012-10-26T00:00:00"/>
    <n v="6"/>
    <s v="Oct 2012"/>
  </r>
  <r>
    <x v="65"/>
    <x v="1"/>
    <d v="2012-10-31T00:00:00"/>
    <n v="2"/>
    <s v="Oct 2012"/>
  </r>
  <r>
    <x v="65"/>
    <x v="1"/>
    <d v="2012-11-14T00:00:00"/>
    <n v="1"/>
    <s v="Nov 2012"/>
  </r>
  <r>
    <x v="66"/>
    <x v="0"/>
    <d v="2012-07-03T00:00:00"/>
    <n v="10000"/>
    <s v="Jul 2012"/>
  </r>
  <r>
    <x v="66"/>
    <x v="0"/>
    <d v="2012-07-05T00:00:00"/>
    <n v="10000"/>
    <s v="Jul 2012"/>
  </r>
  <r>
    <x v="66"/>
    <x v="0"/>
    <d v="2012-07-07T00:00:00"/>
    <n v="10000"/>
    <s v="Jul 2012"/>
  </r>
  <r>
    <x v="66"/>
    <x v="0"/>
    <d v="2012-07-10T00:00:00"/>
    <n v="10000"/>
    <s v="Jul 2012"/>
  </r>
  <r>
    <x v="66"/>
    <x v="0"/>
    <d v="2012-07-14T00:00:00"/>
    <n v="10000"/>
    <s v="Jul 2012"/>
  </r>
  <r>
    <x v="66"/>
    <x v="0"/>
    <d v="2012-07-17T00:00:00"/>
    <n v="10000"/>
    <s v="Jul 2012"/>
  </r>
  <r>
    <x v="66"/>
    <x v="0"/>
    <d v="2012-07-19T00:00:00"/>
    <n v="10000"/>
    <s v="Jul 2012"/>
  </r>
  <r>
    <x v="66"/>
    <x v="0"/>
    <d v="2012-07-21T00:00:00"/>
    <n v="8000"/>
    <s v="Jul 2012"/>
  </r>
  <r>
    <x v="66"/>
    <x v="0"/>
    <d v="2012-07-24T00:00:00"/>
    <n v="8000"/>
    <s v="Jul 2012"/>
  </r>
  <r>
    <x v="66"/>
    <x v="0"/>
    <d v="2012-07-26T00:00:00"/>
    <n v="8000"/>
    <s v="Jul 2012"/>
  </r>
  <r>
    <x v="66"/>
    <x v="0"/>
    <d v="2012-07-28T00:00:00"/>
    <n v="8000"/>
    <s v="Jul 2012"/>
  </r>
  <r>
    <x v="66"/>
    <x v="0"/>
    <d v="2012-07-31T00:00:00"/>
    <n v="8000"/>
    <s v="Jul 2012"/>
  </r>
  <r>
    <x v="66"/>
    <x v="0"/>
    <d v="2012-08-02T00:00:00"/>
    <n v="8000"/>
    <s v="Aug 2012"/>
  </r>
  <r>
    <x v="66"/>
    <x v="0"/>
    <d v="2012-08-04T00:00:00"/>
    <n v="8000"/>
    <s v="Aug 2012"/>
  </r>
  <r>
    <x v="66"/>
    <x v="0"/>
    <d v="2012-08-07T00:00:00"/>
    <n v="8000"/>
    <s v="Aug 2012"/>
  </r>
  <r>
    <x v="66"/>
    <x v="0"/>
    <d v="2012-08-09T00:00:00"/>
    <n v="8000"/>
    <s v="Aug 2012"/>
  </r>
  <r>
    <x v="66"/>
    <x v="0"/>
    <d v="2012-08-11T00:00:00"/>
    <n v="8000"/>
    <s v="Aug 2012"/>
  </r>
  <r>
    <x v="66"/>
    <x v="0"/>
    <d v="2012-08-14T00:00:00"/>
    <n v="8000"/>
    <s v="Aug 2012"/>
  </r>
  <r>
    <x v="66"/>
    <x v="0"/>
    <d v="2012-08-16T00:00:00"/>
    <n v="8000"/>
    <s v="Aug 2012"/>
  </r>
  <r>
    <x v="66"/>
    <x v="1"/>
    <d v="2012-10-11T00:00:00"/>
    <n v="1"/>
    <s v="Oct 2012"/>
  </r>
  <r>
    <x v="66"/>
    <x v="1"/>
    <d v="2012-11-15T00:00:00"/>
    <n v="2"/>
    <s v="Nov 2012"/>
  </r>
  <r>
    <x v="67"/>
    <x v="1"/>
    <d v="2012-11-29T00:00:00"/>
    <n v="4"/>
    <s v="Nov 2012"/>
  </r>
  <r>
    <x v="68"/>
    <x v="0"/>
    <d v="2012-07-03T00:00:00"/>
    <n v="1400"/>
    <s v="Jul 2012"/>
  </r>
  <r>
    <x v="68"/>
    <x v="0"/>
    <d v="2012-07-05T00:00:00"/>
    <n v="1400"/>
    <s v="Jul 2012"/>
  </r>
  <r>
    <x v="68"/>
    <x v="0"/>
    <d v="2012-07-07T00:00:00"/>
    <n v="1400"/>
    <s v="Jul 2012"/>
  </r>
  <r>
    <x v="68"/>
    <x v="0"/>
    <d v="2012-07-10T00:00:00"/>
    <n v="1400"/>
    <s v="Jul 2012"/>
  </r>
  <r>
    <x v="68"/>
    <x v="0"/>
    <d v="2012-07-12T00:00:00"/>
    <n v="1400"/>
    <s v="Jul 2012"/>
  </r>
  <r>
    <x v="68"/>
    <x v="0"/>
    <d v="2012-07-14T00:00:00"/>
    <n v="1400"/>
    <s v="Jul 2012"/>
  </r>
  <r>
    <x v="68"/>
    <x v="0"/>
    <d v="2012-07-17T00:00:00"/>
    <n v="1400"/>
    <s v="Jul 2012"/>
  </r>
  <r>
    <x v="68"/>
    <x v="0"/>
    <d v="2012-07-19T00:00:00"/>
    <n v="1400"/>
    <s v="Jul 2012"/>
  </r>
  <r>
    <x v="68"/>
    <x v="0"/>
    <d v="2012-07-21T00:00:00"/>
    <n v="1600"/>
    <s v="Jul 2012"/>
  </r>
  <r>
    <x v="68"/>
    <x v="0"/>
    <d v="2012-07-24T00:00:00"/>
    <n v="1600"/>
    <s v="Jul 2012"/>
  </r>
  <r>
    <x v="68"/>
    <x v="0"/>
    <d v="2012-07-26T00:00:00"/>
    <n v="1600"/>
    <s v="Jul 2012"/>
  </r>
  <r>
    <x v="68"/>
    <x v="0"/>
    <d v="2012-07-28T00:00:00"/>
    <n v="1600"/>
    <s v="Jul 2012"/>
  </r>
  <r>
    <x v="68"/>
    <x v="0"/>
    <d v="2012-07-31T00:00:00"/>
    <n v="1600"/>
    <s v="Jul 2012"/>
  </r>
  <r>
    <x v="68"/>
    <x v="0"/>
    <d v="2012-08-02T00:00:00"/>
    <n v="1600"/>
    <s v="Aug 2012"/>
  </r>
  <r>
    <x v="68"/>
    <x v="0"/>
    <d v="2012-08-04T00:00:00"/>
    <n v="2000"/>
    <s v="Aug 2012"/>
  </r>
  <r>
    <x v="68"/>
    <x v="0"/>
    <d v="2012-08-07T00:00:00"/>
    <n v="2000"/>
    <s v="Aug 2012"/>
  </r>
  <r>
    <x v="68"/>
    <x v="0"/>
    <d v="2012-08-09T00:00:00"/>
    <n v="2000"/>
    <s v="Aug 2012"/>
  </r>
  <r>
    <x v="68"/>
    <x v="0"/>
    <d v="2012-08-11T00:00:00"/>
    <n v="2000"/>
    <s v="Aug 2012"/>
  </r>
  <r>
    <x v="68"/>
    <x v="0"/>
    <d v="2012-08-14T00:00:00"/>
    <n v="2000"/>
    <s v="Aug 2012"/>
  </r>
  <r>
    <x v="68"/>
    <x v="0"/>
    <d v="2012-08-16T00:00:00"/>
    <n v="2000"/>
    <s v="Aug 2012"/>
  </r>
  <r>
    <x v="68"/>
    <x v="0"/>
    <d v="2012-08-18T00:00:00"/>
    <n v="2400"/>
    <s v="Aug 2012"/>
  </r>
  <r>
    <x v="68"/>
    <x v="0"/>
    <d v="2012-08-21T00:00:00"/>
    <n v="2400"/>
    <s v="Aug 2012"/>
  </r>
  <r>
    <x v="68"/>
    <x v="0"/>
    <d v="2012-08-23T00:00:00"/>
    <n v="2400"/>
    <s v="Aug 2012"/>
  </r>
  <r>
    <x v="68"/>
    <x v="0"/>
    <d v="2012-08-25T00:00:00"/>
    <n v="2400"/>
    <s v="Aug 2012"/>
  </r>
  <r>
    <x v="68"/>
    <x v="0"/>
    <d v="2012-08-28T00:00:00"/>
    <n v="2400"/>
    <s v="Aug 2012"/>
  </r>
  <r>
    <x v="68"/>
    <x v="0"/>
    <d v="2012-08-30T00:00:00"/>
    <n v="2400"/>
    <s v="Aug 2012"/>
  </r>
  <r>
    <x v="68"/>
    <x v="0"/>
    <d v="2012-09-01T00:00:00"/>
    <n v="2400"/>
    <s v="Sep 2012"/>
  </r>
  <r>
    <x v="68"/>
    <x v="0"/>
    <d v="2012-09-04T00:00:00"/>
    <n v="2400"/>
    <s v="Sep 2012"/>
  </r>
  <r>
    <x v="68"/>
    <x v="0"/>
    <d v="2012-09-06T00:00:00"/>
    <n v="2400"/>
    <s v="Sep 2012"/>
  </r>
  <r>
    <x v="68"/>
    <x v="1"/>
    <d v="2012-09-13T00:00:00"/>
    <n v="5"/>
    <s v="Sep 2012"/>
  </r>
  <r>
    <x v="68"/>
    <x v="1"/>
    <d v="2012-10-11T00:00:00"/>
    <n v="5"/>
    <s v="Oct 2012"/>
  </r>
  <r>
    <x v="68"/>
    <x v="1"/>
    <d v="2012-11-15T00:00:00"/>
    <n v="5"/>
    <s v="Nov 2012"/>
  </r>
  <r>
    <x v="69"/>
    <x v="0"/>
    <d v="2012-07-02T00:00:00"/>
    <n v="9500"/>
    <s v="Jul 2012"/>
  </r>
  <r>
    <x v="69"/>
    <x v="0"/>
    <d v="2012-07-04T00:00:00"/>
    <n v="9500"/>
    <s v="Jul 2012"/>
  </r>
  <r>
    <x v="69"/>
    <x v="0"/>
    <d v="2012-07-06T00:00:00"/>
    <n v="9500"/>
    <s v="Jul 2012"/>
  </r>
  <r>
    <x v="69"/>
    <x v="0"/>
    <d v="2012-07-09T00:00:00"/>
    <n v="9500"/>
    <s v="Jul 2012"/>
  </r>
  <r>
    <x v="69"/>
    <x v="0"/>
    <d v="2012-07-11T00:00:00"/>
    <n v="9500"/>
    <s v="Jul 2012"/>
  </r>
  <r>
    <x v="69"/>
    <x v="0"/>
    <d v="2012-07-13T00:00:00"/>
    <n v="9500"/>
    <s v="Jul 2012"/>
  </r>
  <r>
    <x v="69"/>
    <x v="0"/>
    <d v="2012-07-27T00:00:00"/>
    <n v="9500"/>
    <s v="Jul 2012"/>
  </r>
  <r>
    <x v="69"/>
    <x v="0"/>
    <d v="2012-07-30T00:00:00"/>
    <n v="9500"/>
    <s v="Jul 2012"/>
  </r>
  <r>
    <x v="69"/>
    <x v="0"/>
    <d v="2012-08-01T00:00:00"/>
    <n v="9500"/>
    <s v="Aug 2012"/>
  </r>
  <r>
    <x v="69"/>
    <x v="0"/>
    <d v="2012-08-03T00:00:00"/>
    <n v="9500"/>
    <s v="Aug 2012"/>
  </r>
  <r>
    <x v="70"/>
    <x v="0"/>
    <d v="2012-07-02T00:00:00"/>
    <n v="4100"/>
    <s v="Jul 2012"/>
  </r>
  <r>
    <x v="70"/>
    <x v="0"/>
    <d v="2012-07-04T00:00:00"/>
    <n v="4100"/>
    <s v="Jul 2012"/>
  </r>
  <r>
    <x v="71"/>
    <x v="1"/>
    <d v="2012-11-15T00:00:00"/>
    <n v="2"/>
    <s v="Nov 2012"/>
  </r>
  <r>
    <x v="72"/>
    <x v="0"/>
    <d v="2012-08-31T00:00:00"/>
    <n v="10000"/>
    <s v="Aug 2012"/>
  </r>
  <r>
    <x v="72"/>
    <x v="0"/>
    <d v="2012-09-03T00:00:00"/>
    <n v="10000"/>
    <s v="Sep 2012"/>
  </r>
  <r>
    <x v="72"/>
    <x v="0"/>
    <d v="2012-09-05T00:00:00"/>
    <n v="10000"/>
    <s v="Sep 2012"/>
  </r>
  <r>
    <x v="72"/>
    <x v="1"/>
    <d v="2012-09-14T00:00:00"/>
    <n v="13"/>
    <s v="Sep 2012"/>
  </r>
  <r>
    <x v="72"/>
    <x v="1"/>
    <d v="2012-10-10T00:00:00"/>
    <n v="13"/>
    <s v="Oct 2012"/>
  </r>
  <r>
    <x v="72"/>
    <x v="1"/>
    <d v="2012-11-14T00:00:00"/>
    <n v="10"/>
    <s v="Nov 2012"/>
  </r>
  <r>
    <x v="73"/>
    <x v="0"/>
    <d v="2012-07-02T00:00:00"/>
    <n v="200"/>
    <s v="Jul 2012"/>
  </r>
  <r>
    <x v="73"/>
    <x v="0"/>
    <d v="2012-07-09T00:00:00"/>
    <n v="200"/>
    <s v="Jul 2012"/>
  </r>
  <r>
    <x v="73"/>
    <x v="0"/>
    <d v="2012-07-20T00:00:00"/>
    <n v="200"/>
    <s v="Jul 2012"/>
  </r>
  <r>
    <x v="73"/>
    <x v="0"/>
    <d v="2012-07-23T00:00:00"/>
    <n v="200"/>
    <s v="Jul 2012"/>
  </r>
  <r>
    <x v="73"/>
    <x v="0"/>
    <d v="2012-07-25T00:00:00"/>
    <n v="200"/>
    <s v="Jul 2012"/>
  </r>
  <r>
    <x v="73"/>
    <x v="0"/>
    <d v="2012-07-27T00:00:00"/>
    <n v="3000"/>
    <s v="Jul 2012"/>
  </r>
  <r>
    <x v="73"/>
    <x v="0"/>
    <d v="2012-07-30T00:00:00"/>
    <n v="3000"/>
    <s v="Jul 2012"/>
  </r>
  <r>
    <x v="73"/>
    <x v="0"/>
    <d v="2012-08-01T00:00:00"/>
    <n v="3000"/>
    <s v="Aug 2012"/>
  </r>
  <r>
    <x v="73"/>
    <x v="0"/>
    <d v="2012-08-03T00:00:00"/>
    <n v="3000"/>
    <s v="Aug 2012"/>
  </r>
  <r>
    <x v="73"/>
    <x v="0"/>
    <d v="2012-08-06T00:00:00"/>
    <n v="3000"/>
    <s v="Aug 2012"/>
  </r>
  <r>
    <x v="73"/>
    <x v="0"/>
    <d v="2012-08-08T00:00:00"/>
    <n v="3000"/>
    <s v="Aug 2012"/>
  </r>
  <r>
    <x v="73"/>
    <x v="0"/>
    <d v="2012-08-10T00:00:00"/>
    <n v="3000"/>
    <s v="Aug 2012"/>
  </r>
  <r>
    <x v="73"/>
    <x v="0"/>
    <d v="2012-08-13T00:00:00"/>
    <n v="3000"/>
    <s v="Aug 2012"/>
  </r>
  <r>
    <x v="73"/>
    <x v="0"/>
    <d v="2012-08-15T00:00:00"/>
    <n v="3000"/>
    <s v="Aug 2012"/>
  </r>
  <r>
    <x v="73"/>
    <x v="0"/>
    <d v="2012-08-17T00:00:00"/>
    <n v="3000"/>
    <s v="Aug 2012"/>
  </r>
  <r>
    <x v="73"/>
    <x v="0"/>
    <d v="2012-08-20T00:00:00"/>
    <n v="3600"/>
    <s v="Aug 2012"/>
  </r>
  <r>
    <x v="73"/>
    <x v="0"/>
    <d v="2012-08-22T00:00:00"/>
    <n v="3600"/>
    <s v="Aug 2012"/>
  </r>
  <r>
    <x v="73"/>
    <x v="0"/>
    <d v="2012-08-24T00:00:00"/>
    <n v="3600"/>
    <s v="Aug 2012"/>
  </r>
  <r>
    <x v="73"/>
    <x v="0"/>
    <d v="2012-08-27T00:00:00"/>
    <n v="3600"/>
    <s v="Aug 2012"/>
  </r>
  <r>
    <x v="73"/>
    <x v="0"/>
    <d v="2012-08-29T00:00:00"/>
    <n v="3600"/>
    <s v="Aug 2012"/>
  </r>
  <r>
    <x v="73"/>
    <x v="0"/>
    <d v="2012-08-31T00:00:00"/>
    <n v="3600"/>
    <s v="Aug 2012"/>
  </r>
  <r>
    <x v="73"/>
    <x v="0"/>
    <d v="2012-09-03T00:00:00"/>
    <n v="3600"/>
    <s v="Sep 2012"/>
  </r>
  <r>
    <x v="73"/>
    <x v="0"/>
    <d v="2012-09-05T00:00:00"/>
    <n v="3600"/>
    <s v="Sep 2012"/>
  </r>
  <r>
    <x v="73"/>
    <x v="1"/>
    <d v="2012-10-10T00:00:00"/>
    <n v="4"/>
    <s v="Oct 2012"/>
  </r>
  <r>
    <x v="73"/>
    <x v="1"/>
    <d v="2012-11-14T00:00:00"/>
    <n v="4"/>
    <s v="Nov 2012"/>
  </r>
  <r>
    <x v="74"/>
    <x v="0"/>
    <d v="2012-07-12T00:00:00"/>
    <n v="10000"/>
    <s v="Jul 2012"/>
  </r>
  <r>
    <x v="74"/>
    <x v="0"/>
    <d v="2012-07-14T00:00:00"/>
    <n v="10000"/>
    <s v="Jul 2012"/>
  </r>
  <r>
    <x v="74"/>
    <x v="0"/>
    <d v="2012-07-17T00:00:00"/>
    <n v="10000"/>
    <s v="Jul 2012"/>
  </r>
  <r>
    <x v="74"/>
    <x v="0"/>
    <d v="2012-07-19T00:00:00"/>
    <n v="10000"/>
    <s v="Jul 2012"/>
  </r>
  <r>
    <x v="74"/>
    <x v="0"/>
    <d v="2012-07-21T00:00:00"/>
    <n v="12000"/>
    <s v="Jul 2012"/>
  </r>
  <r>
    <x v="74"/>
    <x v="0"/>
    <d v="2012-07-24T00:00:00"/>
    <n v="12000"/>
    <s v="Jul 2012"/>
  </r>
  <r>
    <x v="74"/>
    <x v="0"/>
    <d v="2012-07-26T00:00:00"/>
    <n v="12000"/>
    <s v="Jul 2012"/>
  </r>
  <r>
    <x v="74"/>
    <x v="0"/>
    <d v="2012-07-28T00:00:00"/>
    <n v="12000"/>
    <s v="Jul 2012"/>
  </r>
  <r>
    <x v="74"/>
    <x v="0"/>
    <d v="2012-08-01T00:00:00"/>
    <n v="12000"/>
    <s v="Aug 2012"/>
  </r>
  <r>
    <x v="74"/>
    <x v="0"/>
    <d v="2012-08-02T00:00:00"/>
    <n v="12000"/>
    <s v="Aug 2012"/>
  </r>
  <r>
    <x v="74"/>
    <x v="0"/>
    <d v="2012-08-04T00:00:00"/>
    <n v="13200"/>
    <s v="Aug 2012"/>
  </r>
  <r>
    <x v="74"/>
    <x v="0"/>
    <d v="2012-08-07T00:00:00"/>
    <n v="13200"/>
    <s v="Aug 2012"/>
  </r>
  <r>
    <x v="74"/>
    <x v="0"/>
    <d v="2012-08-09T00:00:00"/>
    <n v="13200"/>
    <s v="Aug 2012"/>
  </r>
  <r>
    <x v="74"/>
    <x v="0"/>
    <d v="2012-08-11T00:00:00"/>
    <n v="13200"/>
    <s v="Aug 2012"/>
  </r>
  <r>
    <x v="74"/>
    <x v="0"/>
    <d v="2012-08-14T00:00:00"/>
    <n v="13200"/>
    <s v="Aug 2012"/>
  </r>
  <r>
    <x v="74"/>
    <x v="0"/>
    <d v="2012-08-16T00:00:00"/>
    <n v="13200"/>
    <s v="Aug 2012"/>
  </r>
  <r>
    <x v="74"/>
    <x v="0"/>
    <d v="2012-08-18T00:00:00"/>
    <n v="13200"/>
    <s v="Aug 2012"/>
  </r>
  <r>
    <x v="74"/>
    <x v="0"/>
    <d v="2012-08-21T00:00:00"/>
    <n v="13200"/>
    <s v="Aug 2012"/>
  </r>
  <r>
    <x v="74"/>
    <x v="0"/>
    <d v="2012-08-23T00:00:00"/>
    <n v="13200"/>
    <s v="Aug 2012"/>
  </r>
  <r>
    <x v="74"/>
    <x v="0"/>
    <d v="2012-08-25T00:00:00"/>
    <n v="13200"/>
    <s v="Aug 2012"/>
  </r>
  <r>
    <x v="74"/>
    <x v="0"/>
    <d v="2012-08-28T00:00:00"/>
    <n v="13200"/>
    <s v="Aug 2012"/>
  </r>
  <r>
    <x v="74"/>
    <x v="0"/>
    <d v="2012-08-30T00:00:00"/>
    <n v="13200"/>
    <s v="Aug 2012"/>
  </r>
  <r>
    <x v="74"/>
    <x v="0"/>
    <d v="2012-09-01T00:00:00"/>
    <n v="13200"/>
    <s v="Sep 2012"/>
  </r>
  <r>
    <x v="74"/>
    <x v="0"/>
    <d v="2012-09-05T00:00:00"/>
    <n v="13200"/>
    <s v="Sep 2012"/>
  </r>
  <r>
    <x v="74"/>
    <x v="0"/>
    <d v="2012-09-06T00:00:00"/>
    <n v="13200"/>
    <s v="Sep 2012"/>
  </r>
  <r>
    <x v="74"/>
    <x v="1"/>
    <d v="2012-09-20T00:00:00"/>
    <n v="16"/>
    <s v="Sep 2012"/>
  </r>
  <r>
    <x v="74"/>
    <x v="1"/>
    <d v="2012-10-16T00:00:00"/>
    <n v="16"/>
    <s v="Oct 2012"/>
  </r>
  <r>
    <x v="75"/>
    <x v="1"/>
    <d v="2012-11-01T00:00:00"/>
    <n v="10"/>
    <s v="Nov 2012"/>
  </r>
  <r>
    <x v="76"/>
    <x v="0"/>
    <d v="2012-07-21T00:00:00"/>
    <n v="7400"/>
    <s v="Jul 2012"/>
  </r>
  <r>
    <x v="76"/>
    <x v="0"/>
    <d v="2012-07-24T00:00:00"/>
    <n v="7400"/>
    <s v="Jul 2012"/>
  </r>
  <r>
    <x v="76"/>
    <x v="0"/>
    <d v="2012-07-28T00:00:00"/>
    <n v="7400"/>
    <s v="Jul 2012"/>
  </r>
  <r>
    <x v="76"/>
    <x v="0"/>
    <d v="2012-07-31T00:00:00"/>
    <n v="7400"/>
    <s v="Jul 2012"/>
  </r>
  <r>
    <x v="76"/>
    <x v="0"/>
    <d v="2012-08-04T00:00:00"/>
    <n v="7400"/>
    <s v="Aug 2012"/>
  </r>
  <r>
    <x v="76"/>
    <x v="0"/>
    <d v="2012-08-07T00:00:00"/>
    <n v="7400"/>
    <s v="Aug 2012"/>
  </r>
  <r>
    <x v="76"/>
    <x v="0"/>
    <d v="2012-08-11T00:00:00"/>
    <n v="7400"/>
    <s v="Aug 2012"/>
  </r>
  <r>
    <x v="76"/>
    <x v="0"/>
    <d v="2012-08-14T00:00:00"/>
    <n v="7400"/>
    <s v="Aug 2012"/>
  </r>
  <r>
    <x v="76"/>
    <x v="1"/>
    <d v="2012-09-14T00:00:00"/>
    <n v="8"/>
    <s v="Sep 2012"/>
  </r>
  <r>
    <x v="76"/>
    <x v="1"/>
    <d v="2012-11-30T00:00:00"/>
    <n v="10"/>
    <s v="Nov 2012"/>
  </r>
  <r>
    <x v="77"/>
    <x v="0"/>
    <d v="2012-07-06T00:00:00"/>
    <n v="300"/>
    <s v="Jul 2012"/>
  </r>
  <r>
    <x v="77"/>
    <x v="0"/>
    <d v="2012-07-13T00:00:00"/>
    <n v="300"/>
    <s v="Jul 2012"/>
  </r>
  <r>
    <x v="77"/>
    <x v="0"/>
    <d v="2012-07-20T00:00:00"/>
    <n v="300"/>
    <s v="Jul 2012"/>
  </r>
  <r>
    <x v="77"/>
    <x v="0"/>
    <d v="2012-07-27T00:00:00"/>
    <n v="300"/>
    <s v="Jul 2012"/>
  </r>
  <r>
    <x v="77"/>
    <x v="0"/>
    <d v="2012-08-03T00:00:00"/>
    <n v="300"/>
    <s v="Aug 2012"/>
  </r>
  <r>
    <x v="77"/>
    <x v="0"/>
    <d v="2012-08-10T00:00:00"/>
    <n v="300"/>
    <s v="Aug 2012"/>
  </r>
  <r>
    <x v="77"/>
    <x v="0"/>
    <d v="2012-08-17T00:00:00"/>
    <n v="300"/>
    <s v="Aug 2012"/>
  </r>
  <r>
    <x v="78"/>
    <x v="0"/>
    <d v="2012-12-04T00:00:00"/>
    <n v="5600"/>
    <s v="Dec 2012"/>
  </r>
  <r>
    <x v="79"/>
    <x v="0"/>
    <d v="2012-07-02T00:00:00"/>
    <n v="9600"/>
    <s v="Jul 2012"/>
  </r>
  <r>
    <x v="79"/>
    <x v="0"/>
    <d v="2012-07-04T00:00:00"/>
    <n v="9600"/>
    <s v="Jul 2012"/>
  </r>
  <r>
    <x v="79"/>
    <x v="0"/>
    <d v="2012-07-06T00:00:00"/>
    <n v="9600"/>
    <s v="Jul 2012"/>
  </r>
  <r>
    <x v="79"/>
    <x v="0"/>
    <d v="2012-07-09T00:00:00"/>
    <n v="9600"/>
    <s v="Jul 2012"/>
  </r>
  <r>
    <x v="79"/>
    <x v="0"/>
    <d v="2012-07-11T00:00:00"/>
    <n v="9600"/>
    <s v="Jul 2012"/>
  </r>
  <r>
    <x v="79"/>
    <x v="0"/>
    <d v="2012-07-13T00:00:00"/>
    <n v="9600"/>
    <s v="Jul 2012"/>
  </r>
  <r>
    <x v="79"/>
    <x v="0"/>
    <d v="2012-07-16T00:00:00"/>
    <n v="9600"/>
    <s v="Jul 2012"/>
  </r>
  <r>
    <x v="79"/>
    <x v="0"/>
    <d v="2012-07-18T00:00:00"/>
    <n v="9600"/>
    <s v="Jul 2012"/>
  </r>
  <r>
    <x v="79"/>
    <x v="0"/>
    <d v="2012-07-20T00:00:00"/>
    <n v="9600"/>
    <s v="Jul 2012"/>
  </r>
  <r>
    <x v="79"/>
    <x v="0"/>
    <d v="2012-07-23T00:00:00"/>
    <n v="9600"/>
    <s v="Jul 2012"/>
  </r>
  <r>
    <x v="79"/>
    <x v="0"/>
    <d v="2012-07-25T00:00:00"/>
    <n v="9600"/>
    <s v="Jul 2012"/>
  </r>
  <r>
    <x v="79"/>
    <x v="0"/>
    <d v="2012-07-27T00:00:00"/>
    <n v="9600"/>
    <s v="Jul 2012"/>
  </r>
  <r>
    <x v="79"/>
    <x v="0"/>
    <d v="2012-07-30T00:00:00"/>
    <n v="9600"/>
    <s v="Jul 2012"/>
  </r>
  <r>
    <x v="79"/>
    <x v="0"/>
    <d v="2012-08-01T00:00:00"/>
    <n v="9600"/>
    <s v="Aug 2012"/>
  </r>
  <r>
    <x v="79"/>
    <x v="0"/>
    <d v="2012-08-03T00:00:00"/>
    <n v="9600"/>
    <s v="Aug 2012"/>
  </r>
  <r>
    <x v="79"/>
    <x v="0"/>
    <d v="2012-08-06T00:00:00"/>
    <n v="9600"/>
    <s v="Aug 2012"/>
  </r>
  <r>
    <x v="79"/>
    <x v="0"/>
    <d v="2012-08-08T00:00:00"/>
    <n v="9600"/>
    <s v="Aug 2012"/>
  </r>
  <r>
    <x v="79"/>
    <x v="0"/>
    <d v="2012-08-10T00:00:00"/>
    <n v="9600"/>
    <s v="Aug 2012"/>
  </r>
  <r>
    <x v="79"/>
    <x v="0"/>
    <d v="2012-08-13T00:00:00"/>
    <n v="9600"/>
    <s v="Aug 2012"/>
  </r>
  <r>
    <x v="79"/>
    <x v="0"/>
    <d v="2012-08-15T00:00:00"/>
    <n v="9600"/>
    <s v="Aug 2012"/>
  </r>
  <r>
    <x v="79"/>
    <x v="0"/>
    <d v="2012-08-17T00:00:00"/>
    <n v="9600"/>
    <s v="Aug 2012"/>
  </r>
  <r>
    <x v="79"/>
    <x v="0"/>
    <d v="2012-08-20T00:00:00"/>
    <n v="9600"/>
    <s v="Aug 2012"/>
  </r>
  <r>
    <x v="79"/>
    <x v="0"/>
    <d v="2012-08-22T00:00:00"/>
    <n v="9600"/>
    <s v="Aug 2012"/>
  </r>
  <r>
    <x v="79"/>
    <x v="0"/>
    <d v="2012-08-24T00:00:00"/>
    <n v="9600"/>
    <s v="Aug 2012"/>
  </r>
  <r>
    <x v="79"/>
    <x v="0"/>
    <d v="2012-08-27T00:00:00"/>
    <n v="9600"/>
    <s v="Aug 2012"/>
  </r>
  <r>
    <x v="79"/>
    <x v="0"/>
    <d v="2012-08-29T00:00:00"/>
    <n v="9600"/>
    <s v="Aug 2012"/>
  </r>
  <r>
    <x v="79"/>
    <x v="0"/>
    <d v="2012-08-31T00:00:00"/>
    <n v="9600"/>
    <s v="Aug 2012"/>
  </r>
  <r>
    <x v="79"/>
    <x v="0"/>
    <d v="2012-09-03T00:00:00"/>
    <n v="9600"/>
    <s v="Sep 2012"/>
  </r>
  <r>
    <x v="79"/>
    <x v="0"/>
    <d v="2012-09-05T00:00:00"/>
    <n v="9600"/>
    <s v="Sep 2012"/>
  </r>
  <r>
    <x v="80"/>
    <x v="0"/>
    <d v="2012-07-03T00:00:00"/>
    <n v="4300"/>
    <s v="Jul 2012"/>
  </r>
  <r>
    <x v="80"/>
    <x v="0"/>
    <d v="2012-07-05T00:00:00"/>
    <n v="4300"/>
    <s v="Jul 2012"/>
  </r>
  <r>
    <x v="80"/>
    <x v="0"/>
    <d v="2012-07-07T00:00:00"/>
    <n v="4700"/>
    <s v="Jul 2012"/>
  </r>
  <r>
    <x v="80"/>
    <x v="0"/>
    <d v="2012-07-10T00:00:00"/>
    <n v="4700"/>
    <s v="Jul 2012"/>
  </r>
  <r>
    <x v="80"/>
    <x v="0"/>
    <d v="2012-07-12T00:00:00"/>
    <n v="4700"/>
    <s v="Jul 2012"/>
  </r>
  <r>
    <x v="80"/>
    <x v="0"/>
    <d v="2012-07-14T00:00:00"/>
    <n v="4700"/>
    <s v="Jul 2012"/>
  </r>
  <r>
    <x v="80"/>
    <x v="0"/>
    <d v="2012-07-17T00:00:00"/>
    <n v="4700"/>
    <s v="Jul 2012"/>
  </r>
  <r>
    <x v="80"/>
    <x v="0"/>
    <d v="2012-07-19T00:00:00"/>
    <n v="4700"/>
    <s v="Jul 2012"/>
  </r>
  <r>
    <x v="80"/>
    <x v="0"/>
    <d v="2012-07-24T00:00:00"/>
    <n v="5700"/>
    <s v="Jul 2012"/>
  </r>
  <r>
    <x v="80"/>
    <x v="0"/>
    <d v="2012-07-27T00:00:00"/>
    <n v="5700"/>
    <s v="Jul 2012"/>
  </r>
  <r>
    <x v="80"/>
    <x v="0"/>
    <d v="2012-07-28T00:00:00"/>
    <n v="5700"/>
    <s v="Jul 2012"/>
  </r>
  <r>
    <x v="80"/>
    <x v="0"/>
    <d v="2012-07-31T00:00:00"/>
    <n v="5700"/>
    <s v="Jul 2012"/>
  </r>
  <r>
    <x v="80"/>
    <x v="0"/>
    <d v="2012-08-02T00:00:00"/>
    <n v="5700"/>
    <s v="Aug 2012"/>
  </r>
  <r>
    <x v="80"/>
    <x v="0"/>
    <d v="2012-08-04T00:00:00"/>
    <n v="6900"/>
    <s v="Aug 2012"/>
  </r>
  <r>
    <x v="80"/>
    <x v="0"/>
    <d v="2012-08-07T00:00:00"/>
    <n v="6900"/>
    <s v="Aug 2012"/>
  </r>
  <r>
    <x v="80"/>
    <x v="0"/>
    <d v="2012-08-09T00:00:00"/>
    <n v="6900"/>
    <s v="Aug 2012"/>
  </r>
  <r>
    <x v="80"/>
    <x v="0"/>
    <d v="2012-08-11T00:00:00"/>
    <n v="6900"/>
    <s v="Aug 2012"/>
  </r>
  <r>
    <x v="80"/>
    <x v="0"/>
    <d v="2012-08-14T00:00:00"/>
    <n v="6900"/>
    <s v="Aug 2012"/>
  </r>
  <r>
    <x v="80"/>
    <x v="0"/>
    <d v="2012-08-16T00:00:00"/>
    <n v="6900"/>
    <s v="Aug 2012"/>
  </r>
  <r>
    <x v="80"/>
    <x v="0"/>
    <d v="2012-08-18T00:00:00"/>
    <n v="7600"/>
    <s v="Aug 2012"/>
  </r>
  <r>
    <x v="80"/>
    <x v="0"/>
    <d v="2012-08-21T00:00:00"/>
    <n v="7600"/>
    <s v="Aug 2012"/>
  </r>
  <r>
    <x v="80"/>
    <x v="0"/>
    <d v="2012-08-23T00:00:00"/>
    <n v="7600"/>
    <s v="Aug 2012"/>
  </r>
  <r>
    <x v="80"/>
    <x v="0"/>
    <d v="2012-08-25T00:00:00"/>
    <n v="7600"/>
    <s v="Aug 2012"/>
  </r>
  <r>
    <x v="80"/>
    <x v="0"/>
    <d v="2012-08-28T00:00:00"/>
    <n v="7600"/>
    <s v="Aug 2012"/>
  </r>
  <r>
    <x v="80"/>
    <x v="0"/>
    <d v="2012-08-30T00:00:00"/>
    <n v="7600"/>
    <s v="Aug 2012"/>
  </r>
  <r>
    <x v="80"/>
    <x v="0"/>
    <d v="2012-09-01T00:00:00"/>
    <n v="7600"/>
    <s v="Sep 2012"/>
  </r>
  <r>
    <x v="80"/>
    <x v="0"/>
    <d v="2012-09-04T00:00:00"/>
    <n v="7600"/>
    <s v="Sep 2012"/>
  </r>
  <r>
    <x v="80"/>
    <x v="0"/>
    <d v="2012-09-06T00:00:00"/>
    <n v="8400"/>
    <s v="Sep 2012"/>
  </r>
  <r>
    <x v="80"/>
    <x v="1"/>
    <d v="2012-09-13T00:00:00"/>
    <n v="10"/>
    <s v="Sep 2012"/>
  </r>
  <r>
    <x v="80"/>
    <x v="1"/>
    <d v="2012-10-11T00:00:00"/>
    <n v="10"/>
    <s v="Oct 2012"/>
  </r>
  <r>
    <x v="80"/>
    <x v="1"/>
    <d v="2012-11-15T00:00:00"/>
    <n v="13"/>
    <s v="Nov 2012"/>
  </r>
  <r>
    <x v="81"/>
    <x v="0"/>
    <d v="2012-07-06T00:00:00"/>
    <n v="1000"/>
    <s v="Jul 2012"/>
  </r>
  <r>
    <x v="81"/>
    <x v="0"/>
    <d v="2012-07-09T00:00:00"/>
    <n v="1000"/>
    <s v="Jul 2012"/>
  </r>
  <r>
    <x v="81"/>
    <x v="0"/>
    <d v="2012-07-11T00:00:00"/>
    <n v="1000"/>
    <s v="Jul 2012"/>
  </r>
  <r>
    <x v="81"/>
    <x v="0"/>
    <d v="2012-07-13T00:00:00"/>
    <n v="1000"/>
    <s v="Jul 2012"/>
  </r>
  <r>
    <x v="81"/>
    <x v="0"/>
    <d v="2012-07-16T00:00:00"/>
    <n v="1000"/>
    <s v="Jul 2012"/>
  </r>
  <r>
    <x v="81"/>
    <x v="0"/>
    <d v="2012-07-18T00:00:00"/>
    <n v="1000"/>
    <s v="Jul 2012"/>
  </r>
  <r>
    <x v="81"/>
    <x v="0"/>
    <d v="2012-07-20T00:00:00"/>
    <n v="1000"/>
    <s v="Jul 2012"/>
  </r>
  <r>
    <x v="81"/>
    <x v="0"/>
    <d v="2012-07-23T00:00:00"/>
    <n v="1000"/>
    <s v="Jul 2012"/>
  </r>
  <r>
    <x v="81"/>
    <x v="0"/>
    <d v="2012-07-25T00:00:00"/>
    <n v="1000"/>
    <s v="Jul 2012"/>
  </r>
  <r>
    <x v="81"/>
    <x v="0"/>
    <d v="2012-07-27T00:00:00"/>
    <n v="1000"/>
    <s v="Jul 2012"/>
  </r>
  <r>
    <x v="81"/>
    <x v="0"/>
    <d v="2012-07-30T00:00:00"/>
    <n v="1000"/>
    <s v="Jul 2012"/>
  </r>
  <r>
    <x v="81"/>
    <x v="0"/>
    <d v="2012-08-01T00:00:00"/>
    <n v="1000"/>
    <s v="Aug 2012"/>
  </r>
  <r>
    <x v="81"/>
    <x v="0"/>
    <d v="2012-08-13T00:00:00"/>
    <n v="800"/>
    <s v="Aug 2012"/>
  </r>
  <r>
    <x v="81"/>
    <x v="0"/>
    <d v="2012-08-15T00:00:00"/>
    <n v="800"/>
    <s v="Aug 2012"/>
  </r>
  <r>
    <x v="81"/>
    <x v="0"/>
    <d v="2012-08-17T00:00:00"/>
    <n v="800"/>
    <s v="Aug 2012"/>
  </r>
  <r>
    <x v="81"/>
    <x v="0"/>
    <d v="2012-08-20T00:00:00"/>
    <n v="800"/>
    <s v="Aug 2012"/>
  </r>
  <r>
    <x v="81"/>
    <x v="0"/>
    <d v="2012-08-22T00:00:00"/>
    <n v="800"/>
    <s v="Aug 2012"/>
  </r>
  <r>
    <x v="81"/>
    <x v="0"/>
    <d v="2012-08-24T00:00:00"/>
    <n v="800"/>
    <s v="Aug 2012"/>
  </r>
  <r>
    <x v="81"/>
    <x v="0"/>
    <d v="2012-08-27T00:00:00"/>
    <n v="800"/>
    <s v="Aug 2012"/>
  </r>
  <r>
    <x v="81"/>
    <x v="0"/>
    <d v="2012-08-29T00:00:00"/>
    <n v="800"/>
    <s v="Aug 2012"/>
  </r>
  <r>
    <x v="81"/>
    <x v="0"/>
    <d v="2012-08-31T00:00:00"/>
    <n v="800"/>
    <s v="Aug 2012"/>
  </r>
  <r>
    <x v="81"/>
    <x v="0"/>
    <d v="2012-09-03T00:00:00"/>
    <n v="800"/>
    <s v="Sep 2012"/>
  </r>
  <r>
    <x v="81"/>
    <x v="0"/>
    <d v="2012-09-05T00:00:00"/>
    <n v="800"/>
    <s v="Sep 2012"/>
  </r>
  <r>
    <x v="81"/>
    <x v="1"/>
    <d v="2012-09-12T00:00:00"/>
    <n v="2"/>
    <s v="Sep 2012"/>
  </r>
  <r>
    <x v="81"/>
    <x v="1"/>
    <d v="2012-10-10T00:00:00"/>
    <n v="1"/>
    <s v="Oct 2012"/>
  </r>
  <r>
    <x v="81"/>
    <x v="1"/>
    <d v="2012-10-10T00:00:00"/>
    <n v="2"/>
    <s v="Oct 2012"/>
  </r>
  <r>
    <x v="81"/>
    <x v="1"/>
    <d v="2012-11-14T00:00:00"/>
    <n v="3"/>
    <s v="Nov 2012"/>
  </r>
  <r>
    <x v="82"/>
    <x v="0"/>
    <d v="2012-08-06T00:00:00"/>
    <n v="4400"/>
    <s v="Aug 2012"/>
  </r>
  <r>
    <x v="82"/>
    <x v="0"/>
    <d v="2012-08-08T00:00:00"/>
    <n v="4400"/>
    <s v="Aug 2012"/>
  </r>
  <r>
    <x v="82"/>
    <x v="0"/>
    <d v="2012-08-10T00:00:00"/>
    <n v="4400"/>
    <s v="Aug 2012"/>
  </r>
  <r>
    <x v="82"/>
    <x v="0"/>
    <d v="2012-08-13T00:00:00"/>
    <n v="4400"/>
    <s v="Aug 2012"/>
  </r>
  <r>
    <x v="82"/>
    <x v="0"/>
    <d v="2012-08-15T00:00:00"/>
    <n v="4400"/>
    <s v="Aug 2012"/>
  </r>
  <r>
    <x v="82"/>
    <x v="0"/>
    <d v="2012-08-17T00:00:00"/>
    <n v="4400"/>
    <s v="Aug 2012"/>
  </r>
  <r>
    <x v="82"/>
    <x v="0"/>
    <d v="2012-08-20T00:00:00"/>
    <n v="5300"/>
    <s v="Aug 2012"/>
  </r>
  <r>
    <x v="82"/>
    <x v="0"/>
    <d v="2012-08-22T00:00:00"/>
    <n v="5300"/>
    <s v="Aug 2012"/>
  </r>
  <r>
    <x v="82"/>
    <x v="0"/>
    <d v="2012-08-24T00:00:00"/>
    <n v="5300"/>
    <s v="Aug 2012"/>
  </r>
  <r>
    <x v="82"/>
    <x v="0"/>
    <d v="2012-08-27T00:00:00"/>
    <n v="5300"/>
    <s v="Aug 2012"/>
  </r>
  <r>
    <x v="82"/>
    <x v="0"/>
    <d v="2012-08-29T00:00:00"/>
    <n v="5300"/>
    <s v="Aug 2012"/>
  </r>
  <r>
    <x v="82"/>
    <x v="0"/>
    <d v="2012-08-31T00:00:00"/>
    <n v="5300"/>
    <s v="Aug 2012"/>
  </r>
  <r>
    <x v="82"/>
    <x v="0"/>
    <d v="2012-09-03T00:00:00"/>
    <n v="5300"/>
    <s v="Sep 2012"/>
  </r>
  <r>
    <x v="82"/>
    <x v="0"/>
    <d v="2012-09-05T00:00:00"/>
    <n v="5300"/>
    <s v="Sep 2012"/>
  </r>
  <r>
    <x v="82"/>
    <x v="1"/>
    <d v="2012-09-12T00:00:00"/>
    <n v="8"/>
    <s v="Sep 2012"/>
  </r>
  <r>
    <x v="82"/>
    <x v="1"/>
    <d v="2012-11-14T00:00:00"/>
    <n v="2"/>
    <s v="Nov 2012"/>
  </r>
  <r>
    <x v="83"/>
    <x v="1"/>
    <d v="2012-10-12T00:00:00"/>
    <n v="3"/>
    <s v="Oct 2012"/>
  </r>
  <r>
    <x v="84"/>
    <x v="0"/>
    <d v="2012-07-07T00:00:00"/>
    <n v="14400"/>
    <s v="Jul 2012"/>
  </r>
  <r>
    <x v="84"/>
    <x v="0"/>
    <d v="2012-07-10T00:00:00"/>
    <n v="14400"/>
    <s v="Jul 2012"/>
  </r>
  <r>
    <x v="84"/>
    <x v="0"/>
    <d v="2012-07-12T00:00:00"/>
    <n v="14400"/>
    <s v="Jul 2012"/>
  </r>
  <r>
    <x v="84"/>
    <x v="0"/>
    <d v="2012-07-14T00:00:00"/>
    <n v="14400"/>
    <s v="Jul 2012"/>
  </r>
  <r>
    <x v="84"/>
    <x v="0"/>
    <d v="2012-07-17T00:00:00"/>
    <n v="14400"/>
    <s v="Jul 2012"/>
  </r>
  <r>
    <x v="84"/>
    <x v="0"/>
    <d v="2012-07-19T00:00:00"/>
    <n v="14400"/>
    <s v="Jul 2012"/>
  </r>
  <r>
    <x v="84"/>
    <x v="0"/>
    <d v="2012-07-21T00:00:00"/>
    <n v="14400"/>
    <s v="Jul 2012"/>
  </r>
  <r>
    <x v="84"/>
    <x v="0"/>
    <d v="2012-07-24T00:00:00"/>
    <n v="14400"/>
    <s v="Jul 2012"/>
  </r>
  <r>
    <x v="84"/>
    <x v="0"/>
    <d v="2012-07-26T00:00:00"/>
    <n v="14400"/>
    <s v="Jul 2012"/>
  </r>
  <r>
    <x v="84"/>
    <x v="0"/>
    <d v="2012-07-28T00:00:00"/>
    <n v="14400"/>
    <s v="Jul 2012"/>
  </r>
  <r>
    <x v="84"/>
    <x v="0"/>
    <d v="2012-07-31T00:00:00"/>
    <n v="14400"/>
    <s v="Jul 2012"/>
  </r>
  <r>
    <x v="84"/>
    <x v="0"/>
    <d v="2012-08-02T00:00:00"/>
    <n v="14400"/>
    <s v="Aug 2012"/>
  </r>
  <r>
    <x v="84"/>
    <x v="0"/>
    <d v="2012-08-18T00:00:00"/>
    <n v="13000"/>
    <s v="Aug 2012"/>
  </r>
  <r>
    <x v="84"/>
    <x v="0"/>
    <d v="2012-08-21T00:00:00"/>
    <n v="13000"/>
    <s v="Aug 2012"/>
  </r>
  <r>
    <x v="84"/>
    <x v="0"/>
    <d v="2012-08-23T00:00:00"/>
    <n v="13000"/>
    <s v="Aug 2012"/>
  </r>
  <r>
    <x v="84"/>
    <x v="0"/>
    <d v="2012-08-25T00:00:00"/>
    <n v="13000"/>
    <s v="Aug 2012"/>
  </r>
  <r>
    <x v="84"/>
    <x v="0"/>
    <d v="2012-08-28T00:00:00"/>
    <n v="13000"/>
    <s v="Aug 2012"/>
  </r>
  <r>
    <x v="84"/>
    <x v="0"/>
    <d v="2012-08-30T00:00:00"/>
    <n v="13000"/>
    <s v="Aug 2012"/>
  </r>
  <r>
    <x v="84"/>
    <x v="0"/>
    <d v="2012-09-01T00:00:00"/>
    <n v="13000"/>
    <s v="Sep 2012"/>
  </r>
  <r>
    <x v="84"/>
    <x v="0"/>
    <d v="2012-09-04T00:00:00"/>
    <n v="13000"/>
    <s v="Sep 2012"/>
  </r>
  <r>
    <x v="84"/>
    <x v="0"/>
    <d v="2012-09-06T00:00:00"/>
    <n v="13000"/>
    <s v="Sep 2012"/>
  </r>
  <r>
    <x v="84"/>
    <x v="1"/>
    <d v="2012-09-13T00:00:00"/>
    <n v="16"/>
    <s v="Sep 2012"/>
  </r>
  <r>
    <x v="85"/>
    <x v="0"/>
    <d v="2012-08-18T00:00:00"/>
    <n v="500"/>
    <s v="Aug 2012"/>
  </r>
  <r>
    <x v="85"/>
    <x v="0"/>
    <d v="2012-08-21T00:00:00"/>
    <n v="500"/>
    <s v="Aug 2012"/>
  </r>
  <r>
    <x v="85"/>
    <x v="0"/>
    <d v="2012-08-23T00:00:00"/>
    <n v="500"/>
    <s v="Aug 2012"/>
  </r>
  <r>
    <x v="85"/>
    <x v="0"/>
    <d v="2012-08-25T00:00:00"/>
    <n v="500"/>
    <s v="Aug 2012"/>
  </r>
  <r>
    <x v="85"/>
    <x v="0"/>
    <d v="2012-08-28T00:00:00"/>
    <n v="500"/>
    <s v="Aug 2012"/>
  </r>
  <r>
    <x v="85"/>
    <x v="0"/>
    <d v="2012-08-30T00:00:00"/>
    <n v="500"/>
    <s v="Aug 2012"/>
  </r>
  <r>
    <x v="85"/>
    <x v="0"/>
    <d v="2012-09-01T00:00:00"/>
    <n v="500"/>
    <s v="Sep 2012"/>
  </r>
  <r>
    <x v="85"/>
    <x v="0"/>
    <d v="2012-09-04T00:00:00"/>
    <n v="500"/>
    <s v="Sep 2012"/>
  </r>
  <r>
    <x v="85"/>
    <x v="1"/>
    <d v="2012-09-25T00:00:00"/>
    <n v="1"/>
    <s v="Sep 2012"/>
  </r>
  <r>
    <x v="85"/>
    <x v="1"/>
    <d v="2012-10-11T00:00:00"/>
    <n v="1"/>
    <s v="Oct 2012"/>
  </r>
  <r>
    <x v="86"/>
    <x v="0"/>
    <d v="2012-07-02T00:00:00"/>
    <n v="4400"/>
    <s v="Jul 2012"/>
  </r>
  <r>
    <x v="86"/>
    <x v="0"/>
    <d v="2012-07-04T00:00:00"/>
    <n v="4400"/>
    <s v="Jul 2012"/>
  </r>
  <r>
    <x v="86"/>
    <x v="0"/>
    <d v="2012-07-06T00:00:00"/>
    <n v="4400"/>
    <s v="Jul 2012"/>
  </r>
  <r>
    <x v="86"/>
    <x v="0"/>
    <d v="2012-07-09T00:00:00"/>
    <n v="4400"/>
    <s v="Jul 2012"/>
  </r>
  <r>
    <x v="86"/>
    <x v="0"/>
    <d v="2012-07-11T00:00:00"/>
    <n v="4400"/>
    <s v="Jul 2012"/>
  </r>
  <r>
    <x v="86"/>
    <x v="0"/>
    <d v="2012-07-13T00:00:00"/>
    <n v="4400"/>
    <s v="Jul 2012"/>
  </r>
  <r>
    <x v="86"/>
    <x v="0"/>
    <d v="2012-07-16T00:00:00"/>
    <n v="4400"/>
    <s v="Jul 2012"/>
  </r>
  <r>
    <x v="86"/>
    <x v="0"/>
    <d v="2012-07-18T00:00:00"/>
    <n v="4400"/>
    <s v="Jul 2012"/>
  </r>
  <r>
    <x v="86"/>
    <x v="0"/>
    <d v="2012-07-23T00:00:00"/>
    <n v="4400"/>
    <s v="Jul 2012"/>
  </r>
  <r>
    <x v="86"/>
    <x v="0"/>
    <d v="2012-07-27T00:00:00"/>
    <n v="4400"/>
    <s v="Jul 2012"/>
  </r>
  <r>
    <x v="86"/>
    <x v="0"/>
    <d v="2012-07-30T00:00:00"/>
    <n v="4400"/>
    <s v="Jul 2012"/>
  </r>
  <r>
    <x v="86"/>
    <x v="0"/>
    <d v="2012-08-01T00:00:00"/>
    <n v="4400"/>
    <s v="Aug 2012"/>
  </r>
  <r>
    <x v="86"/>
    <x v="0"/>
    <d v="2012-08-20T00:00:00"/>
    <n v="3100"/>
    <s v="Aug 2012"/>
  </r>
  <r>
    <x v="86"/>
    <x v="0"/>
    <d v="2012-08-22T00:00:00"/>
    <n v="3100"/>
    <s v="Aug 2012"/>
  </r>
  <r>
    <x v="86"/>
    <x v="0"/>
    <d v="2012-08-24T00:00:00"/>
    <n v="3100"/>
    <s v="Aug 2012"/>
  </r>
  <r>
    <x v="86"/>
    <x v="0"/>
    <d v="2012-08-27T00:00:00"/>
    <n v="3100"/>
    <s v="Aug 2012"/>
  </r>
  <r>
    <x v="86"/>
    <x v="0"/>
    <d v="2012-08-29T00:00:00"/>
    <n v="3100"/>
    <s v="Aug 2012"/>
  </r>
  <r>
    <x v="86"/>
    <x v="0"/>
    <d v="2012-08-31T00:00:00"/>
    <n v="3100"/>
    <s v="Aug 2012"/>
  </r>
  <r>
    <x v="86"/>
    <x v="0"/>
    <d v="2012-09-03T00:00:00"/>
    <n v="3100"/>
    <s v="Sep 2012"/>
  </r>
  <r>
    <x v="86"/>
    <x v="0"/>
    <d v="2012-09-05T00:00:00"/>
    <n v="3100"/>
    <s v="Sep 2012"/>
  </r>
  <r>
    <x v="86"/>
    <x v="1"/>
    <d v="2012-09-12T00:00:00"/>
    <n v="6"/>
    <s v="Sep 2012"/>
  </r>
  <r>
    <x v="86"/>
    <x v="1"/>
    <d v="2012-10-10T00:00:00"/>
    <n v="6"/>
    <s v="Oct 2012"/>
  </r>
  <r>
    <x v="86"/>
    <x v="1"/>
    <d v="2012-11-14T00:00:00"/>
    <n v="8"/>
    <s v="Nov 2012"/>
  </r>
  <r>
    <x v="87"/>
    <x v="1"/>
    <d v="2012-09-15T00:00:00"/>
    <n v="5"/>
    <s v="Sep 2012"/>
  </r>
  <r>
    <x v="87"/>
    <x v="1"/>
    <d v="2012-10-11T00:00:00"/>
    <n v="5"/>
    <s v="Oct 2012"/>
  </r>
  <r>
    <x v="88"/>
    <x v="0"/>
    <d v="2012-08-20T00:00:00"/>
    <n v="2200"/>
    <s v="Aug 2012"/>
  </r>
  <r>
    <x v="88"/>
    <x v="0"/>
    <d v="2012-08-22T00:00:00"/>
    <n v="2200"/>
    <s v="Aug 2012"/>
  </r>
  <r>
    <x v="88"/>
    <x v="0"/>
    <d v="2012-08-24T00:00:00"/>
    <n v="2200"/>
    <s v="Aug 2012"/>
  </r>
  <r>
    <x v="88"/>
    <x v="0"/>
    <d v="2012-08-27T00:00:00"/>
    <n v="2200"/>
    <s v="Aug 2012"/>
  </r>
  <r>
    <x v="88"/>
    <x v="0"/>
    <d v="2012-08-29T00:00:00"/>
    <n v="2200"/>
    <s v="Aug 2012"/>
  </r>
  <r>
    <x v="88"/>
    <x v="0"/>
    <d v="2012-08-31T00:00:00"/>
    <n v="2200"/>
    <s v="Aug 2012"/>
  </r>
  <r>
    <x v="88"/>
    <x v="0"/>
    <d v="2012-09-03T00:00:00"/>
    <n v="2200"/>
    <s v="Sep 2012"/>
  </r>
  <r>
    <x v="88"/>
    <x v="0"/>
    <d v="2012-09-05T00:00:00"/>
    <n v="2200"/>
    <s v="Sep 2012"/>
  </r>
  <r>
    <x v="89"/>
    <x v="0"/>
    <d v="2012-07-03T00:00:00"/>
    <n v="1000"/>
    <s v="Jul 2012"/>
  </r>
  <r>
    <x v="89"/>
    <x v="0"/>
    <d v="2012-07-05T00:00:00"/>
    <n v="1000"/>
    <s v="Jul 2012"/>
  </r>
  <r>
    <x v="89"/>
    <x v="0"/>
    <d v="2012-07-14T00:00:00"/>
    <n v="1000"/>
    <s v="Jul 2012"/>
  </r>
  <r>
    <x v="89"/>
    <x v="0"/>
    <d v="2012-07-17T00:00:00"/>
    <n v="1000"/>
    <s v="Jul 2012"/>
  </r>
  <r>
    <x v="89"/>
    <x v="0"/>
    <d v="2012-07-19T00:00:00"/>
    <n v="1000"/>
    <s v="Jul 2012"/>
  </r>
  <r>
    <x v="89"/>
    <x v="0"/>
    <d v="2012-07-21T00:00:00"/>
    <n v="1000"/>
    <s v="Jul 2012"/>
  </r>
  <r>
    <x v="89"/>
    <x v="0"/>
    <d v="2012-07-24T00:00:00"/>
    <n v="1000"/>
    <s v="Jul 2012"/>
  </r>
  <r>
    <x v="89"/>
    <x v="0"/>
    <d v="2012-07-26T00:00:00"/>
    <n v="1000"/>
    <s v="Jul 2012"/>
  </r>
  <r>
    <x v="89"/>
    <x v="0"/>
    <d v="2012-07-28T00:00:00"/>
    <n v="1000"/>
    <s v="Jul 2012"/>
  </r>
  <r>
    <x v="89"/>
    <x v="0"/>
    <d v="2012-07-31T00:00:00"/>
    <n v="1000"/>
    <s v="Jul 2012"/>
  </r>
  <r>
    <x v="89"/>
    <x v="0"/>
    <d v="2012-08-02T00:00:00"/>
    <n v="1000"/>
    <s v="Aug 2012"/>
  </r>
  <r>
    <x v="89"/>
    <x v="0"/>
    <d v="2012-08-18T00:00:00"/>
    <n v="1000"/>
    <s v="Aug 2012"/>
  </r>
  <r>
    <x v="89"/>
    <x v="0"/>
    <d v="2012-08-21T00:00:00"/>
    <n v="1000"/>
    <s v="Aug 2012"/>
  </r>
  <r>
    <x v="89"/>
    <x v="0"/>
    <d v="2012-08-23T00:00:00"/>
    <n v="1000"/>
    <s v="Aug 2012"/>
  </r>
  <r>
    <x v="89"/>
    <x v="0"/>
    <d v="2012-08-25T00:00:00"/>
    <n v="1000"/>
    <s v="Aug 2012"/>
  </r>
  <r>
    <x v="89"/>
    <x v="0"/>
    <d v="2012-08-28T00:00:00"/>
    <n v="1000"/>
    <s v="Aug 2012"/>
  </r>
  <r>
    <x v="89"/>
    <x v="0"/>
    <d v="2012-08-30T00:00:00"/>
    <n v="1000"/>
    <s v="Aug 2012"/>
  </r>
  <r>
    <x v="89"/>
    <x v="0"/>
    <d v="2012-09-01T00:00:00"/>
    <n v="1000"/>
    <s v="Sep 2012"/>
  </r>
  <r>
    <x v="89"/>
    <x v="0"/>
    <d v="2012-09-04T00:00:00"/>
    <n v="1000"/>
    <s v="Sep 2012"/>
  </r>
  <r>
    <x v="89"/>
    <x v="0"/>
    <d v="2012-09-06T00:00:00"/>
    <n v="1000"/>
    <s v="Sep 2012"/>
  </r>
  <r>
    <x v="89"/>
    <x v="1"/>
    <d v="2012-09-13T00:00:00"/>
    <n v="3"/>
    <s v="Sep 2012"/>
  </r>
  <r>
    <x v="89"/>
    <x v="1"/>
    <d v="2012-11-15T00:00:00"/>
    <n v="4"/>
    <s v="Nov 2012"/>
  </r>
  <r>
    <x v="90"/>
    <x v="0"/>
    <d v="2012-07-03T00:00:00"/>
    <n v="100"/>
    <s v="Jul 2012"/>
  </r>
  <r>
    <x v="90"/>
    <x v="0"/>
    <d v="2012-07-10T00:00:00"/>
    <n v="100"/>
    <s v="Jul 2012"/>
  </r>
  <r>
    <x v="90"/>
    <x v="0"/>
    <d v="2012-07-17T00:00:00"/>
    <n v="100"/>
    <s v="Jul 2012"/>
  </r>
  <r>
    <x v="90"/>
    <x v="0"/>
    <d v="2012-07-28T00:00:00"/>
    <n v="100"/>
    <s v="Jul 2012"/>
  </r>
  <r>
    <x v="90"/>
    <x v="0"/>
    <d v="2012-07-31T00:00:00"/>
    <n v="100"/>
    <s v="Jul 2012"/>
  </r>
  <r>
    <x v="90"/>
    <x v="0"/>
    <d v="2012-08-21T00:00:00"/>
    <n v="100"/>
    <s v="Aug 2012"/>
  </r>
  <r>
    <x v="90"/>
    <x v="0"/>
    <d v="2012-08-28T00:00:00"/>
    <n v="100"/>
    <s v="Aug 2012"/>
  </r>
  <r>
    <x v="90"/>
    <x v="0"/>
    <d v="2012-09-04T00:00:00"/>
    <n v="100"/>
    <s v="Sep 2012"/>
  </r>
  <r>
    <x v="90"/>
    <x v="1"/>
    <d v="2012-09-13T00:00:00"/>
    <n v="1"/>
    <s v="Sep 2012"/>
  </r>
  <r>
    <x v="90"/>
    <x v="1"/>
    <d v="2012-10-26T00:00:00"/>
    <n v="1"/>
    <s v="Oct 2012"/>
  </r>
  <r>
    <x v="91"/>
    <x v="0"/>
    <d v="2012-07-02T00:00:00"/>
    <n v="600"/>
    <s v="Jul 2012"/>
  </r>
  <r>
    <x v="91"/>
    <x v="0"/>
    <d v="2012-07-04T00:00:00"/>
    <n v="600"/>
    <s v="Jul 2012"/>
  </r>
  <r>
    <x v="91"/>
    <x v="0"/>
    <d v="2012-07-06T00:00:00"/>
    <n v="700"/>
    <s v="Jul 2012"/>
  </r>
  <r>
    <x v="91"/>
    <x v="0"/>
    <d v="2012-07-09T00:00:00"/>
    <n v="700"/>
    <s v="Jul 2012"/>
  </r>
  <r>
    <x v="91"/>
    <x v="0"/>
    <d v="2012-07-11T00:00:00"/>
    <n v="700"/>
    <s v="Jul 2012"/>
  </r>
  <r>
    <x v="91"/>
    <x v="0"/>
    <d v="2012-07-13T00:00:00"/>
    <n v="700"/>
    <s v="Jul 2012"/>
  </r>
  <r>
    <x v="91"/>
    <x v="0"/>
    <d v="2012-07-16T00:00:00"/>
    <n v="700"/>
    <s v="Jul 2012"/>
  </r>
  <r>
    <x v="91"/>
    <x v="0"/>
    <d v="2012-07-18T00:00:00"/>
    <n v="700"/>
    <s v="Jul 2012"/>
  </r>
  <r>
    <x v="91"/>
    <x v="0"/>
    <d v="2012-07-20T00:00:00"/>
    <n v="700"/>
    <s v="Jul 2012"/>
  </r>
  <r>
    <x v="91"/>
    <x v="0"/>
    <d v="2012-07-23T00:00:00"/>
    <n v="700"/>
    <s v="Jul 2012"/>
  </r>
  <r>
    <x v="91"/>
    <x v="0"/>
    <d v="2012-07-25T00:00:00"/>
    <n v="700"/>
    <s v="Jul 2012"/>
  </r>
  <r>
    <x v="91"/>
    <x v="0"/>
    <d v="2012-07-26T00:00:00"/>
    <n v="700"/>
    <s v="Jul 2012"/>
  </r>
  <r>
    <x v="91"/>
    <x v="0"/>
    <d v="2012-07-30T00:00:00"/>
    <n v="700"/>
    <s v="Jul 2012"/>
  </r>
  <r>
    <x v="91"/>
    <x v="0"/>
    <d v="2012-08-01T00:00:00"/>
    <n v="700"/>
    <s v="Aug 2012"/>
  </r>
  <r>
    <x v="91"/>
    <x v="0"/>
    <d v="2012-08-03T00:00:00"/>
    <n v="700"/>
    <s v="Aug 2012"/>
  </r>
  <r>
    <x v="91"/>
    <x v="0"/>
    <d v="2012-08-06T00:00:00"/>
    <n v="700"/>
    <s v="Aug 2012"/>
  </r>
  <r>
    <x v="91"/>
    <x v="0"/>
    <d v="2012-08-08T00:00:00"/>
    <n v="700"/>
    <s v="Aug 2012"/>
  </r>
  <r>
    <x v="91"/>
    <x v="0"/>
    <d v="2012-08-10T00:00:00"/>
    <n v="700"/>
    <s v="Aug 2012"/>
  </r>
  <r>
    <x v="91"/>
    <x v="0"/>
    <d v="2012-08-13T00:00:00"/>
    <n v="700"/>
    <s v="Aug 2012"/>
  </r>
  <r>
    <x v="91"/>
    <x v="0"/>
    <d v="2012-08-15T00:00:00"/>
    <n v="700"/>
    <s v="Aug 2012"/>
  </r>
  <r>
    <x v="91"/>
    <x v="0"/>
    <d v="2012-08-16T00:00:00"/>
    <n v="700"/>
    <s v="Aug 2012"/>
  </r>
  <r>
    <x v="91"/>
    <x v="0"/>
    <d v="2012-08-20T00:00:00"/>
    <n v="700"/>
    <s v="Aug 2012"/>
  </r>
  <r>
    <x v="91"/>
    <x v="0"/>
    <d v="2012-08-22T00:00:00"/>
    <n v="700"/>
    <s v="Aug 2012"/>
  </r>
  <r>
    <x v="91"/>
    <x v="0"/>
    <d v="2012-08-24T00:00:00"/>
    <n v="700"/>
    <s v="Aug 2012"/>
  </r>
  <r>
    <x v="91"/>
    <x v="0"/>
    <d v="2012-08-27T00:00:00"/>
    <n v="700"/>
    <s v="Aug 2012"/>
  </r>
  <r>
    <x v="91"/>
    <x v="0"/>
    <d v="2012-08-29T00:00:00"/>
    <n v="700"/>
    <s v="Aug 2012"/>
  </r>
  <r>
    <x v="91"/>
    <x v="0"/>
    <d v="2012-08-31T00:00:00"/>
    <n v="700"/>
    <s v="Aug 2012"/>
  </r>
  <r>
    <x v="91"/>
    <x v="0"/>
    <d v="2012-09-03T00:00:00"/>
    <n v="700"/>
    <s v="Sep 2012"/>
  </r>
  <r>
    <x v="91"/>
    <x v="0"/>
    <d v="2012-09-05T00:00:00"/>
    <n v="700"/>
    <s v="Sep 2012"/>
  </r>
  <r>
    <x v="91"/>
    <x v="1"/>
    <d v="2012-09-12T00:00:00"/>
    <n v="2"/>
    <s v="Sep 2012"/>
  </r>
  <r>
    <x v="91"/>
    <x v="1"/>
    <d v="2012-10-10T00:00:00"/>
    <n v="3"/>
    <s v="Oct 2012"/>
  </r>
  <r>
    <x v="91"/>
    <x v="1"/>
    <d v="2012-11-14T00:00:00"/>
    <n v="3"/>
    <s v="Nov 2012"/>
  </r>
  <r>
    <x v="92"/>
    <x v="0"/>
    <d v="2012-07-02T00:00:00"/>
    <n v="20000"/>
    <s v="Jul 2012"/>
  </r>
  <r>
    <x v="92"/>
    <x v="0"/>
    <d v="2012-07-20T00:00:00"/>
    <n v="20000"/>
    <s v="Jul 2012"/>
  </r>
  <r>
    <x v="92"/>
    <x v="0"/>
    <d v="2012-08-15T00:00:00"/>
    <n v="20000"/>
    <s v="Aug 2012"/>
  </r>
  <r>
    <x v="92"/>
    <x v="0"/>
    <d v="2012-08-17T00:00:00"/>
    <n v="20000"/>
    <s v="Aug 2012"/>
  </r>
  <r>
    <x v="92"/>
    <x v="0"/>
    <d v="2012-08-22T00:00:00"/>
    <n v="20000"/>
    <s v="Aug 2012"/>
  </r>
  <r>
    <x v="92"/>
    <x v="0"/>
    <d v="2012-08-29T00:00:00"/>
    <n v="20000"/>
    <s v="Aug 2012"/>
  </r>
  <r>
    <x v="93"/>
    <x v="0"/>
    <d v="2012-07-02T00:00:00"/>
    <n v="4200"/>
    <s v="Jul 2012"/>
  </r>
  <r>
    <x v="93"/>
    <x v="0"/>
    <d v="2012-07-06T00:00:00"/>
    <n v="4200"/>
    <s v="Jul 2012"/>
  </r>
  <r>
    <x v="93"/>
    <x v="0"/>
    <d v="2012-07-11T00:00:00"/>
    <n v="4800"/>
    <s v="Jul 2012"/>
  </r>
  <r>
    <x v="93"/>
    <x v="0"/>
    <d v="2012-07-13T00:00:00"/>
    <n v="4800"/>
    <s v="Jul 2012"/>
  </r>
  <r>
    <x v="93"/>
    <x v="0"/>
    <d v="2012-07-16T00:00:00"/>
    <n v="4800"/>
    <s v="Jul 2012"/>
  </r>
  <r>
    <x v="93"/>
    <x v="0"/>
    <d v="2012-07-18T00:00:00"/>
    <n v="4800"/>
    <s v="Jul 2012"/>
  </r>
  <r>
    <x v="93"/>
    <x v="0"/>
    <d v="2012-07-20T00:00:00"/>
    <n v="5800"/>
    <s v="Jul 2012"/>
  </r>
  <r>
    <x v="93"/>
    <x v="0"/>
    <d v="2012-07-23T00:00:00"/>
    <n v="5800"/>
    <s v="Jul 2012"/>
  </r>
  <r>
    <x v="93"/>
    <x v="0"/>
    <d v="2012-07-25T00:00:00"/>
    <n v="5800"/>
    <s v="Jul 2012"/>
  </r>
  <r>
    <x v="93"/>
    <x v="0"/>
    <d v="2012-07-27T00:00:00"/>
    <n v="5800"/>
    <s v="Jul 2012"/>
  </r>
  <r>
    <x v="93"/>
    <x v="0"/>
    <d v="2012-07-30T00:00:00"/>
    <n v="5800"/>
    <s v="Jul 2012"/>
  </r>
  <r>
    <x v="93"/>
    <x v="0"/>
    <d v="2012-08-01T00:00:00"/>
    <n v="5800"/>
    <s v="Aug 2012"/>
  </r>
  <r>
    <x v="93"/>
    <x v="0"/>
    <d v="2012-08-03T00:00:00"/>
    <n v="6400"/>
    <s v="Aug 2012"/>
  </r>
  <r>
    <x v="93"/>
    <x v="0"/>
    <d v="2012-08-06T00:00:00"/>
    <n v="6400"/>
    <s v="Aug 2012"/>
  </r>
  <r>
    <x v="93"/>
    <x v="0"/>
    <d v="2012-08-08T00:00:00"/>
    <n v="6400"/>
    <s v="Aug 2012"/>
  </r>
  <r>
    <x v="93"/>
    <x v="0"/>
    <d v="2012-08-10T00:00:00"/>
    <n v="6400"/>
    <s v="Aug 2012"/>
  </r>
  <r>
    <x v="93"/>
    <x v="0"/>
    <d v="2012-08-13T00:00:00"/>
    <n v="6400"/>
    <s v="Aug 2012"/>
  </r>
  <r>
    <x v="93"/>
    <x v="0"/>
    <d v="2012-08-15T00:00:00"/>
    <n v="6400"/>
    <s v="Aug 2012"/>
  </r>
  <r>
    <x v="93"/>
    <x v="0"/>
    <d v="2012-08-17T00:00:00"/>
    <n v="6400"/>
    <s v="Aug 2012"/>
  </r>
  <r>
    <x v="93"/>
    <x v="0"/>
    <d v="2012-08-20T00:00:00"/>
    <n v="6400"/>
    <s v="Aug 2012"/>
  </r>
  <r>
    <x v="93"/>
    <x v="0"/>
    <d v="2012-08-22T00:00:00"/>
    <n v="6400"/>
    <s v="Aug 2012"/>
  </r>
  <r>
    <x v="93"/>
    <x v="0"/>
    <d v="2012-08-24T00:00:00"/>
    <n v="6400"/>
    <s v="Aug 2012"/>
  </r>
  <r>
    <x v="93"/>
    <x v="0"/>
    <d v="2012-08-27T00:00:00"/>
    <n v="6400"/>
    <s v="Aug 2012"/>
  </r>
  <r>
    <x v="93"/>
    <x v="0"/>
    <d v="2012-08-29T00:00:00"/>
    <n v="6400"/>
    <s v="Aug 2012"/>
  </r>
  <r>
    <x v="93"/>
    <x v="0"/>
    <d v="2012-08-31T00:00:00"/>
    <n v="6400"/>
    <s v="Aug 2012"/>
  </r>
  <r>
    <x v="93"/>
    <x v="0"/>
    <d v="2012-09-03T00:00:00"/>
    <n v="6400"/>
    <s v="Sep 2012"/>
  </r>
  <r>
    <x v="93"/>
    <x v="0"/>
    <d v="2012-09-05T00:00:00"/>
    <n v="6400"/>
    <s v="Sep 2012"/>
  </r>
  <r>
    <x v="93"/>
    <x v="1"/>
    <d v="2012-09-12T00:00:00"/>
    <n v="10"/>
    <s v="Sep 2012"/>
  </r>
  <r>
    <x v="93"/>
    <x v="1"/>
    <d v="2012-11-14T00:00:00"/>
    <n v="1"/>
    <s v="Nov 2012"/>
  </r>
  <r>
    <x v="94"/>
    <x v="0"/>
    <d v="2012-08-04T00:00:00"/>
    <n v="3000"/>
    <s v="Aug 2012"/>
  </r>
  <r>
    <x v="94"/>
    <x v="0"/>
    <d v="2012-08-07T00:00:00"/>
    <n v="3000"/>
    <s v="Aug 2012"/>
  </r>
  <r>
    <x v="94"/>
    <x v="0"/>
    <d v="2012-08-09T00:00:00"/>
    <n v="3000"/>
    <s v="Aug 2012"/>
  </r>
  <r>
    <x v="94"/>
    <x v="0"/>
    <d v="2012-08-11T00:00:00"/>
    <n v="3000"/>
    <s v="Aug 2012"/>
  </r>
  <r>
    <x v="94"/>
    <x v="0"/>
    <d v="2012-08-14T00:00:00"/>
    <n v="3000"/>
    <s v="Aug 2012"/>
  </r>
  <r>
    <x v="94"/>
    <x v="0"/>
    <d v="2012-08-16T00:00:00"/>
    <n v="3000"/>
    <s v="Aug 2012"/>
  </r>
  <r>
    <x v="94"/>
    <x v="0"/>
    <d v="2012-08-18T00:00:00"/>
    <n v="3600"/>
    <s v="Aug 2012"/>
  </r>
  <r>
    <x v="94"/>
    <x v="0"/>
    <d v="2012-08-21T00:00:00"/>
    <n v="3600"/>
    <s v="Aug 2012"/>
  </r>
  <r>
    <x v="94"/>
    <x v="0"/>
    <d v="2012-08-23T00:00:00"/>
    <n v="3600"/>
    <s v="Aug 2012"/>
  </r>
  <r>
    <x v="95"/>
    <x v="0"/>
    <d v="2012-07-07T00:00:00"/>
    <n v="1200"/>
    <s v="Jul 2012"/>
  </r>
  <r>
    <x v="95"/>
    <x v="0"/>
    <d v="2012-07-10T00:00:00"/>
    <n v="1200"/>
    <s v="Jul 2012"/>
  </r>
  <r>
    <x v="95"/>
    <x v="0"/>
    <d v="2012-07-12T00:00:00"/>
    <n v="1200"/>
    <s v="Jul 2012"/>
  </r>
  <r>
    <x v="95"/>
    <x v="0"/>
    <d v="2012-07-14T00:00:00"/>
    <n v="1200"/>
    <s v="Jul 2012"/>
  </r>
  <r>
    <x v="95"/>
    <x v="0"/>
    <d v="2012-07-17T00:00:00"/>
    <n v="1200"/>
    <s v="Jul 2012"/>
  </r>
  <r>
    <x v="95"/>
    <x v="0"/>
    <d v="2012-07-19T00:00:00"/>
    <n v="1200"/>
    <s v="Jul 2012"/>
  </r>
  <r>
    <x v="95"/>
    <x v="0"/>
    <d v="2012-07-21T00:00:00"/>
    <n v="1200"/>
    <s v="Jul 2012"/>
  </r>
  <r>
    <x v="95"/>
    <x v="0"/>
    <d v="2012-07-24T00:00:00"/>
    <n v="1200"/>
    <s v="Jul 2012"/>
  </r>
  <r>
    <x v="95"/>
    <x v="0"/>
    <d v="2012-07-26T00:00:00"/>
    <n v="1200"/>
    <s v="Jul 2012"/>
  </r>
  <r>
    <x v="95"/>
    <x v="0"/>
    <d v="2012-07-28T00:00:00"/>
    <n v="1200"/>
    <s v="Jul 2012"/>
  </r>
  <r>
    <x v="95"/>
    <x v="0"/>
    <d v="2012-07-31T00:00:00"/>
    <n v="1200"/>
    <s v="Jul 2012"/>
  </r>
  <r>
    <x v="95"/>
    <x v="0"/>
    <d v="2012-08-02T00:00:00"/>
    <n v="1200"/>
    <s v="Aug 2012"/>
  </r>
  <r>
    <x v="95"/>
    <x v="0"/>
    <d v="2012-08-04T00:00:00"/>
    <n v="1200"/>
    <s v="Aug 2012"/>
  </r>
  <r>
    <x v="95"/>
    <x v="0"/>
    <d v="2012-08-07T00:00:00"/>
    <n v="1200"/>
    <s v="Aug 2012"/>
  </r>
  <r>
    <x v="95"/>
    <x v="0"/>
    <d v="2012-08-09T00:00:00"/>
    <n v="1200"/>
    <s v="Aug 2012"/>
  </r>
  <r>
    <x v="95"/>
    <x v="0"/>
    <d v="2012-08-11T00:00:00"/>
    <n v="1200"/>
    <s v="Aug 2012"/>
  </r>
  <r>
    <x v="95"/>
    <x v="0"/>
    <d v="2012-08-14T00:00:00"/>
    <n v="1200"/>
    <s v="Aug 2012"/>
  </r>
  <r>
    <x v="95"/>
    <x v="0"/>
    <d v="2012-08-16T00:00:00"/>
    <n v="1200"/>
    <s v="Aug 2012"/>
  </r>
  <r>
    <x v="95"/>
    <x v="0"/>
    <d v="2012-08-18T00:00:00"/>
    <n v="1700"/>
    <s v="Aug 2012"/>
  </r>
  <r>
    <x v="95"/>
    <x v="0"/>
    <d v="2012-08-21T00:00:00"/>
    <n v="1700"/>
    <s v="Aug 2012"/>
  </r>
  <r>
    <x v="95"/>
    <x v="0"/>
    <d v="2012-08-23T00:00:00"/>
    <n v="1700"/>
    <s v="Aug 2012"/>
  </r>
  <r>
    <x v="95"/>
    <x v="0"/>
    <d v="2012-08-25T00:00:00"/>
    <n v="1700"/>
    <s v="Aug 2012"/>
  </r>
  <r>
    <x v="95"/>
    <x v="0"/>
    <d v="2012-08-28T00:00:00"/>
    <n v="1700"/>
    <s v="Aug 2012"/>
  </r>
  <r>
    <x v="95"/>
    <x v="0"/>
    <d v="2012-08-30T00:00:00"/>
    <n v="1700"/>
    <s v="Aug 2012"/>
  </r>
  <r>
    <x v="95"/>
    <x v="0"/>
    <d v="2012-09-01T00:00:00"/>
    <n v="1700"/>
    <s v="Sep 2012"/>
  </r>
  <r>
    <x v="95"/>
    <x v="0"/>
    <d v="2012-09-04T00:00:00"/>
    <n v="1700"/>
    <s v="Sep 2012"/>
  </r>
  <r>
    <x v="95"/>
    <x v="0"/>
    <d v="2012-09-06T00:00:00"/>
    <n v="1700"/>
    <s v="Sep 2012"/>
  </r>
  <r>
    <x v="95"/>
    <x v="1"/>
    <d v="2012-09-13T00:00:00"/>
    <n v="4"/>
    <s v="Sep 2012"/>
  </r>
  <r>
    <x v="95"/>
    <x v="1"/>
    <d v="2012-11-10T00:00:00"/>
    <n v="1"/>
    <s v="Nov 2012"/>
  </r>
  <r>
    <x v="95"/>
    <x v="1"/>
    <d v="2012-11-15T00:00:00"/>
    <n v="1"/>
    <s v="Nov 2012"/>
  </r>
  <r>
    <x v="96"/>
    <x v="0"/>
    <d v="2012-08-03T00:00:00"/>
    <n v="1400"/>
    <s v="Aug 2012"/>
  </r>
  <r>
    <x v="96"/>
    <x v="0"/>
    <d v="2012-08-10T00:00:00"/>
    <n v="1400"/>
    <s v="Aug 2012"/>
  </r>
  <r>
    <x v="96"/>
    <x v="0"/>
    <d v="2012-08-18T00:00:00"/>
    <n v="1400"/>
    <s v="Aug 2012"/>
  </r>
  <r>
    <x v="96"/>
    <x v="0"/>
    <d v="2012-08-31T00:00:00"/>
    <n v="1000"/>
    <s v="Aug 2012"/>
  </r>
  <r>
    <x v="96"/>
    <x v="0"/>
    <d v="2012-09-03T00:00:00"/>
    <n v="1000"/>
    <s v="Sep 2012"/>
  </r>
  <r>
    <x v="96"/>
    <x v="0"/>
    <d v="2012-09-05T00:00:00"/>
    <n v="1000"/>
    <s v="Sep 2012"/>
  </r>
  <r>
    <x v="96"/>
    <x v="1"/>
    <d v="2012-09-12T00:00:00"/>
    <n v="3"/>
    <s v="Sep 2012"/>
  </r>
  <r>
    <x v="96"/>
    <x v="1"/>
    <d v="2012-10-10T00:00:00"/>
    <n v="3"/>
    <s v="Oct 2012"/>
  </r>
  <r>
    <x v="97"/>
    <x v="0"/>
    <d v="2012-07-05T00:00:00"/>
    <n v="20000"/>
    <s v="Jul 2012"/>
  </r>
  <r>
    <x v="97"/>
    <x v="0"/>
    <d v="2012-07-07T00:00:00"/>
    <n v="20000"/>
    <s v="Jul 2012"/>
  </r>
  <r>
    <x v="97"/>
    <x v="0"/>
    <d v="2012-07-10T00:00:00"/>
    <n v="20000"/>
    <s v="Jul 2012"/>
  </r>
  <r>
    <x v="97"/>
    <x v="0"/>
    <d v="2012-07-12T00:00:00"/>
    <n v="20000"/>
    <s v="Jul 2012"/>
  </r>
  <r>
    <x v="97"/>
    <x v="0"/>
    <d v="2012-07-14T00:00:00"/>
    <n v="20000"/>
    <s v="Jul 2012"/>
  </r>
  <r>
    <x v="97"/>
    <x v="0"/>
    <d v="2012-07-18T00:00:00"/>
    <n v="20000"/>
    <s v="Jul 2012"/>
  </r>
  <r>
    <x v="97"/>
    <x v="0"/>
    <d v="2012-07-19T00:00:00"/>
    <n v="20000"/>
    <s v="Jul 2012"/>
  </r>
  <r>
    <x v="97"/>
    <x v="0"/>
    <d v="2012-07-21T00:00:00"/>
    <n v="20000"/>
    <s v="Jul 2012"/>
  </r>
  <r>
    <x v="97"/>
    <x v="0"/>
    <d v="2012-07-25T00:00:00"/>
    <n v="20000"/>
    <s v="Jul 2012"/>
  </r>
  <r>
    <x v="97"/>
    <x v="0"/>
    <d v="2012-07-28T00:00:00"/>
    <n v="20000"/>
    <s v="Jul 2012"/>
  </r>
  <r>
    <x v="97"/>
    <x v="0"/>
    <d v="2012-08-02T00:00:00"/>
    <n v="20000"/>
    <s v="Aug 2012"/>
  </r>
  <r>
    <x v="97"/>
    <x v="0"/>
    <d v="2012-08-04T00:00:00"/>
    <n v="20000"/>
    <s v="Aug 2012"/>
  </r>
  <r>
    <x v="97"/>
    <x v="0"/>
    <d v="2012-08-07T00:00:00"/>
    <n v="20000"/>
    <s v="Aug 2012"/>
  </r>
  <r>
    <x v="97"/>
    <x v="0"/>
    <d v="2012-08-09T00:00:00"/>
    <n v="20000"/>
    <s v="Aug 2012"/>
  </r>
  <r>
    <x v="97"/>
    <x v="0"/>
    <d v="2012-08-11T00:00:00"/>
    <n v="20000"/>
    <s v="Aug 2012"/>
  </r>
  <r>
    <x v="97"/>
    <x v="0"/>
    <d v="2012-08-14T00:00:00"/>
    <n v="20000"/>
    <s v="Aug 2012"/>
  </r>
  <r>
    <x v="97"/>
    <x v="0"/>
    <d v="2012-08-16T00:00:00"/>
    <n v="20000"/>
    <s v="Aug 2012"/>
  </r>
  <r>
    <x v="97"/>
    <x v="0"/>
    <d v="2012-08-18T00:00:00"/>
    <n v="16000"/>
    <s v="Aug 2012"/>
  </r>
  <r>
    <x v="97"/>
    <x v="0"/>
    <d v="2012-08-21T00:00:00"/>
    <n v="16000"/>
    <s v="Aug 2012"/>
  </r>
  <r>
    <x v="97"/>
    <x v="0"/>
    <d v="2012-08-23T00:00:00"/>
    <n v="16000"/>
    <s v="Aug 2012"/>
  </r>
  <r>
    <x v="97"/>
    <x v="0"/>
    <d v="2012-08-28T00:00:00"/>
    <n v="16000"/>
    <s v="Aug 2012"/>
  </r>
  <r>
    <x v="97"/>
    <x v="0"/>
    <d v="2012-08-30T00:00:00"/>
    <n v="16000"/>
    <s v="Aug 2012"/>
  </r>
  <r>
    <x v="97"/>
    <x v="0"/>
    <d v="2012-09-01T00:00:00"/>
    <n v="16000"/>
    <s v="Sep 2012"/>
  </r>
  <r>
    <x v="97"/>
    <x v="0"/>
    <d v="2012-09-06T00:00:00"/>
    <n v="16000"/>
    <s v="Sep 2012"/>
  </r>
  <r>
    <x v="97"/>
    <x v="1"/>
    <d v="2012-09-27T00:00:00"/>
    <n v="3"/>
    <s v="Sep 2012"/>
  </r>
  <r>
    <x v="97"/>
    <x v="1"/>
    <d v="2012-10-11T00:00:00"/>
    <n v="3"/>
    <s v="Oct 2012"/>
  </r>
  <r>
    <x v="97"/>
    <x v="1"/>
    <d v="2012-11-15T00:00:00"/>
    <n v="5"/>
    <s v="Nov 2012"/>
  </r>
  <r>
    <x v="98"/>
    <x v="0"/>
    <d v="2012-07-02T00:00:00"/>
    <n v="2800"/>
    <s v="Jul 2012"/>
  </r>
  <r>
    <x v="98"/>
    <x v="0"/>
    <d v="2012-07-04T00:00:00"/>
    <n v="2800"/>
    <s v="Jul 2012"/>
  </r>
  <r>
    <x v="98"/>
    <x v="0"/>
    <d v="2012-07-06T00:00:00"/>
    <n v="3100"/>
    <s v="Jul 2012"/>
  </r>
  <r>
    <x v="98"/>
    <x v="0"/>
    <d v="2012-07-09T00:00:00"/>
    <n v="3100"/>
    <s v="Jul 2012"/>
  </r>
  <r>
    <x v="98"/>
    <x v="0"/>
    <d v="2012-07-11T00:00:00"/>
    <n v="3100"/>
    <s v="Jul 2012"/>
  </r>
  <r>
    <x v="98"/>
    <x v="0"/>
    <d v="2012-07-13T00:00:00"/>
    <n v="3100"/>
    <s v="Jul 2012"/>
  </r>
  <r>
    <x v="98"/>
    <x v="0"/>
    <d v="2012-07-16T00:00:00"/>
    <n v="3100"/>
    <s v="Jul 2012"/>
  </r>
  <r>
    <x v="98"/>
    <x v="0"/>
    <d v="2012-07-18T00:00:00"/>
    <n v="3100"/>
    <s v="Jul 2012"/>
  </r>
  <r>
    <x v="98"/>
    <x v="0"/>
    <d v="2012-07-20T00:00:00"/>
    <n v="3500"/>
    <s v="Jul 2012"/>
  </r>
  <r>
    <x v="98"/>
    <x v="0"/>
    <d v="2012-07-23T00:00:00"/>
    <n v="3500"/>
    <s v="Jul 2012"/>
  </r>
  <r>
    <x v="98"/>
    <x v="0"/>
    <d v="2012-07-25T00:00:00"/>
    <n v="3500"/>
    <s v="Jul 2012"/>
  </r>
  <r>
    <x v="98"/>
    <x v="0"/>
    <d v="2012-07-27T00:00:00"/>
    <n v="3500"/>
    <s v="Jul 2012"/>
  </r>
  <r>
    <x v="98"/>
    <x v="0"/>
    <d v="2012-07-30T00:00:00"/>
    <n v="3500"/>
    <s v="Jul 2012"/>
  </r>
  <r>
    <x v="98"/>
    <x v="0"/>
    <d v="2012-08-01T00:00:00"/>
    <n v="3500"/>
    <s v="Aug 2012"/>
  </r>
  <r>
    <x v="98"/>
    <x v="0"/>
    <d v="2012-08-03T00:00:00"/>
    <n v="3500"/>
    <s v="Aug 2012"/>
  </r>
  <r>
    <x v="98"/>
    <x v="0"/>
    <d v="2012-08-06T00:00:00"/>
    <n v="3500"/>
    <s v="Aug 2012"/>
  </r>
  <r>
    <x v="98"/>
    <x v="0"/>
    <d v="2012-08-08T00:00:00"/>
    <n v="3500"/>
    <s v="Aug 2012"/>
  </r>
  <r>
    <x v="98"/>
    <x v="0"/>
    <d v="2012-08-10T00:00:00"/>
    <n v="3500"/>
    <s v="Aug 2012"/>
  </r>
  <r>
    <x v="98"/>
    <x v="0"/>
    <d v="2012-08-13T00:00:00"/>
    <n v="3500"/>
    <s v="Aug 2012"/>
  </r>
  <r>
    <x v="98"/>
    <x v="0"/>
    <d v="2012-08-15T00:00:00"/>
    <n v="3500"/>
    <s v="Aug 2012"/>
  </r>
  <r>
    <x v="98"/>
    <x v="0"/>
    <d v="2012-08-17T00:00:00"/>
    <n v="3500"/>
    <s v="Aug 2012"/>
  </r>
  <r>
    <x v="98"/>
    <x v="0"/>
    <d v="2012-08-20T00:00:00"/>
    <n v="3500"/>
    <s v="Aug 2012"/>
  </r>
  <r>
    <x v="98"/>
    <x v="0"/>
    <d v="2012-08-22T00:00:00"/>
    <n v="3500"/>
    <s v="Aug 2012"/>
  </r>
  <r>
    <x v="98"/>
    <x v="0"/>
    <d v="2012-08-24T00:00:00"/>
    <n v="3500"/>
    <s v="Aug 2012"/>
  </r>
  <r>
    <x v="98"/>
    <x v="0"/>
    <d v="2012-08-27T00:00:00"/>
    <n v="3500"/>
    <s v="Aug 2012"/>
  </r>
  <r>
    <x v="98"/>
    <x v="0"/>
    <d v="2012-08-29T00:00:00"/>
    <n v="3500"/>
    <s v="Aug 2012"/>
  </r>
  <r>
    <x v="98"/>
    <x v="0"/>
    <d v="2012-08-31T00:00:00"/>
    <n v="3500"/>
    <s v="Aug 2012"/>
  </r>
  <r>
    <x v="98"/>
    <x v="0"/>
    <d v="2012-09-03T00:00:00"/>
    <n v="3500"/>
    <s v="Sep 2012"/>
  </r>
  <r>
    <x v="98"/>
    <x v="0"/>
    <d v="2012-09-05T00:00:00"/>
    <n v="3500"/>
    <s v="Sep 2012"/>
  </r>
  <r>
    <x v="98"/>
    <x v="1"/>
    <d v="2012-09-12T00:00:00"/>
    <n v="6"/>
    <s v="Sep 2012"/>
  </r>
  <r>
    <x v="98"/>
    <x v="1"/>
    <d v="2012-10-10T00:00:00"/>
    <n v="6"/>
    <s v="Oct 2012"/>
  </r>
  <r>
    <x v="99"/>
    <x v="0"/>
    <d v="2012-07-03T00:00:00"/>
    <n v="2500"/>
    <s v="Jul 2012"/>
  </r>
  <r>
    <x v="99"/>
    <x v="0"/>
    <d v="2012-07-05T00:00:00"/>
    <n v="2500"/>
    <s v="Jul 2012"/>
  </r>
  <r>
    <x v="99"/>
    <x v="0"/>
    <d v="2012-07-07T00:00:00"/>
    <n v="2500"/>
    <s v="Jul 2012"/>
  </r>
  <r>
    <x v="99"/>
    <x v="0"/>
    <d v="2012-07-10T00:00:00"/>
    <n v="2500"/>
    <s v="Jul 2012"/>
  </r>
  <r>
    <x v="99"/>
    <x v="0"/>
    <d v="2012-07-12T00:00:00"/>
    <n v="2500"/>
    <s v="Jul 2012"/>
  </r>
  <r>
    <x v="99"/>
    <x v="0"/>
    <d v="2012-07-14T00:00:00"/>
    <n v="2500"/>
    <s v="Jul 2012"/>
  </r>
  <r>
    <x v="99"/>
    <x v="0"/>
    <d v="2012-07-17T00:00:00"/>
    <n v="2500"/>
    <s v="Jul 2012"/>
  </r>
  <r>
    <x v="99"/>
    <x v="0"/>
    <d v="2012-07-19T00:00:00"/>
    <n v="2500"/>
    <s v="Jul 2012"/>
  </r>
  <r>
    <x v="99"/>
    <x v="0"/>
    <d v="2012-07-21T00:00:00"/>
    <n v="2500"/>
    <s v="Jul 2012"/>
  </r>
  <r>
    <x v="99"/>
    <x v="0"/>
    <d v="2012-07-31T00:00:00"/>
    <n v="2500"/>
    <s v="Jul 2012"/>
  </r>
  <r>
    <x v="99"/>
    <x v="0"/>
    <d v="2012-08-02T00:00:00"/>
    <n v="2500"/>
    <s v="Aug 2012"/>
  </r>
  <r>
    <x v="99"/>
    <x v="0"/>
    <d v="2012-08-07T00:00:00"/>
    <n v="2500"/>
    <s v="Aug 2012"/>
  </r>
  <r>
    <x v="99"/>
    <x v="0"/>
    <d v="2012-08-09T00:00:00"/>
    <n v="2500"/>
    <s v="Aug 2012"/>
  </r>
  <r>
    <x v="99"/>
    <x v="0"/>
    <d v="2012-08-11T00:00:00"/>
    <n v="3300"/>
    <s v="Aug 2012"/>
  </r>
  <r>
    <x v="99"/>
    <x v="0"/>
    <d v="2012-08-14T00:00:00"/>
    <n v="3300"/>
    <s v="Aug 2012"/>
  </r>
  <r>
    <x v="99"/>
    <x v="0"/>
    <d v="2012-08-16T00:00:00"/>
    <n v="3300"/>
    <s v="Aug 2012"/>
  </r>
  <r>
    <x v="99"/>
    <x v="0"/>
    <d v="2012-08-21T00:00:00"/>
    <n v="3300"/>
    <s v="Aug 2012"/>
  </r>
  <r>
    <x v="99"/>
    <x v="0"/>
    <d v="2012-08-25T00:00:00"/>
    <n v="3300"/>
    <s v="Aug 2012"/>
  </r>
  <r>
    <x v="99"/>
    <x v="0"/>
    <d v="2012-08-28T00:00:00"/>
    <n v="3300"/>
    <s v="Aug 2012"/>
  </r>
  <r>
    <x v="99"/>
    <x v="0"/>
    <d v="2012-09-01T00:00:00"/>
    <n v="3300"/>
    <s v="Sep 2012"/>
  </r>
  <r>
    <x v="99"/>
    <x v="0"/>
    <d v="2012-09-04T00:00:00"/>
    <n v="3300"/>
    <s v="Sep 2012"/>
  </r>
  <r>
    <x v="99"/>
    <x v="0"/>
    <d v="2012-09-06T00:00:00"/>
    <n v="4300"/>
    <s v="Sep 2012"/>
  </r>
  <r>
    <x v="99"/>
    <x v="1"/>
    <d v="2012-09-13T00:00:00"/>
    <n v="6"/>
    <s v="Sep 2012"/>
  </r>
  <r>
    <x v="99"/>
    <x v="1"/>
    <d v="2012-10-11T00:00:00"/>
    <n v="6"/>
    <s v="Oct 2012"/>
  </r>
  <r>
    <x v="99"/>
    <x v="1"/>
    <d v="2012-11-15T00:00:00"/>
    <n v="5"/>
    <s v="Nov 2012"/>
  </r>
  <r>
    <x v="100"/>
    <x v="0"/>
    <d v="2012-07-03T00:00:00"/>
    <n v="700"/>
    <s v="Jul 2012"/>
  </r>
  <r>
    <x v="100"/>
    <x v="0"/>
    <d v="2012-07-06T00:00:00"/>
    <n v="800"/>
    <s v="Jul 2012"/>
  </r>
  <r>
    <x v="100"/>
    <x v="0"/>
    <d v="2012-07-10T00:00:00"/>
    <n v="800"/>
    <s v="Jul 2012"/>
  </r>
  <r>
    <x v="100"/>
    <x v="0"/>
    <d v="2012-07-13T00:00:00"/>
    <n v="800"/>
    <s v="Jul 2012"/>
  </r>
  <r>
    <x v="100"/>
    <x v="0"/>
    <d v="2012-07-17T00:00:00"/>
    <n v="800"/>
    <s v="Jul 2012"/>
  </r>
  <r>
    <x v="100"/>
    <x v="0"/>
    <d v="2012-07-20T00:00:00"/>
    <n v="900"/>
    <s v="Jul 2012"/>
  </r>
  <r>
    <x v="100"/>
    <x v="0"/>
    <d v="2012-07-24T00:00:00"/>
    <n v="900"/>
    <s v="Jul 2012"/>
  </r>
  <r>
    <x v="100"/>
    <x v="0"/>
    <d v="2012-07-28T00:00:00"/>
    <n v="900"/>
    <s v="Jul 2012"/>
  </r>
  <r>
    <x v="100"/>
    <x v="0"/>
    <d v="2012-07-31T00:00:00"/>
    <n v="900"/>
    <s v="Jul 2012"/>
  </r>
  <r>
    <x v="100"/>
    <x v="0"/>
    <d v="2012-08-03T00:00:00"/>
    <n v="900"/>
    <s v="Aug 2012"/>
  </r>
  <r>
    <x v="100"/>
    <x v="0"/>
    <d v="2012-08-07T00:00:00"/>
    <n v="900"/>
    <s v="Aug 2012"/>
  </r>
  <r>
    <x v="100"/>
    <x v="0"/>
    <d v="2012-08-10T00:00:00"/>
    <n v="900"/>
    <s v="Aug 2012"/>
  </r>
  <r>
    <x v="100"/>
    <x v="0"/>
    <d v="2012-08-14T00:00:00"/>
    <n v="900"/>
    <s v="Aug 2012"/>
  </r>
  <r>
    <x v="100"/>
    <x v="0"/>
    <d v="2012-08-17T00:00:00"/>
    <n v="1200"/>
    <s v="Aug 2012"/>
  </r>
  <r>
    <x v="100"/>
    <x v="0"/>
    <d v="2012-08-21T00:00:00"/>
    <n v="1200"/>
    <s v="Aug 2012"/>
  </r>
  <r>
    <x v="100"/>
    <x v="0"/>
    <d v="2012-08-25T00:00:00"/>
    <n v="1200"/>
    <s v="Aug 2012"/>
  </r>
  <r>
    <x v="100"/>
    <x v="0"/>
    <d v="2012-08-28T00:00:00"/>
    <n v="1200"/>
    <s v="Aug 2012"/>
  </r>
  <r>
    <x v="100"/>
    <x v="0"/>
    <d v="2012-09-01T00:00:00"/>
    <n v="2400"/>
    <s v="Sep 2012"/>
  </r>
  <r>
    <x v="100"/>
    <x v="0"/>
    <d v="2012-09-04T00:00:00"/>
    <n v="2400"/>
    <s v="Sep 2012"/>
  </r>
  <r>
    <x v="100"/>
    <x v="1"/>
    <d v="2012-09-14T00:00:00"/>
    <n v="4"/>
    <s v="Sep 2012"/>
  </r>
  <r>
    <x v="100"/>
    <x v="1"/>
    <d v="2012-10-13T00:00:00"/>
    <n v="3"/>
    <s v="Oct 2012"/>
  </r>
  <r>
    <x v="100"/>
    <x v="1"/>
    <d v="2012-11-16T00:00:00"/>
    <n v="3"/>
    <s v="Nov 2012"/>
  </r>
  <r>
    <x v="101"/>
    <x v="0"/>
    <d v="2012-11-30T00:00:00"/>
    <n v="4900"/>
    <s v="Nov 2012"/>
  </r>
  <r>
    <x v="102"/>
    <x v="0"/>
    <d v="2012-07-02T00:00:00"/>
    <n v="400"/>
    <s v="Jul 2012"/>
  </r>
  <r>
    <x v="102"/>
    <x v="0"/>
    <d v="2012-07-04T00:00:00"/>
    <n v="400"/>
    <s v="Jul 2012"/>
  </r>
  <r>
    <x v="103"/>
    <x v="0"/>
    <d v="2012-07-03T00:00:00"/>
    <n v="1000"/>
    <s v="Jul 2012"/>
  </r>
  <r>
    <x v="103"/>
    <x v="0"/>
    <d v="2012-07-05T00:00:00"/>
    <n v="1000"/>
    <s v="Jul 2012"/>
  </r>
  <r>
    <x v="103"/>
    <x v="0"/>
    <d v="2012-07-07T00:00:00"/>
    <n v="1000"/>
    <s v="Jul 2012"/>
  </r>
  <r>
    <x v="103"/>
    <x v="0"/>
    <d v="2012-07-10T00:00:00"/>
    <n v="1000"/>
    <s v="Jul 2012"/>
  </r>
  <r>
    <x v="103"/>
    <x v="0"/>
    <d v="2012-07-12T00:00:00"/>
    <n v="1000"/>
    <s v="Jul 2012"/>
  </r>
  <r>
    <x v="103"/>
    <x v="0"/>
    <d v="2012-07-14T00:00:00"/>
    <n v="1000"/>
    <s v="Jul 2012"/>
  </r>
  <r>
    <x v="103"/>
    <x v="0"/>
    <d v="2012-07-17T00:00:00"/>
    <n v="1000"/>
    <s v="Jul 2012"/>
  </r>
  <r>
    <x v="103"/>
    <x v="0"/>
    <d v="2012-07-19T00:00:00"/>
    <n v="1000"/>
    <s v="Jul 2012"/>
  </r>
  <r>
    <x v="103"/>
    <x v="0"/>
    <d v="2012-07-21T00:00:00"/>
    <n v="1000"/>
    <s v="Jul 2012"/>
  </r>
  <r>
    <x v="103"/>
    <x v="0"/>
    <d v="2012-07-24T00:00:00"/>
    <n v="1000"/>
    <s v="Jul 2012"/>
  </r>
  <r>
    <x v="103"/>
    <x v="0"/>
    <d v="2012-07-26T00:00:00"/>
    <n v="1000"/>
    <s v="Jul 2012"/>
  </r>
  <r>
    <x v="103"/>
    <x v="0"/>
    <d v="2012-07-28T00:00:00"/>
    <n v="1000"/>
    <s v="Jul 2012"/>
  </r>
  <r>
    <x v="103"/>
    <x v="0"/>
    <d v="2012-07-31T00:00:00"/>
    <n v="1000"/>
    <s v="Jul 2012"/>
  </r>
  <r>
    <x v="103"/>
    <x v="0"/>
    <d v="2012-08-02T00:00:00"/>
    <n v="1000"/>
    <s v="Aug 2012"/>
  </r>
  <r>
    <x v="103"/>
    <x v="0"/>
    <d v="2012-08-18T00:00:00"/>
    <n v="1000"/>
    <s v="Aug 2012"/>
  </r>
  <r>
    <x v="103"/>
    <x v="0"/>
    <d v="2012-08-21T00:00:00"/>
    <n v="1000"/>
    <s v="Aug 2012"/>
  </r>
  <r>
    <x v="103"/>
    <x v="0"/>
    <d v="2012-08-23T00:00:00"/>
    <n v="1000"/>
    <s v="Aug 2012"/>
  </r>
  <r>
    <x v="103"/>
    <x v="0"/>
    <d v="2012-08-25T00:00:00"/>
    <n v="1000"/>
    <s v="Aug 2012"/>
  </r>
  <r>
    <x v="103"/>
    <x v="0"/>
    <d v="2012-08-28T00:00:00"/>
    <n v="1000"/>
    <s v="Aug 2012"/>
  </r>
  <r>
    <x v="103"/>
    <x v="0"/>
    <d v="2012-08-30T00:00:00"/>
    <n v="1000"/>
    <s v="Aug 2012"/>
  </r>
  <r>
    <x v="103"/>
    <x v="0"/>
    <d v="2012-09-01T00:00:00"/>
    <n v="1000"/>
    <s v="Sep 2012"/>
  </r>
  <r>
    <x v="103"/>
    <x v="0"/>
    <d v="2012-09-04T00:00:00"/>
    <n v="1000"/>
    <s v="Sep 2012"/>
  </r>
  <r>
    <x v="103"/>
    <x v="0"/>
    <d v="2012-09-06T00:00:00"/>
    <n v="1200"/>
    <s v="Sep 2012"/>
  </r>
  <r>
    <x v="103"/>
    <x v="1"/>
    <d v="2012-09-13T00:00:00"/>
    <n v="3"/>
    <s v="Sep 2012"/>
  </r>
  <r>
    <x v="103"/>
    <x v="1"/>
    <d v="2012-10-11T00:00:00"/>
    <n v="2"/>
    <s v="Oct 2012"/>
  </r>
  <r>
    <x v="104"/>
    <x v="0"/>
    <d v="2012-08-06T00:00:00"/>
    <n v="7300"/>
    <s v="Aug 2012"/>
  </r>
  <r>
    <x v="104"/>
    <x v="0"/>
    <d v="2012-08-08T00:00:00"/>
    <n v="7300"/>
    <s v="Aug 2012"/>
  </r>
  <r>
    <x v="104"/>
    <x v="0"/>
    <d v="2012-08-10T00:00:00"/>
    <n v="7300"/>
    <s v="Aug 2012"/>
  </r>
  <r>
    <x v="104"/>
    <x v="0"/>
    <d v="2012-08-13T00:00:00"/>
    <n v="7300"/>
    <s v="Aug 2012"/>
  </r>
  <r>
    <x v="104"/>
    <x v="0"/>
    <d v="2012-08-15T00:00:00"/>
    <n v="7300"/>
    <s v="Aug 2012"/>
  </r>
  <r>
    <x v="104"/>
    <x v="0"/>
    <d v="2012-08-29T00:00:00"/>
    <n v="7300"/>
    <s v="Aug 2012"/>
  </r>
  <r>
    <x v="104"/>
    <x v="0"/>
    <d v="2012-08-31T00:00:00"/>
    <n v="7300"/>
    <s v="Aug 2012"/>
  </r>
  <r>
    <x v="104"/>
    <x v="0"/>
    <d v="2012-09-03T00:00:00"/>
    <n v="7300"/>
    <s v="Sep 2012"/>
  </r>
  <r>
    <x v="104"/>
    <x v="0"/>
    <d v="2012-09-05T00:00:00"/>
    <n v="7300"/>
    <s v="Sep 2012"/>
  </r>
  <r>
    <x v="104"/>
    <x v="1"/>
    <d v="2012-09-12T00:00:00"/>
    <n v="10"/>
    <s v="Sep 2012"/>
  </r>
  <r>
    <x v="104"/>
    <x v="1"/>
    <d v="2012-11-10T00:00:00"/>
    <n v="13"/>
    <s v="Nov 2012"/>
  </r>
  <r>
    <x v="104"/>
    <x v="1"/>
    <d v="2012-11-15T00:00:00"/>
    <n v="13"/>
    <s v="Nov 2012"/>
  </r>
  <r>
    <x v="105"/>
    <x v="0"/>
    <d v="2012-07-02T00:00:00"/>
    <n v="5000"/>
    <s v="Jul 2012"/>
  </r>
  <r>
    <x v="105"/>
    <x v="0"/>
    <d v="2012-07-04T00:00:00"/>
    <n v="5000"/>
    <s v="Jul 2012"/>
  </r>
  <r>
    <x v="105"/>
    <x v="0"/>
    <d v="2012-07-06T00:00:00"/>
    <n v="5000"/>
    <s v="Jul 2012"/>
  </r>
  <r>
    <x v="105"/>
    <x v="0"/>
    <d v="2012-07-09T00:00:00"/>
    <n v="5000"/>
    <s v="Jul 2012"/>
  </r>
  <r>
    <x v="105"/>
    <x v="0"/>
    <d v="2012-07-11T00:00:00"/>
    <n v="5000"/>
    <s v="Jul 2012"/>
  </r>
  <r>
    <x v="105"/>
    <x v="0"/>
    <d v="2012-07-13T00:00:00"/>
    <n v="5000"/>
    <s v="Jul 2012"/>
  </r>
  <r>
    <x v="105"/>
    <x v="0"/>
    <d v="2012-07-16T00:00:00"/>
    <n v="5000"/>
    <s v="Jul 2012"/>
  </r>
  <r>
    <x v="105"/>
    <x v="0"/>
    <d v="2012-07-18T00:00:00"/>
    <n v="5000"/>
    <s v="Jul 2012"/>
  </r>
  <r>
    <x v="105"/>
    <x v="0"/>
    <d v="2012-07-20T00:00:00"/>
    <n v="5500"/>
    <s v="Jul 2012"/>
  </r>
  <r>
    <x v="105"/>
    <x v="0"/>
    <d v="2012-07-23T00:00:00"/>
    <n v="5500"/>
    <s v="Jul 2012"/>
  </r>
  <r>
    <x v="105"/>
    <x v="0"/>
    <d v="2012-07-25T00:00:00"/>
    <n v="5500"/>
    <s v="Jul 2012"/>
  </r>
  <r>
    <x v="105"/>
    <x v="0"/>
    <d v="2012-07-27T00:00:00"/>
    <n v="5500"/>
    <s v="Jul 2012"/>
  </r>
  <r>
    <x v="105"/>
    <x v="0"/>
    <d v="2012-07-30T00:00:00"/>
    <n v="5500"/>
    <s v="Jul 2012"/>
  </r>
  <r>
    <x v="105"/>
    <x v="0"/>
    <d v="2012-08-02T00:00:00"/>
    <n v="5500"/>
    <s v="Aug 2012"/>
  </r>
  <r>
    <x v="105"/>
    <x v="0"/>
    <d v="2012-08-04T00:00:00"/>
    <n v="7200"/>
    <s v="Aug 2012"/>
  </r>
  <r>
    <x v="105"/>
    <x v="0"/>
    <d v="2012-08-07T00:00:00"/>
    <n v="7200"/>
    <s v="Aug 2012"/>
  </r>
  <r>
    <x v="105"/>
    <x v="0"/>
    <d v="2012-08-09T00:00:00"/>
    <n v="7200"/>
    <s v="Aug 2012"/>
  </r>
  <r>
    <x v="105"/>
    <x v="0"/>
    <d v="2012-08-11T00:00:00"/>
    <n v="7200"/>
    <s v="Aug 2012"/>
  </r>
  <r>
    <x v="105"/>
    <x v="0"/>
    <d v="2012-08-14T00:00:00"/>
    <n v="7200"/>
    <s v="Aug 2012"/>
  </r>
  <r>
    <x v="105"/>
    <x v="0"/>
    <d v="2012-08-16T00:00:00"/>
    <n v="7200"/>
    <s v="Aug 2012"/>
  </r>
  <r>
    <x v="105"/>
    <x v="0"/>
    <d v="2012-08-18T00:00:00"/>
    <n v="8000"/>
    <s v="Aug 2012"/>
  </r>
  <r>
    <x v="105"/>
    <x v="0"/>
    <d v="2012-08-21T00:00:00"/>
    <n v="8000"/>
    <s v="Aug 2012"/>
  </r>
  <r>
    <x v="105"/>
    <x v="0"/>
    <d v="2012-08-23T00:00:00"/>
    <n v="8000"/>
    <s v="Aug 2012"/>
  </r>
  <r>
    <x v="105"/>
    <x v="0"/>
    <d v="2012-08-25T00:00:00"/>
    <n v="8000"/>
    <s v="Aug 2012"/>
  </r>
  <r>
    <x v="105"/>
    <x v="0"/>
    <d v="2012-08-28T00:00:00"/>
    <n v="8000"/>
    <s v="Aug 2012"/>
  </r>
  <r>
    <x v="105"/>
    <x v="0"/>
    <d v="2012-08-30T00:00:00"/>
    <n v="8000"/>
    <s v="Aug 2012"/>
  </r>
  <r>
    <x v="105"/>
    <x v="0"/>
    <d v="2012-09-01T00:00:00"/>
    <n v="8000"/>
    <s v="Sep 2012"/>
  </r>
  <r>
    <x v="105"/>
    <x v="0"/>
    <d v="2012-09-04T00:00:00"/>
    <n v="8000"/>
    <s v="Sep 2012"/>
  </r>
  <r>
    <x v="105"/>
    <x v="0"/>
    <d v="2012-09-06T00:00:00"/>
    <n v="8000"/>
    <s v="Sep 2012"/>
  </r>
  <r>
    <x v="105"/>
    <x v="1"/>
    <d v="2012-09-13T00:00:00"/>
    <n v="13"/>
    <s v="Sep 2012"/>
  </r>
  <r>
    <x v="105"/>
    <x v="1"/>
    <d v="2012-10-11T00:00:00"/>
    <n v="13"/>
    <s v="Oct 2012"/>
  </r>
  <r>
    <x v="105"/>
    <x v="1"/>
    <d v="2012-11-15T00:00:00"/>
    <n v="13"/>
    <s v="Nov 2012"/>
  </r>
  <r>
    <x v="106"/>
    <x v="0"/>
    <d v="2012-07-07T00:00:00"/>
    <n v="4400"/>
    <s v="Jul 2012"/>
  </r>
  <r>
    <x v="107"/>
    <x v="0"/>
    <d v="2012-07-03T00:00:00"/>
    <n v="4300"/>
    <s v="Jul 2012"/>
  </r>
  <r>
    <x v="107"/>
    <x v="0"/>
    <d v="2012-07-05T00:00:00"/>
    <n v="4300"/>
    <s v="Jul 2012"/>
  </r>
  <r>
    <x v="107"/>
    <x v="0"/>
    <d v="2012-07-07T00:00:00"/>
    <n v="4300"/>
    <s v="Jul 2012"/>
  </r>
  <r>
    <x v="107"/>
    <x v="0"/>
    <d v="2012-07-10T00:00:00"/>
    <n v="4300"/>
    <s v="Jul 2012"/>
  </r>
  <r>
    <x v="107"/>
    <x v="0"/>
    <d v="2012-07-12T00:00:00"/>
    <n v="4300"/>
    <s v="Jul 2012"/>
  </r>
  <r>
    <x v="107"/>
    <x v="0"/>
    <d v="2012-07-14T00:00:00"/>
    <n v="4300"/>
    <s v="Jul 2012"/>
  </r>
  <r>
    <x v="107"/>
    <x v="0"/>
    <d v="2012-07-17T00:00:00"/>
    <n v="4300"/>
    <s v="Jul 2012"/>
  </r>
  <r>
    <x v="107"/>
    <x v="0"/>
    <d v="2012-07-19T00:00:00"/>
    <n v="4300"/>
    <s v="Jul 2012"/>
  </r>
  <r>
    <x v="107"/>
    <x v="0"/>
    <d v="2012-07-21T00:00:00"/>
    <n v="3900"/>
    <s v="Jul 2012"/>
  </r>
  <r>
    <x v="107"/>
    <x v="0"/>
    <d v="2012-07-24T00:00:00"/>
    <n v="3900"/>
    <s v="Jul 2012"/>
  </r>
  <r>
    <x v="107"/>
    <x v="0"/>
    <d v="2012-07-26T00:00:00"/>
    <n v="3900"/>
    <s v="Jul 2012"/>
  </r>
  <r>
    <x v="107"/>
    <x v="0"/>
    <d v="2012-07-28T00:00:00"/>
    <n v="3900"/>
    <s v="Jul 2012"/>
  </r>
  <r>
    <x v="107"/>
    <x v="0"/>
    <d v="2012-08-01T00:00:00"/>
    <n v="3900"/>
    <s v="Aug 2012"/>
  </r>
  <r>
    <x v="107"/>
    <x v="0"/>
    <d v="2012-08-02T00:00:00"/>
    <n v="3900"/>
    <s v="Aug 2012"/>
  </r>
  <r>
    <x v="107"/>
    <x v="0"/>
    <d v="2012-08-18T00:00:00"/>
    <n v="3200"/>
    <s v="Aug 2012"/>
  </r>
  <r>
    <x v="107"/>
    <x v="0"/>
    <d v="2012-08-21T00:00:00"/>
    <n v="3200"/>
    <s v="Aug 2012"/>
  </r>
  <r>
    <x v="107"/>
    <x v="0"/>
    <d v="2012-08-23T00:00:00"/>
    <n v="3200"/>
    <s v="Aug 2012"/>
  </r>
  <r>
    <x v="107"/>
    <x v="1"/>
    <d v="2012-10-11T00:00:00"/>
    <n v="1"/>
    <s v="Oct 2012"/>
  </r>
  <r>
    <x v="107"/>
    <x v="1"/>
    <d v="2012-12-01T00:00:00"/>
    <n v="1"/>
    <s v="Dec 2012"/>
  </r>
  <r>
    <x v="108"/>
    <x v="0"/>
    <d v="2012-07-02T00:00:00"/>
    <n v="200"/>
    <s v="Jul 2012"/>
  </r>
  <r>
    <x v="108"/>
    <x v="0"/>
    <d v="2012-07-04T00:00:00"/>
    <n v="200"/>
    <s v="Jul 2012"/>
  </r>
  <r>
    <x v="108"/>
    <x v="1"/>
    <d v="2012-09-26T00:00:00"/>
    <n v="1"/>
    <s v="Sep 2012"/>
  </r>
  <r>
    <x v="108"/>
    <x v="1"/>
    <d v="2012-10-10T00:00:00"/>
    <n v="2"/>
    <s v="Oct 2012"/>
  </r>
  <r>
    <x v="108"/>
    <x v="1"/>
    <d v="2012-11-14T00:00:00"/>
    <n v="3"/>
    <s v="Nov 2012"/>
  </r>
  <r>
    <x v="109"/>
    <x v="0"/>
    <d v="2012-07-03T00:00:00"/>
    <n v="4900"/>
    <s v="Jul 2012"/>
  </r>
  <r>
    <x v="109"/>
    <x v="0"/>
    <d v="2012-07-05T00:00:00"/>
    <n v="4900"/>
    <s v="Jul 2012"/>
  </r>
  <r>
    <x v="109"/>
    <x v="0"/>
    <d v="2012-07-07T00:00:00"/>
    <n v="4900"/>
    <s v="Jul 2012"/>
  </r>
  <r>
    <x v="109"/>
    <x v="0"/>
    <d v="2012-07-10T00:00:00"/>
    <n v="4900"/>
    <s v="Jul 2012"/>
  </r>
  <r>
    <x v="109"/>
    <x v="0"/>
    <d v="2012-07-12T00:00:00"/>
    <n v="4900"/>
    <s v="Jul 2012"/>
  </r>
  <r>
    <x v="109"/>
    <x v="0"/>
    <d v="2012-07-14T00:00:00"/>
    <n v="4900"/>
    <s v="Jul 2012"/>
  </r>
  <r>
    <x v="109"/>
    <x v="0"/>
    <d v="2012-07-17T00:00:00"/>
    <n v="4900"/>
    <s v="Jul 2012"/>
  </r>
  <r>
    <x v="109"/>
    <x v="0"/>
    <d v="2012-07-19T00:00:00"/>
    <n v="4900"/>
    <s v="Jul 2012"/>
  </r>
  <r>
    <x v="109"/>
    <x v="0"/>
    <d v="2012-07-21T00:00:00"/>
    <n v="4900"/>
    <s v="Jul 2012"/>
  </r>
  <r>
    <x v="109"/>
    <x v="0"/>
    <d v="2012-07-24T00:00:00"/>
    <n v="4900"/>
    <s v="Jul 2012"/>
  </r>
  <r>
    <x v="109"/>
    <x v="0"/>
    <d v="2012-07-26T00:00:00"/>
    <n v="4900"/>
    <s v="Jul 2012"/>
  </r>
  <r>
    <x v="109"/>
    <x v="0"/>
    <d v="2012-07-28T00:00:00"/>
    <n v="4900"/>
    <s v="Jul 2012"/>
  </r>
  <r>
    <x v="109"/>
    <x v="0"/>
    <d v="2012-07-31T00:00:00"/>
    <n v="4900"/>
    <s v="Jul 2012"/>
  </r>
  <r>
    <x v="109"/>
    <x v="0"/>
    <d v="2012-08-02T00:00:00"/>
    <n v="4900"/>
    <s v="Aug 2012"/>
  </r>
  <r>
    <x v="109"/>
    <x v="0"/>
    <d v="2012-08-04T00:00:00"/>
    <n v="5400"/>
    <s v="Aug 2012"/>
  </r>
  <r>
    <x v="109"/>
    <x v="0"/>
    <d v="2012-08-07T00:00:00"/>
    <n v="5400"/>
    <s v="Aug 2012"/>
  </r>
  <r>
    <x v="109"/>
    <x v="0"/>
    <d v="2012-08-09T00:00:00"/>
    <n v="5400"/>
    <s v="Aug 2012"/>
  </r>
  <r>
    <x v="109"/>
    <x v="0"/>
    <d v="2012-08-11T00:00:00"/>
    <n v="5400"/>
    <s v="Aug 2012"/>
  </r>
  <r>
    <x v="109"/>
    <x v="0"/>
    <d v="2012-08-14T00:00:00"/>
    <n v="5400"/>
    <s v="Aug 2012"/>
  </r>
  <r>
    <x v="109"/>
    <x v="0"/>
    <d v="2012-08-16T00:00:00"/>
    <n v="5400"/>
    <s v="Aug 2012"/>
  </r>
  <r>
    <x v="109"/>
    <x v="0"/>
    <d v="2012-08-18T00:00:00"/>
    <n v="5400"/>
    <s v="Aug 2012"/>
  </r>
  <r>
    <x v="109"/>
    <x v="0"/>
    <d v="2012-08-21T00:00:00"/>
    <n v="5400"/>
    <s v="Aug 2012"/>
  </r>
  <r>
    <x v="109"/>
    <x v="0"/>
    <d v="2012-08-23T00:00:00"/>
    <n v="5400"/>
    <s v="Aug 2012"/>
  </r>
  <r>
    <x v="109"/>
    <x v="0"/>
    <d v="2012-08-25T00:00:00"/>
    <n v="5400"/>
    <s v="Aug 2012"/>
  </r>
  <r>
    <x v="109"/>
    <x v="0"/>
    <d v="2012-08-28T00:00:00"/>
    <n v="5400"/>
    <s v="Aug 2012"/>
  </r>
  <r>
    <x v="109"/>
    <x v="0"/>
    <d v="2012-08-30T00:00:00"/>
    <n v="5400"/>
    <s v="Aug 2012"/>
  </r>
  <r>
    <x v="109"/>
    <x v="0"/>
    <d v="2012-09-01T00:00:00"/>
    <n v="5400"/>
    <s v="Sep 2012"/>
  </r>
  <r>
    <x v="109"/>
    <x v="0"/>
    <d v="2012-09-04T00:00:00"/>
    <n v="5400"/>
    <s v="Sep 2012"/>
  </r>
  <r>
    <x v="109"/>
    <x v="0"/>
    <d v="2012-09-06T00:00:00"/>
    <n v="5400"/>
    <s v="Sep 2012"/>
  </r>
  <r>
    <x v="109"/>
    <x v="1"/>
    <d v="2012-09-13T00:00:00"/>
    <n v="8"/>
    <s v="Sep 2012"/>
  </r>
  <r>
    <x v="109"/>
    <x v="1"/>
    <d v="2012-10-11T00:00:00"/>
    <n v="8"/>
    <s v="Oct 2012"/>
  </r>
  <r>
    <x v="109"/>
    <x v="1"/>
    <d v="2012-11-21T00:00:00"/>
    <n v="10"/>
    <s v="Nov 2012"/>
  </r>
  <r>
    <x v="110"/>
    <x v="0"/>
    <d v="2012-07-03T00:00:00"/>
    <n v="700"/>
    <s v="Jul 2012"/>
  </r>
  <r>
    <x v="110"/>
    <x v="0"/>
    <d v="2012-07-05T00:00:00"/>
    <n v="700"/>
    <s v="Jul 2012"/>
  </r>
  <r>
    <x v="110"/>
    <x v="0"/>
    <d v="2012-07-07T00:00:00"/>
    <n v="700"/>
    <s v="Jul 2012"/>
  </r>
  <r>
    <x v="110"/>
    <x v="0"/>
    <d v="2012-07-10T00:00:00"/>
    <n v="700"/>
    <s v="Jul 2012"/>
  </r>
  <r>
    <x v="110"/>
    <x v="0"/>
    <d v="2012-07-12T00:00:00"/>
    <n v="700"/>
    <s v="Jul 2012"/>
  </r>
  <r>
    <x v="110"/>
    <x v="0"/>
    <d v="2012-07-14T00:00:00"/>
    <n v="700"/>
    <s v="Jul 2012"/>
  </r>
  <r>
    <x v="110"/>
    <x v="0"/>
    <d v="2012-07-17T00:00:00"/>
    <n v="700"/>
    <s v="Jul 2012"/>
  </r>
  <r>
    <x v="110"/>
    <x v="0"/>
    <d v="2012-07-19T00:00:00"/>
    <n v="700"/>
    <s v="Jul 2012"/>
  </r>
  <r>
    <x v="110"/>
    <x v="0"/>
    <d v="2012-08-09T00:00:00"/>
    <n v="500"/>
    <s v="Aug 2012"/>
  </r>
  <r>
    <x v="110"/>
    <x v="0"/>
    <d v="2012-08-11T00:00:00"/>
    <n v="500"/>
    <s v="Aug 2012"/>
  </r>
  <r>
    <x v="110"/>
    <x v="0"/>
    <d v="2012-08-14T00:00:00"/>
    <n v="500"/>
    <s v="Aug 2012"/>
  </r>
  <r>
    <x v="110"/>
    <x v="0"/>
    <d v="2012-08-16T00:00:00"/>
    <n v="500"/>
    <s v="Aug 2012"/>
  </r>
  <r>
    <x v="110"/>
    <x v="0"/>
    <d v="2012-08-18T00:00:00"/>
    <n v="500"/>
    <s v="Aug 2012"/>
  </r>
  <r>
    <x v="110"/>
    <x v="0"/>
    <d v="2012-08-21T00:00:00"/>
    <n v="500"/>
    <s v="Aug 2012"/>
  </r>
  <r>
    <x v="110"/>
    <x v="0"/>
    <d v="2012-08-23T00:00:00"/>
    <n v="500"/>
    <s v="Aug 2012"/>
  </r>
  <r>
    <x v="110"/>
    <x v="0"/>
    <d v="2012-08-25T00:00:00"/>
    <n v="500"/>
    <s v="Aug 2012"/>
  </r>
  <r>
    <x v="110"/>
    <x v="0"/>
    <d v="2012-08-28T00:00:00"/>
    <n v="500"/>
    <s v="Aug 2012"/>
  </r>
  <r>
    <x v="110"/>
    <x v="0"/>
    <d v="2012-08-30T00:00:00"/>
    <n v="500"/>
    <s v="Aug 2012"/>
  </r>
  <r>
    <x v="110"/>
    <x v="0"/>
    <d v="2012-09-01T00:00:00"/>
    <n v="500"/>
    <s v="Sep 2012"/>
  </r>
  <r>
    <x v="110"/>
    <x v="0"/>
    <d v="2012-09-04T00:00:00"/>
    <n v="500"/>
    <s v="Sep 2012"/>
  </r>
  <r>
    <x v="110"/>
    <x v="0"/>
    <d v="2012-09-06T00:00:00"/>
    <n v="500"/>
    <s v="Sep 2012"/>
  </r>
  <r>
    <x v="110"/>
    <x v="1"/>
    <d v="2012-10-11T00:00:00"/>
    <n v="4"/>
    <s v="Oct 2012"/>
  </r>
  <r>
    <x v="110"/>
    <x v="1"/>
    <d v="2012-11-15T00:00:00"/>
    <n v="3"/>
    <s v="Nov 2012"/>
  </r>
  <r>
    <x v="111"/>
    <x v="0"/>
    <d v="2012-07-02T00:00:00"/>
    <n v="3500"/>
    <s v="Jul 2012"/>
  </r>
  <r>
    <x v="111"/>
    <x v="0"/>
    <d v="2012-07-04T00:00:00"/>
    <n v="3500"/>
    <s v="Jul 2012"/>
  </r>
  <r>
    <x v="111"/>
    <x v="0"/>
    <d v="2012-07-06T00:00:00"/>
    <n v="3500"/>
    <s v="Jul 2012"/>
  </r>
  <r>
    <x v="111"/>
    <x v="0"/>
    <d v="2012-07-09T00:00:00"/>
    <n v="3500"/>
    <s v="Jul 2012"/>
  </r>
  <r>
    <x v="111"/>
    <x v="0"/>
    <d v="2012-07-11T00:00:00"/>
    <n v="3500"/>
    <s v="Jul 2012"/>
  </r>
  <r>
    <x v="111"/>
    <x v="0"/>
    <d v="2012-07-13T00:00:00"/>
    <n v="3500"/>
    <s v="Jul 2012"/>
  </r>
  <r>
    <x v="111"/>
    <x v="0"/>
    <d v="2012-07-16T00:00:00"/>
    <n v="3500"/>
    <s v="Jul 2012"/>
  </r>
  <r>
    <x v="111"/>
    <x v="0"/>
    <d v="2012-07-18T00:00:00"/>
    <n v="3500"/>
    <s v="Jul 2012"/>
  </r>
  <r>
    <x v="111"/>
    <x v="0"/>
    <d v="2012-07-20T00:00:00"/>
    <n v="3500"/>
    <s v="Jul 2012"/>
  </r>
  <r>
    <x v="111"/>
    <x v="0"/>
    <d v="2012-07-23T00:00:00"/>
    <n v="3500"/>
    <s v="Jul 2012"/>
  </r>
  <r>
    <x v="111"/>
    <x v="0"/>
    <d v="2012-07-25T00:00:00"/>
    <n v="3500"/>
    <s v="Jul 2012"/>
  </r>
  <r>
    <x v="111"/>
    <x v="0"/>
    <d v="2012-07-27T00:00:00"/>
    <n v="3500"/>
    <s v="Jul 2012"/>
  </r>
  <r>
    <x v="111"/>
    <x v="0"/>
    <d v="2012-07-30T00:00:00"/>
    <n v="3500"/>
    <s v="Jul 2012"/>
  </r>
  <r>
    <x v="111"/>
    <x v="0"/>
    <d v="2012-08-01T00:00:00"/>
    <n v="3500"/>
    <s v="Aug 2012"/>
  </r>
  <r>
    <x v="111"/>
    <x v="0"/>
    <d v="2012-08-20T00:00:00"/>
    <n v="2500"/>
    <s v="Aug 2012"/>
  </r>
  <r>
    <x v="111"/>
    <x v="0"/>
    <d v="2012-08-22T00:00:00"/>
    <n v="2500"/>
    <s v="Aug 2012"/>
  </r>
  <r>
    <x v="111"/>
    <x v="0"/>
    <d v="2012-08-24T00:00:00"/>
    <n v="2500"/>
    <s v="Aug 2012"/>
  </r>
  <r>
    <x v="111"/>
    <x v="0"/>
    <d v="2012-08-27T00:00:00"/>
    <n v="2500"/>
    <s v="Aug 2012"/>
  </r>
  <r>
    <x v="111"/>
    <x v="0"/>
    <d v="2012-08-29T00:00:00"/>
    <n v="2500"/>
    <s v="Aug 2012"/>
  </r>
  <r>
    <x v="111"/>
    <x v="0"/>
    <d v="2012-08-31T00:00:00"/>
    <n v="2500"/>
    <s v="Aug 2012"/>
  </r>
  <r>
    <x v="111"/>
    <x v="0"/>
    <d v="2012-09-03T00:00:00"/>
    <n v="2500"/>
    <s v="Sep 2012"/>
  </r>
  <r>
    <x v="111"/>
    <x v="0"/>
    <d v="2012-09-05T00:00:00"/>
    <n v="2500"/>
    <s v="Sep 2012"/>
  </r>
  <r>
    <x v="111"/>
    <x v="1"/>
    <d v="2012-09-12T00:00:00"/>
    <n v="5"/>
    <s v="Sep 2012"/>
  </r>
  <r>
    <x v="111"/>
    <x v="1"/>
    <d v="2012-11-14T00:00:00"/>
    <n v="2"/>
    <s v="Nov 2012"/>
  </r>
  <r>
    <x v="112"/>
    <x v="0"/>
    <d v="2012-07-07T00:00:00"/>
    <n v="8000"/>
    <s v="Jul 2012"/>
  </r>
  <r>
    <x v="112"/>
    <x v="0"/>
    <d v="2012-07-10T00:00:00"/>
    <n v="8000"/>
    <s v="Jul 2012"/>
  </r>
  <r>
    <x v="112"/>
    <x v="0"/>
    <d v="2012-07-12T00:00:00"/>
    <n v="8000"/>
    <s v="Jul 2012"/>
  </r>
  <r>
    <x v="112"/>
    <x v="0"/>
    <d v="2012-07-14T00:00:00"/>
    <n v="8000"/>
    <s v="Jul 2012"/>
  </r>
  <r>
    <x v="112"/>
    <x v="0"/>
    <d v="2012-07-17T00:00:00"/>
    <n v="8000"/>
    <s v="Jul 2012"/>
  </r>
  <r>
    <x v="112"/>
    <x v="0"/>
    <d v="2012-07-19T00:00:00"/>
    <n v="8000"/>
    <s v="Jul 2012"/>
  </r>
  <r>
    <x v="112"/>
    <x v="0"/>
    <d v="2012-07-21T00:00:00"/>
    <n v="8000"/>
    <s v="Jul 2012"/>
  </r>
  <r>
    <x v="112"/>
    <x v="0"/>
    <d v="2012-07-24T00:00:00"/>
    <n v="8000"/>
    <s v="Jul 2012"/>
  </r>
  <r>
    <x v="112"/>
    <x v="0"/>
    <d v="2012-07-26T00:00:00"/>
    <n v="8000"/>
    <s v="Jul 2012"/>
  </r>
  <r>
    <x v="112"/>
    <x v="0"/>
    <d v="2012-07-28T00:00:00"/>
    <n v="8000"/>
    <s v="Jul 2012"/>
  </r>
  <r>
    <x v="112"/>
    <x v="0"/>
    <d v="2012-07-31T00:00:00"/>
    <n v="8000"/>
    <s v="Jul 2012"/>
  </r>
  <r>
    <x v="112"/>
    <x v="0"/>
    <d v="2012-08-02T00:00:00"/>
    <n v="8000"/>
    <s v="Aug 2012"/>
  </r>
  <r>
    <x v="112"/>
    <x v="0"/>
    <d v="2012-08-04T00:00:00"/>
    <n v="8000"/>
    <s v="Aug 2012"/>
  </r>
  <r>
    <x v="112"/>
    <x v="0"/>
    <d v="2012-08-07T00:00:00"/>
    <n v="8000"/>
    <s v="Aug 2012"/>
  </r>
  <r>
    <x v="112"/>
    <x v="0"/>
    <d v="2012-08-09T00:00:00"/>
    <n v="8000"/>
    <s v="Aug 2012"/>
  </r>
  <r>
    <x v="112"/>
    <x v="0"/>
    <d v="2012-08-11T00:00:00"/>
    <n v="8000"/>
    <s v="Aug 2012"/>
  </r>
  <r>
    <x v="112"/>
    <x v="0"/>
    <d v="2012-08-14T00:00:00"/>
    <n v="8000"/>
    <s v="Aug 2012"/>
  </r>
  <r>
    <x v="112"/>
    <x v="0"/>
    <d v="2012-08-16T00:00:00"/>
    <n v="8000"/>
    <s v="Aug 2012"/>
  </r>
  <r>
    <x v="112"/>
    <x v="0"/>
    <d v="2012-08-18T00:00:00"/>
    <n v="9600"/>
    <s v="Aug 2012"/>
  </r>
  <r>
    <x v="112"/>
    <x v="0"/>
    <d v="2012-08-21T00:00:00"/>
    <n v="9600"/>
    <s v="Aug 2012"/>
  </r>
  <r>
    <x v="112"/>
    <x v="0"/>
    <d v="2012-08-23T00:00:00"/>
    <n v="9600"/>
    <s v="Aug 2012"/>
  </r>
  <r>
    <x v="112"/>
    <x v="0"/>
    <d v="2012-08-25T00:00:00"/>
    <n v="9600"/>
    <s v="Aug 2012"/>
  </r>
  <r>
    <x v="112"/>
    <x v="0"/>
    <d v="2012-08-28T00:00:00"/>
    <n v="9600"/>
    <s v="Aug 2012"/>
  </r>
  <r>
    <x v="112"/>
    <x v="0"/>
    <d v="2012-08-30T00:00:00"/>
    <n v="9600"/>
    <s v="Aug 2012"/>
  </r>
  <r>
    <x v="112"/>
    <x v="0"/>
    <d v="2012-09-01T00:00:00"/>
    <n v="9600"/>
    <s v="Sep 2012"/>
  </r>
  <r>
    <x v="112"/>
    <x v="0"/>
    <d v="2012-09-04T00:00:00"/>
    <n v="9600"/>
    <s v="Sep 2012"/>
  </r>
  <r>
    <x v="112"/>
    <x v="0"/>
    <d v="2012-09-06T00:00:00"/>
    <n v="9600"/>
    <s v="Sep 2012"/>
  </r>
  <r>
    <x v="112"/>
    <x v="1"/>
    <d v="2012-09-13T00:00:00"/>
    <n v="10"/>
    <s v="Sep 2012"/>
  </r>
  <r>
    <x v="112"/>
    <x v="1"/>
    <d v="2012-10-11T00:00:00"/>
    <n v="10"/>
    <s v="Oct 2012"/>
  </r>
  <r>
    <x v="112"/>
    <x v="1"/>
    <d v="2012-11-15T00:00:00"/>
    <n v="10"/>
    <s v="Nov 2012"/>
  </r>
  <r>
    <x v="113"/>
    <x v="0"/>
    <d v="2012-07-03T00:00:00"/>
    <n v="3700"/>
    <s v="Jul 2012"/>
  </r>
  <r>
    <x v="113"/>
    <x v="0"/>
    <d v="2012-07-05T00:00:00"/>
    <n v="3700"/>
    <s v="Jul 2012"/>
  </r>
  <r>
    <x v="113"/>
    <x v="0"/>
    <d v="2012-07-07T00:00:00"/>
    <n v="3700"/>
    <s v="Jul 2012"/>
  </r>
  <r>
    <x v="113"/>
    <x v="0"/>
    <d v="2012-07-10T00:00:00"/>
    <n v="3700"/>
    <s v="Jul 2012"/>
  </r>
  <r>
    <x v="113"/>
    <x v="0"/>
    <d v="2012-07-12T00:00:00"/>
    <n v="3700"/>
    <s v="Jul 2012"/>
  </r>
  <r>
    <x v="113"/>
    <x v="0"/>
    <d v="2012-07-14T00:00:00"/>
    <n v="3700"/>
    <s v="Jul 2012"/>
  </r>
  <r>
    <x v="113"/>
    <x v="0"/>
    <d v="2012-07-17T00:00:00"/>
    <n v="3700"/>
    <s v="Jul 2012"/>
  </r>
  <r>
    <x v="113"/>
    <x v="0"/>
    <d v="2012-07-19T00:00:00"/>
    <n v="3700"/>
    <s v="Jul 2012"/>
  </r>
  <r>
    <x v="113"/>
    <x v="0"/>
    <d v="2012-07-21T00:00:00"/>
    <n v="3700"/>
    <s v="Jul 2012"/>
  </r>
  <r>
    <x v="113"/>
    <x v="0"/>
    <d v="2012-07-24T00:00:00"/>
    <n v="3700"/>
    <s v="Jul 2012"/>
  </r>
  <r>
    <x v="113"/>
    <x v="0"/>
    <d v="2012-07-26T00:00:00"/>
    <n v="3700"/>
    <s v="Jul 2012"/>
  </r>
  <r>
    <x v="113"/>
    <x v="0"/>
    <d v="2012-07-28T00:00:00"/>
    <n v="3700"/>
    <s v="Jul 2012"/>
  </r>
  <r>
    <x v="113"/>
    <x v="0"/>
    <d v="2012-07-31T00:00:00"/>
    <n v="3700"/>
    <s v="Jul 2012"/>
  </r>
  <r>
    <x v="113"/>
    <x v="0"/>
    <d v="2012-08-02T00:00:00"/>
    <n v="3700"/>
    <s v="Aug 2012"/>
  </r>
  <r>
    <x v="113"/>
    <x v="0"/>
    <d v="2012-08-04T00:00:00"/>
    <n v="3700"/>
    <s v="Aug 2012"/>
  </r>
  <r>
    <x v="113"/>
    <x v="0"/>
    <d v="2012-08-07T00:00:00"/>
    <n v="3700"/>
    <s v="Aug 2012"/>
  </r>
  <r>
    <x v="113"/>
    <x v="0"/>
    <d v="2012-08-09T00:00:00"/>
    <n v="3700"/>
    <s v="Aug 2012"/>
  </r>
  <r>
    <x v="113"/>
    <x v="0"/>
    <d v="2012-08-11T00:00:00"/>
    <n v="3700"/>
    <s v="Aug 2012"/>
  </r>
  <r>
    <x v="113"/>
    <x v="0"/>
    <d v="2012-08-14T00:00:00"/>
    <n v="3700"/>
    <s v="Aug 2012"/>
  </r>
  <r>
    <x v="113"/>
    <x v="0"/>
    <d v="2012-08-18T00:00:00"/>
    <n v="3700"/>
    <s v="Aug 2012"/>
  </r>
  <r>
    <x v="113"/>
    <x v="0"/>
    <d v="2012-08-21T00:00:00"/>
    <n v="3700"/>
    <s v="Aug 2012"/>
  </r>
  <r>
    <x v="113"/>
    <x v="0"/>
    <d v="2012-08-23T00:00:00"/>
    <n v="5600"/>
    <s v="Aug 2012"/>
  </r>
  <r>
    <x v="113"/>
    <x v="0"/>
    <d v="2012-08-25T00:00:00"/>
    <n v="5600"/>
    <s v="Aug 2012"/>
  </r>
  <r>
    <x v="113"/>
    <x v="0"/>
    <d v="2012-08-30T00:00:00"/>
    <n v="5600"/>
    <s v="Aug 2012"/>
  </r>
  <r>
    <x v="113"/>
    <x v="0"/>
    <d v="2012-09-01T00:00:00"/>
    <n v="5600"/>
    <s v="Sep 2012"/>
  </r>
  <r>
    <x v="113"/>
    <x v="0"/>
    <d v="2012-09-04T00:00:00"/>
    <n v="5600"/>
    <s v="Sep 2012"/>
  </r>
  <r>
    <x v="113"/>
    <x v="0"/>
    <d v="2012-09-06T00:00:00"/>
    <n v="5600"/>
    <s v="Sep 2012"/>
  </r>
  <r>
    <x v="113"/>
    <x v="1"/>
    <d v="2012-09-14T00:00:00"/>
    <n v="8"/>
    <s v="Sep 2012"/>
  </r>
  <r>
    <x v="113"/>
    <x v="1"/>
    <d v="2012-10-11T00:00:00"/>
    <n v="8"/>
    <s v="Oct 2012"/>
  </r>
  <r>
    <x v="113"/>
    <x v="1"/>
    <d v="2012-11-15T00:00:00"/>
    <n v="8"/>
    <s v="Nov 2012"/>
  </r>
  <r>
    <x v="114"/>
    <x v="0"/>
    <d v="2012-07-02T00:00:00"/>
    <n v="5800"/>
    <s v="Jul 2012"/>
  </r>
  <r>
    <x v="114"/>
    <x v="0"/>
    <d v="2012-07-04T00:00:00"/>
    <n v="5800"/>
    <s v="Jul 2012"/>
  </r>
  <r>
    <x v="114"/>
    <x v="0"/>
    <d v="2012-07-06T00:00:00"/>
    <n v="5800"/>
    <s v="Jul 2012"/>
  </r>
  <r>
    <x v="114"/>
    <x v="0"/>
    <d v="2012-07-09T00:00:00"/>
    <n v="5800"/>
    <s v="Jul 2012"/>
  </r>
  <r>
    <x v="114"/>
    <x v="0"/>
    <d v="2012-07-11T00:00:00"/>
    <n v="5800"/>
    <s v="Jul 2012"/>
  </r>
  <r>
    <x v="114"/>
    <x v="0"/>
    <d v="2012-07-13T00:00:00"/>
    <n v="5800"/>
    <s v="Jul 2012"/>
  </r>
  <r>
    <x v="115"/>
    <x v="0"/>
    <d v="2012-07-02T00:00:00"/>
    <n v="2900"/>
    <s v="Jul 2012"/>
  </r>
  <r>
    <x v="115"/>
    <x v="0"/>
    <d v="2012-07-04T00:00:00"/>
    <n v="2900"/>
    <s v="Jul 2012"/>
  </r>
  <r>
    <x v="115"/>
    <x v="0"/>
    <d v="2012-07-06T00:00:00"/>
    <n v="2900"/>
    <s v="Jul 2012"/>
  </r>
  <r>
    <x v="115"/>
    <x v="0"/>
    <d v="2012-07-09T00:00:00"/>
    <n v="2900"/>
    <s v="Jul 2012"/>
  </r>
  <r>
    <x v="115"/>
    <x v="0"/>
    <d v="2012-07-11T00:00:00"/>
    <n v="2900"/>
    <s v="Jul 2012"/>
  </r>
  <r>
    <x v="115"/>
    <x v="0"/>
    <d v="2012-07-16T00:00:00"/>
    <n v="2900"/>
    <s v="Jul 2012"/>
  </r>
  <r>
    <x v="115"/>
    <x v="0"/>
    <d v="2012-07-18T00:00:00"/>
    <n v="2900"/>
    <s v="Jul 2012"/>
  </r>
  <r>
    <x v="115"/>
    <x v="0"/>
    <d v="2012-07-20T00:00:00"/>
    <n v="3200"/>
    <s v="Jul 2012"/>
  </r>
  <r>
    <x v="115"/>
    <x v="0"/>
    <d v="2012-07-25T00:00:00"/>
    <n v="3200"/>
    <s v="Jul 2012"/>
  </r>
  <r>
    <x v="115"/>
    <x v="0"/>
    <d v="2012-07-27T00:00:00"/>
    <n v="3200"/>
    <s v="Jul 2012"/>
  </r>
  <r>
    <x v="115"/>
    <x v="0"/>
    <d v="2012-07-30T00:00:00"/>
    <n v="3200"/>
    <s v="Jul 2012"/>
  </r>
  <r>
    <x v="115"/>
    <x v="0"/>
    <d v="2012-08-01T00:00:00"/>
    <n v="3200"/>
    <s v="Aug 2012"/>
  </r>
  <r>
    <x v="115"/>
    <x v="0"/>
    <d v="2012-08-03T00:00:00"/>
    <n v="3200"/>
    <s v="Aug 2012"/>
  </r>
  <r>
    <x v="115"/>
    <x v="0"/>
    <d v="2012-08-06T00:00:00"/>
    <n v="3200"/>
    <s v="Aug 2012"/>
  </r>
  <r>
    <x v="115"/>
    <x v="0"/>
    <d v="2012-08-08T00:00:00"/>
    <n v="3200"/>
    <s v="Aug 2012"/>
  </r>
  <r>
    <x v="115"/>
    <x v="0"/>
    <d v="2012-08-10T00:00:00"/>
    <n v="3200"/>
    <s v="Aug 2012"/>
  </r>
  <r>
    <x v="115"/>
    <x v="0"/>
    <d v="2012-08-13T00:00:00"/>
    <n v="3200"/>
    <s v="Aug 2012"/>
  </r>
  <r>
    <x v="115"/>
    <x v="0"/>
    <d v="2012-08-15T00:00:00"/>
    <n v="3200"/>
    <s v="Aug 2012"/>
  </r>
  <r>
    <x v="115"/>
    <x v="0"/>
    <d v="2012-09-03T00:00:00"/>
    <n v="2600"/>
    <s v="Sep 2012"/>
  </r>
  <r>
    <x v="115"/>
    <x v="1"/>
    <d v="2012-09-12T00:00:00"/>
    <n v="5"/>
    <s v="Sep 2012"/>
  </r>
  <r>
    <x v="115"/>
    <x v="1"/>
    <d v="2012-11-14T00:00:00"/>
    <n v="8"/>
    <s v="Nov 2012"/>
  </r>
  <r>
    <x v="116"/>
    <x v="0"/>
    <d v="2012-07-02T00:00:00"/>
    <n v="8800"/>
    <s v="Jul 2012"/>
  </r>
  <r>
    <x v="116"/>
    <x v="0"/>
    <d v="2012-07-04T00:00:00"/>
    <n v="8800"/>
    <s v="Jul 2012"/>
  </r>
  <r>
    <x v="116"/>
    <x v="0"/>
    <d v="2012-07-06T00:00:00"/>
    <n v="9700"/>
    <s v="Jul 2012"/>
  </r>
  <r>
    <x v="116"/>
    <x v="0"/>
    <d v="2012-07-09T00:00:00"/>
    <n v="9700"/>
    <s v="Jul 2012"/>
  </r>
  <r>
    <x v="116"/>
    <x v="0"/>
    <d v="2012-07-11T00:00:00"/>
    <n v="9700"/>
    <s v="Jul 2012"/>
  </r>
  <r>
    <x v="116"/>
    <x v="0"/>
    <d v="2012-07-13T00:00:00"/>
    <n v="9700"/>
    <s v="Jul 2012"/>
  </r>
  <r>
    <x v="116"/>
    <x v="0"/>
    <d v="2012-07-16T00:00:00"/>
    <n v="9700"/>
    <s v="Jul 2012"/>
  </r>
  <r>
    <x v="116"/>
    <x v="0"/>
    <d v="2012-07-18T00:00:00"/>
    <n v="9700"/>
    <s v="Jul 2012"/>
  </r>
  <r>
    <x v="116"/>
    <x v="0"/>
    <d v="2012-07-20T00:00:00"/>
    <n v="10700"/>
    <s v="Jul 2012"/>
  </r>
  <r>
    <x v="116"/>
    <x v="0"/>
    <d v="2012-07-23T00:00:00"/>
    <n v="10700"/>
    <s v="Jul 2012"/>
  </r>
  <r>
    <x v="116"/>
    <x v="0"/>
    <d v="2012-07-27T00:00:00"/>
    <n v="10700"/>
    <s v="Jul 2012"/>
  </r>
  <r>
    <x v="116"/>
    <x v="0"/>
    <d v="2012-07-30T00:00:00"/>
    <n v="10700"/>
    <s v="Jul 2012"/>
  </r>
  <r>
    <x v="116"/>
    <x v="0"/>
    <d v="2012-08-01T00:00:00"/>
    <n v="10700"/>
    <s v="Aug 2012"/>
  </r>
  <r>
    <x v="116"/>
    <x v="0"/>
    <d v="2012-08-03T00:00:00"/>
    <n v="20000"/>
    <s v="Aug 2012"/>
  </r>
  <r>
    <x v="116"/>
    <x v="0"/>
    <d v="2012-08-06T00:00:00"/>
    <n v="20000"/>
    <s v="Aug 2012"/>
  </r>
  <r>
    <x v="116"/>
    <x v="0"/>
    <d v="2012-08-08T00:00:00"/>
    <n v="20000"/>
    <s v="Aug 2012"/>
  </r>
  <r>
    <x v="116"/>
    <x v="0"/>
    <d v="2012-08-10T00:00:00"/>
    <n v="20000"/>
    <s v="Aug 2012"/>
  </r>
  <r>
    <x v="116"/>
    <x v="0"/>
    <d v="2012-08-13T00:00:00"/>
    <n v="20000"/>
    <s v="Aug 2012"/>
  </r>
  <r>
    <x v="116"/>
    <x v="0"/>
    <d v="2012-08-15T00:00:00"/>
    <n v="20000"/>
    <s v="Aug 2012"/>
  </r>
  <r>
    <x v="116"/>
    <x v="0"/>
    <d v="2012-08-17T00:00:00"/>
    <n v="20000"/>
    <s v="Aug 2012"/>
  </r>
  <r>
    <x v="116"/>
    <x v="0"/>
    <d v="2012-08-20T00:00:00"/>
    <n v="20000"/>
    <s v="Aug 2012"/>
  </r>
  <r>
    <x v="116"/>
    <x v="0"/>
    <d v="2012-08-22T00:00:00"/>
    <n v="20000"/>
    <s v="Aug 2012"/>
  </r>
  <r>
    <x v="116"/>
    <x v="0"/>
    <d v="2012-08-24T00:00:00"/>
    <n v="20000"/>
    <s v="Aug 2012"/>
  </r>
  <r>
    <x v="116"/>
    <x v="0"/>
    <d v="2012-08-27T00:00:00"/>
    <n v="20000"/>
    <s v="Aug 2012"/>
  </r>
  <r>
    <x v="116"/>
    <x v="0"/>
    <d v="2012-08-29T00:00:00"/>
    <n v="20000"/>
    <s v="Aug 2012"/>
  </r>
  <r>
    <x v="116"/>
    <x v="0"/>
    <d v="2012-08-31T00:00:00"/>
    <n v="20000"/>
    <s v="Aug 2012"/>
  </r>
  <r>
    <x v="116"/>
    <x v="0"/>
    <d v="2012-09-03T00:00:00"/>
    <n v="20000"/>
    <s v="Sep 2012"/>
  </r>
  <r>
    <x v="116"/>
    <x v="0"/>
    <d v="2012-09-05T00:00:00"/>
    <n v="20000"/>
    <s v="Sep 2012"/>
  </r>
  <r>
    <x v="116"/>
    <x v="1"/>
    <d v="2012-09-12T00:00:00"/>
    <n v="20"/>
    <s v="Sep 2012"/>
  </r>
  <r>
    <x v="116"/>
    <x v="1"/>
    <d v="2012-11-28T00:00:00"/>
    <n v="3"/>
    <s v="Nov 2012"/>
  </r>
  <r>
    <x v="117"/>
    <x v="0"/>
    <d v="2012-07-03T00:00:00"/>
    <n v="1000"/>
    <s v="Jul 2012"/>
  </r>
  <r>
    <x v="117"/>
    <x v="0"/>
    <d v="2012-07-05T00:00:00"/>
    <n v="1000"/>
    <s v="Jul 2012"/>
  </r>
  <r>
    <x v="117"/>
    <x v="0"/>
    <d v="2012-07-10T00:00:00"/>
    <n v="1000"/>
    <s v="Jul 2012"/>
  </r>
  <r>
    <x v="117"/>
    <x v="0"/>
    <d v="2012-07-12T00:00:00"/>
    <n v="1000"/>
    <s v="Jul 2012"/>
  </r>
  <r>
    <x v="117"/>
    <x v="0"/>
    <d v="2012-07-17T00:00:00"/>
    <n v="1000"/>
    <s v="Jul 2012"/>
  </r>
  <r>
    <x v="117"/>
    <x v="0"/>
    <d v="2012-07-19T00:00:00"/>
    <n v="1000"/>
    <s v="Jul 2012"/>
  </r>
  <r>
    <x v="117"/>
    <x v="0"/>
    <d v="2012-07-24T00:00:00"/>
    <n v="1000"/>
    <s v="Jul 2012"/>
  </r>
  <r>
    <x v="117"/>
    <x v="0"/>
    <d v="2012-07-26T00:00:00"/>
    <n v="1000"/>
    <s v="Jul 2012"/>
  </r>
  <r>
    <x v="117"/>
    <x v="0"/>
    <d v="2012-07-31T00:00:00"/>
    <n v="1000"/>
    <s v="Jul 2012"/>
  </r>
  <r>
    <x v="117"/>
    <x v="0"/>
    <d v="2012-08-02T00:00:00"/>
    <n v="1000"/>
    <s v="Aug 2012"/>
  </r>
  <r>
    <x v="117"/>
    <x v="0"/>
    <d v="2012-08-07T00:00:00"/>
    <n v="1000"/>
    <s v="Aug 2012"/>
  </r>
  <r>
    <x v="117"/>
    <x v="0"/>
    <d v="2012-08-09T00:00:00"/>
    <n v="1000"/>
    <s v="Aug 2012"/>
  </r>
  <r>
    <x v="117"/>
    <x v="0"/>
    <d v="2012-08-14T00:00:00"/>
    <n v="1000"/>
    <s v="Aug 2012"/>
  </r>
  <r>
    <x v="117"/>
    <x v="0"/>
    <d v="2012-08-16T00:00:00"/>
    <n v="1000"/>
    <s v="Aug 2012"/>
  </r>
  <r>
    <x v="117"/>
    <x v="0"/>
    <d v="2012-09-06T00:00:00"/>
    <n v="800"/>
    <s v="Sep 2012"/>
  </r>
  <r>
    <x v="117"/>
    <x v="1"/>
    <d v="2012-09-13T00:00:00"/>
    <n v="2"/>
    <s v="Sep 2012"/>
  </r>
  <r>
    <x v="118"/>
    <x v="0"/>
    <d v="2012-07-03T00:00:00"/>
    <n v="2400"/>
    <s v="Jul 2012"/>
  </r>
  <r>
    <x v="118"/>
    <x v="0"/>
    <d v="2012-07-05T00:00:00"/>
    <n v="2400"/>
    <s v="Jul 2012"/>
  </r>
  <r>
    <x v="118"/>
    <x v="0"/>
    <d v="2012-07-07T00:00:00"/>
    <n v="2400"/>
    <s v="Jul 2012"/>
  </r>
  <r>
    <x v="118"/>
    <x v="0"/>
    <d v="2012-07-12T00:00:00"/>
    <n v="2400"/>
    <s v="Jul 2012"/>
  </r>
  <r>
    <x v="118"/>
    <x v="0"/>
    <d v="2012-07-14T00:00:00"/>
    <n v="2400"/>
    <s v="Jul 2012"/>
  </r>
  <r>
    <x v="118"/>
    <x v="0"/>
    <d v="2012-07-19T00:00:00"/>
    <n v="2400"/>
    <s v="Jul 2012"/>
  </r>
  <r>
    <x v="118"/>
    <x v="0"/>
    <d v="2012-07-21T00:00:00"/>
    <n v="2900"/>
    <s v="Jul 2012"/>
  </r>
  <r>
    <x v="118"/>
    <x v="0"/>
    <d v="2012-07-25T00:00:00"/>
    <n v="2900"/>
    <s v="Jul 2012"/>
  </r>
  <r>
    <x v="118"/>
    <x v="0"/>
    <d v="2012-07-26T00:00:00"/>
    <n v="2900"/>
    <s v="Jul 2012"/>
  </r>
  <r>
    <x v="118"/>
    <x v="0"/>
    <d v="2012-07-28T00:00:00"/>
    <n v="2900"/>
    <s v="Jul 2012"/>
  </r>
  <r>
    <x v="118"/>
    <x v="0"/>
    <d v="2012-07-31T00:00:00"/>
    <n v="2900"/>
    <s v="Jul 2012"/>
  </r>
  <r>
    <x v="118"/>
    <x v="0"/>
    <d v="2012-08-02T00:00:00"/>
    <n v="2900"/>
    <s v="Aug 2012"/>
  </r>
  <r>
    <x v="118"/>
    <x v="0"/>
    <d v="2012-08-07T00:00:00"/>
    <n v="3500"/>
    <s v="Aug 2012"/>
  </r>
  <r>
    <x v="118"/>
    <x v="0"/>
    <d v="2012-08-09T00:00:00"/>
    <n v="3500"/>
    <s v="Aug 2012"/>
  </r>
  <r>
    <x v="118"/>
    <x v="0"/>
    <d v="2012-08-11T00:00:00"/>
    <n v="3500"/>
    <s v="Aug 2012"/>
  </r>
  <r>
    <x v="118"/>
    <x v="0"/>
    <d v="2012-08-14T00:00:00"/>
    <n v="3500"/>
    <s v="Aug 2012"/>
  </r>
  <r>
    <x v="118"/>
    <x v="0"/>
    <d v="2012-08-16T00:00:00"/>
    <n v="3500"/>
    <s v="Aug 2012"/>
  </r>
  <r>
    <x v="118"/>
    <x v="0"/>
    <d v="2012-08-18T00:00:00"/>
    <n v="4200"/>
    <s v="Aug 2012"/>
  </r>
  <r>
    <x v="118"/>
    <x v="0"/>
    <d v="2012-08-21T00:00:00"/>
    <n v="4200"/>
    <s v="Aug 2012"/>
  </r>
  <r>
    <x v="118"/>
    <x v="0"/>
    <d v="2012-08-23T00:00:00"/>
    <n v="4200"/>
    <s v="Aug 2012"/>
  </r>
  <r>
    <x v="118"/>
    <x v="0"/>
    <d v="2012-08-25T00:00:00"/>
    <n v="4200"/>
    <s v="Aug 2012"/>
  </r>
  <r>
    <x v="118"/>
    <x v="0"/>
    <d v="2012-08-28T00:00:00"/>
    <n v="4200"/>
    <s v="Aug 2012"/>
  </r>
  <r>
    <x v="118"/>
    <x v="0"/>
    <d v="2012-08-30T00:00:00"/>
    <n v="4200"/>
    <s v="Aug 2012"/>
  </r>
  <r>
    <x v="118"/>
    <x v="0"/>
    <d v="2012-09-04T00:00:00"/>
    <n v="4200"/>
    <s v="Sep 2012"/>
  </r>
  <r>
    <x v="118"/>
    <x v="0"/>
    <d v="2012-09-06T00:00:00"/>
    <n v="4200"/>
    <s v="Sep 2012"/>
  </r>
  <r>
    <x v="118"/>
    <x v="1"/>
    <d v="2012-09-13T00:00:00"/>
    <n v="8"/>
    <s v="Sep 2012"/>
  </r>
  <r>
    <x v="118"/>
    <x v="1"/>
    <d v="2012-10-11T00:00:00"/>
    <n v="8"/>
    <s v="Oct 2012"/>
  </r>
  <r>
    <x v="118"/>
    <x v="1"/>
    <d v="2012-11-29T00:00:00"/>
    <n v="4"/>
    <s v="Nov 2012"/>
  </r>
  <r>
    <x v="119"/>
    <x v="1"/>
    <d v="2012-10-10T00:00:00"/>
    <n v="6"/>
    <s v="Oct 2012"/>
  </r>
  <r>
    <x v="119"/>
    <x v="1"/>
    <d v="2012-11-28T00:00:00"/>
    <n v="8"/>
    <s v="Nov 2012"/>
  </r>
  <r>
    <x v="120"/>
    <x v="0"/>
    <d v="2012-07-06T00:00:00"/>
    <n v="3500"/>
    <s v="Jul 2012"/>
  </r>
  <r>
    <x v="120"/>
    <x v="0"/>
    <d v="2012-07-09T00:00:00"/>
    <n v="3500"/>
    <s v="Jul 2012"/>
  </r>
  <r>
    <x v="120"/>
    <x v="0"/>
    <d v="2012-07-13T00:00:00"/>
    <n v="3500"/>
    <s v="Jul 2012"/>
  </r>
  <r>
    <x v="120"/>
    <x v="0"/>
    <d v="2012-07-16T00:00:00"/>
    <n v="3500"/>
    <s v="Jul 2012"/>
  </r>
  <r>
    <x v="120"/>
    <x v="0"/>
    <d v="2012-07-20T00:00:00"/>
    <n v="3500"/>
    <s v="Jul 2012"/>
  </r>
  <r>
    <x v="120"/>
    <x v="0"/>
    <d v="2012-07-23T00:00:00"/>
    <n v="3500"/>
    <s v="Jul 2012"/>
  </r>
  <r>
    <x v="120"/>
    <x v="0"/>
    <d v="2012-07-25T00:00:00"/>
    <n v="3500"/>
    <s v="Jul 2012"/>
  </r>
  <r>
    <x v="120"/>
    <x v="0"/>
    <d v="2012-07-27T00:00:00"/>
    <n v="3500"/>
    <s v="Jul 2012"/>
  </r>
  <r>
    <x v="120"/>
    <x v="0"/>
    <d v="2012-07-30T00:00:00"/>
    <n v="3500"/>
    <s v="Jul 2012"/>
  </r>
  <r>
    <x v="120"/>
    <x v="0"/>
    <d v="2012-08-01T00:00:00"/>
    <n v="3500"/>
    <s v="Aug 2012"/>
  </r>
  <r>
    <x v="120"/>
    <x v="0"/>
    <d v="2012-08-04T00:00:00"/>
    <n v="3500"/>
    <s v="Aug 2012"/>
  </r>
  <r>
    <x v="120"/>
    <x v="1"/>
    <d v="2012-10-12T00:00:00"/>
    <n v="5"/>
    <s v="Oct 2012"/>
  </r>
  <r>
    <x v="121"/>
    <x v="0"/>
    <d v="2012-07-11T00:00:00"/>
    <n v="20000"/>
    <s v="Jul 2012"/>
  </r>
  <r>
    <x v="121"/>
    <x v="0"/>
    <d v="2012-07-13T00:00:00"/>
    <n v="20000"/>
    <s v="Jul 2012"/>
  </r>
  <r>
    <x v="121"/>
    <x v="0"/>
    <d v="2012-07-16T00:00:00"/>
    <n v="20000"/>
    <s v="Jul 2012"/>
  </r>
  <r>
    <x v="121"/>
    <x v="0"/>
    <d v="2012-07-18T00:00:00"/>
    <n v="20000"/>
    <s v="Jul 2012"/>
  </r>
  <r>
    <x v="121"/>
    <x v="0"/>
    <d v="2012-07-20T00:00:00"/>
    <n v="20000"/>
    <s v="Jul 2012"/>
  </r>
  <r>
    <x v="121"/>
    <x v="0"/>
    <d v="2012-07-23T00:00:00"/>
    <n v="20000"/>
    <s v="Jul 2012"/>
  </r>
  <r>
    <x v="121"/>
    <x v="0"/>
    <d v="2012-07-25T00:00:00"/>
    <n v="20000"/>
    <s v="Jul 2012"/>
  </r>
  <r>
    <x v="121"/>
    <x v="0"/>
    <d v="2012-07-27T00:00:00"/>
    <n v="20000"/>
    <s v="Jul 2012"/>
  </r>
  <r>
    <x v="121"/>
    <x v="0"/>
    <d v="2012-07-30T00:00:00"/>
    <n v="20000"/>
    <s v="Jul 2012"/>
  </r>
  <r>
    <x v="121"/>
    <x v="0"/>
    <d v="2012-08-01T00:00:00"/>
    <n v="20000"/>
    <s v="Aug 2012"/>
  </r>
  <r>
    <x v="121"/>
    <x v="0"/>
    <d v="2012-09-05T00:00:00"/>
    <n v="18000"/>
    <s v="Sep 2012"/>
  </r>
  <r>
    <x v="121"/>
    <x v="1"/>
    <d v="2012-09-12T00:00:00"/>
    <n v="16"/>
    <s v="Sep 2012"/>
  </r>
  <r>
    <x v="121"/>
    <x v="1"/>
    <d v="2012-11-14T00:00:00"/>
    <n v="1"/>
    <s v="Nov 2012"/>
  </r>
  <r>
    <x v="122"/>
    <x v="1"/>
    <d v="2012-09-18T00:00:00"/>
    <n v="4"/>
    <s v="Sep 2012"/>
  </r>
  <r>
    <x v="122"/>
    <x v="1"/>
    <d v="2012-11-10T00:00:00"/>
    <n v="1"/>
    <s v="Nov 2012"/>
  </r>
  <r>
    <x v="122"/>
    <x v="1"/>
    <d v="2012-11-15T00:00:00"/>
    <n v="1"/>
    <s v="Nov 2012"/>
  </r>
  <r>
    <x v="123"/>
    <x v="0"/>
    <d v="2012-07-31T00:00:00"/>
    <n v="6000"/>
    <s v="Jul 2012"/>
  </r>
  <r>
    <x v="124"/>
    <x v="0"/>
    <d v="2012-07-03T00:00:00"/>
    <n v="4300"/>
    <s v="Jul 2012"/>
  </r>
  <r>
    <x v="124"/>
    <x v="0"/>
    <d v="2012-07-05T00:00:00"/>
    <n v="4300"/>
    <s v="Jul 2012"/>
  </r>
  <r>
    <x v="124"/>
    <x v="0"/>
    <d v="2012-07-10T00:00:00"/>
    <n v="4300"/>
    <s v="Jul 2012"/>
  </r>
  <r>
    <x v="124"/>
    <x v="0"/>
    <d v="2012-07-12T00:00:00"/>
    <n v="4300"/>
    <s v="Jul 2012"/>
  </r>
  <r>
    <x v="124"/>
    <x v="0"/>
    <d v="2012-07-14T00:00:00"/>
    <n v="4300"/>
    <s v="Jul 2012"/>
  </r>
  <r>
    <x v="124"/>
    <x v="0"/>
    <d v="2012-07-17T00:00:00"/>
    <n v="4300"/>
    <s v="Jul 2012"/>
  </r>
  <r>
    <x v="124"/>
    <x v="0"/>
    <d v="2012-07-19T00:00:00"/>
    <n v="4300"/>
    <s v="Jul 2012"/>
  </r>
  <r>
    <x v="124"/>
    <x v="0"/>
    <d v="2012-07-21T00:00:00"/>
    <n v="4300"/>
    <s v="Jul 2012"/>
  </r>
  <r>
    <x v="124"/>
    <x v="0"/>
    <d v="2012-07-24T00:00:00"/>
    <n v="5200"/>
    <s v="Jul 2012"/>
  </r>
  <r>
    <x v="124"/>
    <x v="0"/>
    <d v="2012-07-26T00:00:00"/>
    <n v="5200"/>
    <s v="Jul 2012"/>
  </r>
  <r>
    <x v="124"/>
    <x v="0"/>
    <d v="2012-07-28T00:00:00"/>
    <n v="5200"/>
    <s v="Jul 2012"/>
  </r>
  <r>
    <x v="124"/>
    <x v="0"/>
    <d v="2012-07-31T00:00:00"/>
    <n v="5200"/>
    <s v="Jul 2012"/>
  </r>
  <r>
    <x v="124"/>
    <x v="0"/>
    <d v="2012-08-02T00:00:00"/>
    <n v="5200"/>
    <s v="Aug 2012"/>
  </r>
  <r>
    <x v="124"/>
    <x v="0"/>
    <d v="2012-08-04T00:00:00"/>
    <n v="7500"/>
    <s v="Aug 2012"/>
  </r>
  <r>
    <x v="124"/>
    <x v="0"/>
    <d v="2012-08-07T00:00:00"/>
    <n v="7500"/>
    <s v="Aug 2012"/>
  </r>
  <r>
    <x v="124"/>
    <x v="0"/>
    <d v="2012-08-09T00:00:00"/>
    <n v="7500"/>
    <s v="Aug 2012"/>
  </r>
  <r>
    <x v="124"/>
    <x v="0"/>
    <d v="2012-08-11T00:00:00"/>
    <n v="7500"/>
    <s v="Aug 2012"/>
  </r>
  <r>
    <x v="124"/>
    <x v="0"/>
    <d v="2012-08-14T00:00:00"/>
    <n v="7500"/>
    <s v="Aug 2012"/>
  </r>
  <r>
    <x v="124"/>
    <x v="0"/>
    <d v="2012-08-16T00:00:00"/>
    <n v="7500"/>
    <s v="Aug 2012"/>
  </r>
  <r>
    <x v="124"/>
    <x v="0"/>
    <d v="2012-08-21T00:00:00"/>
    <n v="7500"/>
    <s v="Aug 2012"/>
  </r>
  <r>
    <x v="124"/>
    <x v="0"/>
    <d v="2012-08-23T00:00:00"/>
    <n v="7500"/>
    <s v="Aug 2012"/>
  </r>
  <r>
    <x v="124"/>
    <x v="0"/>
    <d v="2012-08-28T00:00:00"/>
    <n v="7500"/>
    <s v="Aug 2012"/>
  </r>
  <r>
    <x v="124"/>
    <x v="0"/>
    <d v="2012-08-30T00:00:00"/>
    <n v="7500"/>
    <s v="Aug 2012"/>
  </r>
  <r>
    <x v="124"/>
    <x v="0"/>
    <d v="2012-09-01T00:00:00"/>
    <n v="7500"/>
    <s v="Sep 2012"/>
  </r>
  <r>
    <x v="124"/>
    <x v="0"/>
    <d v="2012-09-04T00:00:00"/>
    <n v="7500"/>
    <s v="Sep 2012"/>
  </r>
  <r>
    <x v="124"/>
    <x v="0"/>
    <d v="2012-09-06T00:00:00"/>
    <n v="9800"/>
    <s v="Sep 2012"/>
  </r>
  <r>
    <x v="124"/>
    <x v="1"/>
    <d v="2012-09-13T00:00:00"/>
    <n v="10"/>
    <s v="Sep 2012"/>
  </r>
  <r>
    <x v="124"/>
    <x v="1"/>
    <d v="2012-10-11T00:00:00"/>
    <n v="13"/>
    <s v="Oct 2012"/>
  </r>
  <r>
    <x v="124"/>
    <x v="1"/>
    <d v="2012-11-15T00:00:00"/>
    <n v="13"/>
    <s v="Nov 2012"/>
  </r>
  <r>
    <x v="125"/>
    <x v="0"/>
    <d v="2012-07-06T00:00:00"/>
    <n v="7500"/>
    <s v="Jul 2012"/>
  </r>
  <r>
    <x v="125"/>
    <x v="0"/>
    <d v="2012-07-09T00:00:00"/>
    <n v="7500"/>
    <s v="Jul 2012"/>
  </r>
  <r>
    <x v="125"/>
    <x v="0"/>
    <d v="2012-07-11T00:00:00"/>
    <n v="7500"/>
    <s v="Jul 2012"/>
  </r>
  <r>
    <x v="125"/>
    <x v="0"/>
    <d v="2012-07-13T00:00:00"/>
    <n v="7500"/>
    <s v="Jul 2012"/>
  </r>
  <r>
    <x v="125"/>
    <x v="0"/>
    <d v="2012-07-16T00:00:00"/>
    <n v="7500"/>
    <s v="Jul 2012"/>
  </r>
  <r>
    <x v="125"/>
    <x v="0"/>
    <d v="2012-07-18T00:00:00"/>
    <n v="7500"/>
    <s v="Jul 2012"/>
  </r>
  <r>
    <x v="125"/>
    <x v="0"/>
    <d v="2012-07-20T00:00:00"/>
    <n v="7500"/>
    <s v="Jul 2012"/>
  </r>
  <r>
    <x v="125"/>
    <x v="0"/>
    <d v="2012-07-23T00:00:00"/>
    <n v="7500"/>
    <s v="Jul 2012"/>
  </r>
  <r>
    <x v="125"/>
    <x v="0"/>
    <d v="2012-07-25T00:00:00"/>
    <n v="7500"/>
    <s v="Jul 2012"/>
  </r>
  <r>
    <x v="125"/>
    <x v="0"/>
    <d v="2012-07-27T00:00:00"/>
    <n v="7500"/>
    <s v="Jul 2012"/>
  </r>
  <r>
    <x v="125"/>
    <x v="0"/>
    <d v="2012-07-30T00:00:00"/>
    <n v="7500"/>
    <s v="Jul 2012"/>
  </r>
  <r>
    <x v="125"/>
    <x v="0"/>
    <d v="2012-08-01T00:00:00"/>
    <n v="7500"/>
    <s v="Aug 2012"/>
  </r>
  <r>
    <x v="125"/>
    <x v="0"/>
    <d v="2012-08-03T00:00:00"/>
    <n v="7500"/>
    <s v="Aug 2012"/>
  </r>
  <r>
    <x v="125"/>
    <x v="0"/>
    <d v="2012-08-06T00:00:00"/>
    <n v="7500"/>
    <s v="Aug 2012"/>
  </r>
  <r>
    <x v="125"/>
    <x v="0"/>
    <d v="2012-08-08T00:00:00"/>
    <n v="7500"/>
    <s v="Aug 2012"/>
  </r>
  <r>
    <x v="125"/>
    <x v="0"/>
    <d v="2012-08-10T00:00:00"/>
    <n v="7500"/>
    <s v="Aug 2012"/>
  </r>
  <r>
    <x v="125"/>
    <x v="0"/>
    <d v="2012-08-13T00:00:00"/>
    <n v="7500"/>
    <s v="Aug 2012"/>
  </r>
  <r>
    <x v="125"/>
    <x v="0"/>
    <d v="2012-08-15T00:00:00"/>
    <n v="7500"/>
    <s v="Aug 2012"/>
  </r>
  <r>
    <x v="125"/>
    <x v="0"/>
    <d v="2012-09-03T00:00:00"/>
    <n v="6800"/>
    <s v="Sep 2012"/>
  </r>
  <r>
    <x v="125"/>
    <x v="0"/>
    <d v="2012-09-05T00:00:00"/>
    <n v="6800"/>
    <s v="Sep 2012"/>
  </r>
  <r>
    <x v="125"/>
    <x v="1"/>
    <d v="2012-09-12T00:00:00"/>
    <n v="10"/>
    <s v="Sep 2012"/>
  </r>
  <r>
    <x v="125"/>
    <x v="1"/>
    <d v="2012-11-14T00:00:00"/>
    <n v="2"/>
    <s v="Nov 2012"/>
  </r>
  <r>
    <x v="126"/>
    <x v="1"/>
    <d v="2012-11-23T00:00:00"/>
    <n v="5"/>
    <s v="Nov 2012"/>
  </r>
  <r>
    <x v="127"/>
    <x v="0"/>
    <d v="2012-07-03T00:00:00"/>
    <n v="1500"/>
    <s v="Jul 2012"/>
  </r>
  <r>
    <x v="127"/>
    <x v="0"/>
    <d v="2012-07-05T00:00:00"/>
    <n v="1500"/>
    <s v="Jul 2012"/>
  </r>
  <r>
    <x v="127"/>
    <x v="0"/>
    <d v="2012-07-07T00:00:00"/>
    <n v="1500"/>
    <s v="Jul 2012"/>
  </r>
  <r>
    <x v="127"/>
    <x v="0"/>
    <d v="2012-07-10T00:00:00"/>
    <n v="1500"/>
    <s v="Jul 2012"/>
  </r>
  <r>
    <x v="127"/>
    <x v="0"/>
    <d v="2012-07-12T00:00:00"/>
    <n v="1500"/>
    <s v="Jul 2012"/>
  </r>
  <r>
    <x v="127"/>
    <x v="0"/>
    <d v="2012-07-14T00:00:00"/>
    <n v="1500"/>
    <s v="Jul 2012"/>
  </r>
  <r>
    <x v="127"/>
    <x v="0"/>
    <d v="2012-07-17T00:00:00"/>
    <n v="1500"/>
    <s v="Jul 2012"/>
  </r>
  <r>
    <x v="127"/>
    <x v="0"/>
    <d v="2012-07-19T00:00:00"/>
    <n v="1500"/>
    <s v="Jul 2012"/>
  </r>
  <r>
    <x v="127"/>
    <x v="0"/>
    <d v="2012-07-21T00:00:00"/>
    <n v="2300"/>
    <s v="Jul 2012"/>
  </r>
  <r>
    <x v="127"/>
    <x v="0"/>
    <d v="2012-07-24T00:00:00"/>
    <n v="2300"/>
    <s v="Jul 2012"/>
  </r>
  <r>
    <x v="127"/>
    <x v="0"/>
    <d v="2012-07-26T00:00:00"/>
    <n v="2300"/>
    <s v="Jul 2012"/>
  </r>
  <r>
    <x v="127"/>
    <x v="0"/>
    <d v="2012-07-28T00:00:00"/>
    <n v="2300"/>
    <s v="Jul 2012"/>
  </r>
  <r>
    <x v="127"/>
    <x v="0"/>
    <d v="2012-07-31T00:00:00"/>
    <n v="2300"/>
    <s v="Jul 2012"/>
  </r>
  <r>
    <x v="127"/>
    <x v="0"/>
    <d v="2012-08-02T00:00:00"/>
    <n v="2300"/>
    <s v="Aug 2012"/>
  </r>
  <r>
    <x v="127"/>
    <x v="0"/>
    <d v="2012-08-07T00:00:00"/>
    <n v="2300"/>
    <s v="Aug 2012"/>
  </r>
  <r>
    <x v="127"/>
    <x v="0"/>
    <d v="2012-08-09T00:00:00"/>
    <n v="2300"/>
    <s v="Aug 2012"/>
  </r>
  <r>
    <x v="127"/>
    <x v="0"/>
    <d v="2012-08-11T00:00:00"/>
    <n v="2300"/>
    <s v="Aug 2012"/>
  </r>
  <r>
    <x v="127"/>
    <x v="0"/>
    <d v="2012-08-14T00:00:00"/>
    <n v="2300"/>
    <s v="Aug 2012"/>
  </r>
  <r>
    <x v="127"/>
    <x v="0"/>
    <d v="2012-08-16T00:00:00"/>
    <n v="2300"/>
    <s v="Aug 2012"/>
  </r>
  <r>
    <x v="127"/>
    <x v="0"/>
    <d v="2012-08-18T00:00:00"/>
    <n v="2300"/>
    <s v="Aug 2012"/>
  </r>
  <r>
    <x v="127"/>
    <x v="0"/>
    <d v="2012-08-21T00:00:00"/>
    <n v="2300"/>
    <s v="Aug 2012"/>
  </r>
  <r>
    <x v="127"/>
    <x v="0"/>
    <d v="2012-08-23T00:00:00"/>
    <n v="2300"/>
    <s v="Aug 2012"/>
  </r>
  <r>
    <x v="127"/>
    <x v="0"/>
    <d v="2012-08-25T00:00:00"/>
    <n v="2300"/>
    <s v="Aug 2012"/>
  </r>
  <r>
    <x v="127"/>
    <x v="0"/>
    <d v="2012-08-28T00:00:00"/>
    <n v="2300"/>
    <s v="Aug 2012"/>
  </r>
  <r>
    <x v="127"/>
    <x v="0"/>
    <d v="2012-08-30T00:00:00"/>
    <n v="2300"/>
    <s v="Aug 2012"/>
  </r>
  <r>
    <x v="127"/>
    <x v="0"/>
    <d v="2012-09-01T00:00:00"/>
    <n v="2300"/>
    <s v="Sep 2012"/>
  </r>
  <r>
    <x v="127"/>
    <x v="0"/>
    <d v="2012-09-04T00:00:00"/>
    <n v="2300"/>
    <s v="Sep 2012"/>
  </r>
  <r>
    <x v="127"/>
    <x v="1"/>
    <d v="2012-09-25T00:00:00"/>
    <n v="1"/>
    <s v="Sep 2012"/>
  </r>
  <r>
    <x v="127"/>
    <x v="1"/>
    <d v="2012-10-11T00:00:00"/>
    <n v="1"/>
    <s v="Oct 2012"/>
  </r>
  <r>
    <x v="127"/>
    <x v="1"/>
    <d v="2012-11-15T00:00:00"/>
    <n v="2"/>
    <s v="Nov 2012"/>
  </r>
  <r>
    <x v="128"/>
    <x v="0"/>
    <d v="2012-07-03T00:00:00"/>
    <n v="4000"/>
    <s v="Jul 2012"/>
  </r>
  <r>
    <x v="128"/>
    <x v="0"/>
    <d v="2012-07-05T00:00:00"/>
    <n v="4000"/>
    <s v="Jul 2012"/>
  </r>
  <r>
    <x v="128"/>
    <x v="0"/>
    <d v="2012-08-18T00:00:00"/>
    <n v="5200"/>
    <s v="Aug 2012"/>
  </r>
  <r>
    <x v="128"/>
    <x v="0"/>
    <d v="2012-08-20T00:00:00"/>
    <n v="5200"/>
    <s v="Aug 2012"/>
  </r>
  <r>
    <x v="128"/>
    <x v="0"/>
    <d v="2012-08-23T00:00:00"/>
    <n v="5200"/>
    <s v="Aug 2012"/>
  </r>
  <r>
    <x v="128"/>
    <x v="0"/>
    <d v="2012-08-25T00:00:00"/>
    <n v="5200"/>
    <s v="Aug 2012"/>
  </r>
  <r>
    <x v="128"/>
    <x v="0"/>
    <d v="2012-08-27T00:00:00"/>
    <n v="5200"/>
    <s v="Aug 2012"/>
  </r>
  <r>
    <x v="128"/>
    <x v="0"/>
    <d v="2012-08-30T00:00:00"/>
    <n v="5200"/>
    <s v="Aug 2012"/>
  </r>
  <r>
    <x v="128"/>
    <x v="0"/>
    <d v="2012-09-04T00:00:00"/>
    <n v="5200"/>
    <s v="Sep 2012"/>
  </r>
  <r>
    <x v="128"/>
    <x v="0"/>
    <d v="2012-09-06T00:00:00"/>
    <n v="6500"/>
    <s v="Sep 2012"/>
  </r>
  <r>
    <x v="128"/>
    <x v="1"/>
    <d v="2012-09-13T00:00:00"/>
    <n v="10"/>
    <s v="Sep 20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45:D52" firstHeaderRow="1" firstDataRow="2" firstDataCol="1"/>
  <pivotFields count="3">
    <pivotField axis="axisRow" allDrilled="1" showAll="0" defaultAttributeDrillState="1">
      <items count="6">
        <item s="1" x="1"/>
        <item s="1" x="0"/>
        <item s="1" x="4"/>
        <item s="1" x="3"/>
        <item s="1" x="2"/>
        <item t="default"/>
      </items>
    </pivotField>
    <pivotField dataField="1" showAll="0"/>
    <pivotField axis="axisCol" allDrilled="1" showAll="0" dataSourceSort="1" defaultAttributeDrillState="1">
      <items count="3">
        <item x="0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Distinct Count of ID" fld="1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Medium4" showRowHeaders="1" showColHeaders="1" showRowStripes="0" showColStripes="0" showLastColumn="1"/>
  <rowHierarchiesUsage count="1">
    <rowHierarchyUsage hierarchyUsage="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dmin!$A$1:$E$2023">
        <x15:activeTabTopLevelEntity name="[Range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A7:D15" firstHeaderRow="1" firstDataRow="2" firstDataCol="1"/>
  <pivotFields count="4">
    <pivotField showAll="0"/>
    <pivotField axis="axisCol" showAll="0">
      <items count="3">
        <item x="0"/>
        <item x="1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" showAll="0"/>
  </pivotFields>
  <rowFields count="1">
    <field x="2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otal Units" fld="3" baseField="0" baseItem="0"/>
  </dataFields>
  <formats count="2">
    <format dxfId="51">
      <pivotArea type="all" dataOnly="0" outline="0" fieldPosition="0"/>
    </format>
    <format dxfId="50">
      <pivotArea type="all" dataOnly="0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>
  <location ref="A113:E244" firstHeaderRow="1" firstDataRow="3" firstDataCol="1"/>
  <pivotFields count="5">
    <pivotField axis="axisRow" showAll="0">
      <items count="1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axis="axisCol" showAll="0">
      <items count="3">
        <item x="0"/>
        <item x="1"/>
        <item t="default"/>
      </items>
    </pivotField>
    <pivotField dataField="1" numFmtId="14" showAll="0"/>
    <pivotField numFmtId="4" showAll="0"/>
    <pivotField showAll="0"/>
  </pivotFields>
  <rowFields count="1">
    <field x="0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</rowItems>
  <colFields count="2">
    <field x="1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First Date" fld="2" subtotal="min" baseField="0" baseItem="0" numFmtId="14"/>
    <dataField name="Last Date" fld="2" subtotal="max" baseField="0" baseItem="0" numFmtId="14"/>
  </dataFields>
  <formats count="11"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9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8">
      <pivotArea dataOnly="0" labelOnly="1" fieldPosition="0">
        <references count="1">
          <reference field="0" count="29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</reference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4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5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80:F82" totalsRowShown="0" headerRowDxfId="43" dataDxfId="42">
  <autoFilter ref="A80:F82"/>
  <tableColumns count="6">
    <tableColumn id="1" name="Medication" dataDxfId="41"/>
    <tableColumn id="2" name="July" dataDxfId="40">
      <calculatedColumnFormula>IF(GETPIVOTDATA("[Measures].[Distinct Count of ID]",$A$45,"[Range].[Month]","[Range].[Month].&amp;[Jul 2012]","[Range].[Med]","[Range].[Med].&amp;[Med B]")=0,"No patients",ROUND(GETPIVOTDATA("Units",$A$7,"Med","Med B","Admin Date",7)/GETPIVOTDATA("[Measures].[Distinct Count of ID]",$A$45,"[Range].[Month]","[Range].[Month].&amp;[Jul 2012]","[Range].[Med]","[Range].[Med].&amp;[Med B]"),1))</calculatedColumnFormula>
    </tableColumn>
    <tableColumn id="3" name="August" dataDxfId="39">
      <calculatedColumnFormula>IF(GETPIVOTDATA("[Measures].[Distinct Count of ID]",$A$45,"[Range].[Month]","[Range].[Month].&amp;[Aug 2012]","[Range].[Med]","[Range].[Med].&amp;[Med B]")=0,"No patients",ROUND(GETPIVOTDATA("Units",$A$7,"Med","Med B","Admin Date",8)/GETPIVOTDATA("[Measures].[Distinct Count of ID]",$A$45,"[Range].[Month]","[Range].[Month].&amp;[Aug 2012]","[Range].[Med]","[Range].[Med].&amp;[Med B]"),1))</calculatedColumnFormula>
    </tableColumn>
    <tableColumn id="4" name="September" dataDxfId="38">
      <calculatedColumnFormula>IF(
GETPIVOTDATA("[Measures].[Distinct Count of ID]",$A$45,"[Range].[Month]","[Range].[Month].&amp;[Sep 2012]","[Range].[Med]","[Range].[Med].&amp;[Med B]")=0,
"No patients",
ROUND(
GETPIVOTDATA("Units",$A$7,"Med","Med B","Admin Date",9)/
GETPIVOTDATA("[Measures].[Distinct Count of ID]",$A$45,"[Range].[Month]","[Range].[Month].&amp;[Sep 2012]","[Range].[Med]","[Range].[Med].&amp;[Med B]"),
1
)
)</calculatedColumnFormula>
    </tableColumn>
    <tableColumn id="5" name="October" dataDxfId="37">
      <calculatedColumnFormula>IF(
  GETPIVOTDATA("[Measures].[Distinct Count of ID]",$A$45,"[Range].[Month]","[Range].[Month].&amp;[Oct 2012]","[Range].[Med]","[Range].[Med].&amp;[Med B]")=0,
  "No patients",
  ROUND(
    GETPIVOTDATA("Units",$A$7,"Med","Med B","Admin Date",10) /
    GETPIVOTDATA("[Measures].[Distinct Count of ID]",$A$45,"[Range].[Month]","[Range].[Month].&amp;[Oct 2012]","[Range].[Med]","[Range].[Med].&amp;[Med B]"),
    1
  )
)</calculatedColumnFormula>
    </tableColumn>
    <tableColumn id="6" name="November" dataDxfId="36">
      <calculatedColumnFormula>IF(
  GETPIVOTDATA("[Measures].[Distinct Count of ID]",$A$45,
    "[Range].[Month]","[Range].[Month].&amp;[Nov 2012]",
    "[Range].[Med]","[Range].[Med].&amp;[Med B]"
  )=0,
  "No patients",
  ROUND(
    GETPIVOTDATA("Units",$A$7,"Med","Med B","Admin Date",11) /
    GETPIVOTDATA("[Measures].[Distinct Count of ID]",$A$45,
      "[Range].[Month]","[Range].[Month].&amp;[Nov 2012]",
      "[Range].[Med]","[Range].[Med].&amp;[Med B]"
    ),
    1
  )
)</calculatedColumnFormula>
    </tableColumn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250:C254" totalsRowShown="0" headerRowDxfId="35" dataDxfId="34">
  <autoFilter ref="A250:C254"/>
  <tableColumns count="3">
    <tableColumn id="1" name="Month" dataDxfId="33"/>
    <tableColumn id="2" name="A -&gt; B" dataDxfId="32"/>
    <tableColumn id="3" name="Directly B" dataDxfId="31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283:C287" totalsRowShown="0" headerRowDxfId="30" dataDxfId="29">
  <autoFilter ref="A283:C287"/>
  <tableColumns count="3">
    <tableColumn id="1" name="Month" dataDxfId="28"/>
    <tableColumn id="2" name="Avg Weeks on A" dataDxfId="27"/>
    <tableColumn id="3" name="Switched A -&gt; B" dataDxfId="26"/>
  </tableColumns>
  <tableStyleInfo name="TableStyleDark1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15:D316" totalsRowShown="0" headerRowDxfId="25" dataDxfId="24">
  <autoFilter ref="A315:D316"/>
  <tableColumns count="4">
    <tableColumn id="1" name="Population" dataDxfId="23"/>
    <tableColumn id="2" name="Total Switched Patients" dataDxfId="22">
      <calculatedColumnFormula>COUNTIF(F116:F244,"Yes")</calculatedColumnFormula>
    </tableColumn>
    <tableColumn id="3" name="Average Monthly A dose" dataDxfId="21">
      <calculatedColumnFormula>ROUND(AVERAGEIFS(L116:L244,F116:F244,"Yes"),2)</calculatedColumnFormula>
    </tableColumn>
    <tableColumn id="4" name="Average Monthly B dose" dataDxfId="20">
      <calculatedColumnFormula>ROUND(AVERAGEIFS(O116:O244,F116:F244,"Yes"),2)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33:C336" totalsRowShown="0" headerRowDxfId="19" dataDxfId="18">
  <autoFilter ref="A333:C336"/>
  <tableColumns count="3">
    <tableColumn id="1" name="Month" dataDxfId="17"/>
    <tableColumn id="2" name="Avg Total Monthly Dose Med A" dataDxfId="16"/>
    <tableColumn id="3" name="Avg Total Monthly Dose Med B" dataDxfId="1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44:E347" totalsRowShown="0" headerRowDxfId="9" dataDxfId="8">
  <autoFilter ref="A344:E347"/>
  <tableColumns count="5">
    <tableColumn id="1" name="Month" dataDxfId="14"/>
    <tableColumn id="2" name="No. of Patients" dataDxfId="13"/>
    <tableColumn id="3" name="First Dose == Second Dose" dataDxfId="12"/>
    <tableColumn id="4" name="First Dose &gt; Second Dose" dataDxfId="11"/>
    <tableColumn id="5" name="First Dose &lt; Second Dose" dataDxfId="1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57:B358" totalsRowShown="0" headerRowDxfId="5" dataDxfId="4">
  <autoFilter ref="A357:B358"/>
  <tableColumns count="2">
    <tableColumn id="1" name="Lab B on Med A" dataDxfId="7">
      <calculatedColumnFormula>ROUND(AVERAGEIFS($T:$T,$F:$F, "Yes",$T:$T, "&lt;&gt;"),2)</calculatedColumnFormula>
    </tableColumn>
    <tableColumn id="2" name="Lab B on Med B" dataDxfId="6">
      <calculatedColumnFormula>ROUND(AVERAGEIFS($U:$U,$F:$F, "Yes",$U:$U, "&lt;&gt;"),2)</calculatedColumnFormula>
    </tableColumn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25:B326" totalsRowShown="0" headerRowDxfId="0" dataDxfId="1">
  <autoFilter ref="A325:B326"/>
  <tableColumns count="2">
    <tableColumn id="1" name="Column1" dataDxfId="3"/>
    <tableColumn id="2" name="Column2" dataDxfId="2">
      <calculatedColumnFormula>ROUND(0.01*Table4[Average Monthly A dose]/Table4[Average Monthly B dose],2)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13" Type="http://schemas.openxmlformats.org/officeDocument/2006/relationships/table" Target="../tables/table8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12" Type="http://schemas.openxmlformats.org/officeDocument/2006/relationships/table" Target="../tables/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11" Type="http://schemas.openxmlformats.org/officeDocument/2006/relationships/table" Target="../tables/table6.xml"/><Relationship Id="rId5" Type="http://schemas.openxmlformats.org/officeDocument/2006/relationships/drawing" Target="../drawings/drawing1.xml"/><Relationship Id="rId10" Type="http://schemas.openxmlformats.org/officeDocument/2006/relationships/table" Target="../tables/table5.xml"/><Relationship Id="rId4" Type="http://schemas.openxmlformats.org/officeDocument/2006/relationships/printerSettings" Target="../printerSettings/printerSettings1.bin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8"/>
  <sheetViews>
    <sheetView tabSelected="1" zoomScaleNormal="100" workbookViewId="0">
      <selection activeCell="B6" sqref="B6"/>
    </sheetView>
  </sheetViews>
  <sheetFormatPr defaultColWidth="11.5546875" defaultRowHeight="13.2" x14ac:dyDescent="0.25"/>
  <cols>
    <col min="1" max="1" width="29.21875" customWidth="1"/>
    <col min="2" max="2" width="44.6640625" bestFit="1" customWidth="1"/>
    <col min="3" max="3" width="45.5546875" customWidth="1"/>
    <col min="4" max="4" width="37.88671875" customWidth="1"/>
    <col min="5" max="5" width="31" customWidth="1"/>
    <col min="6" max="6" width="30.88671875" bestFit="1" customWidth="1"/>
    <col min="7" max="7" width="25.77734375" bestFit="1" customWidth="1"/>
    <col min="8" max="8" width="21.6640625" bestFit="1" customWidth="1"/>
    <col min="9" max="9" width="24.33203125" bestFit="1" customWidth="1"/>
    <col min="10" max="10" width="25.77734375" bestFit="1" customWidth="1"/>
    <col min="11" max="11" width="19.6640625" bestFit="1" customWidth="1"/>
    <col min="12" max="12" width="36.109375" bestFit="1" customWidth="1"/>
    <col min="13" max="13" width="19.6640625" bestFit="1" customWidth="1"/>
    <col min="14" max="14" width="22" bestFit="1" customWidth="1"/>
    <col min="15" max="15" width="38.21875" bestFit="1" customWidth="1"/>
    <col min="16" max="16" width="23.44140625" customWidth="1"/>
    <col min="17" max="17" width="28.6640625" customWidth="1"/>
    <col min="18" max="18" width="29" customWidth="1"/>
    <col min="19" max="19" width="27.44140625" customWidth="1"/>
    <col min="20" max="20" width="28.77734375" customWidth="1"/>
    <col min="21" max="21" width="22.5546875" customWidth="1"/>
  </cols>
  <sheetData>
    <row r="1" spans="1:8" ht="13.8" x14ac:dyDescent="0.25">
      <c r="A1" s="5" t="s">
        <v>15</v>
      </c>
      <c r="B1" s="6"/>
      <c r="C1" s="6"/>
      <c r="D1" s="6"/>
      <c r="E1" s="6"/>
      <c r="F1" s="6"/>
      <c r="G1" s="6"/>
      <c r="H1" s="6"/>
    </row>
    <row r="2" spans="1:8" ht="19.2" x14ac:dyDescent="0.25">
      <c r="A2" s="14" t="s">
        <v>25</v>
      </c>
      <c r="B2" s="12"/>
    </row>
    <row r="3" spans="1:8" ht="18.600000000000001" x14ac:dyDescent="0.25">
      <c r="A3" s="12" t="s">
        <v>26</v>
      </c>
      <c r="B3" s="12" t="s">
        <v>27</v>
      </c>
    </row>
    <row r="6" spans="1:8" ht="19.2" x14ac:dyDescent="0.25">
      <c r="A6" s="15" t="s">
        <v>28</v>
      </c>
      <c r="B6" s="15"/>
      <c r="C6" s="7"/>
      <c r="D6" s="7"/>
    </row>
    <row r="7" spans="1:8" ht="18.600000000000001" x14ac:dyDescent="0.25">
      <c r="A7" s="8" t="s">
        <v>29</v>
      </c>
      <c r="B7" s="8" t="s">
        <v>24</v>
      </c>
      <c r="C7" s="9"/>
      <c r="D7" s="9"/>
    </row>
    <row r="8" spans="1:8" ht="18.600000000000001" x14ac:dyDescent="0.25">
      <c r="A8" s="8" t="s">
        <v>16</v>
      </c>
      <c r="B8" s="9" t="s">
        <v>9</v>
      </c>
      <c r="C8" s="9" t="s">
        <v>10</v>
      </c>
      <c r="D8" s="9" t="s">
        <v>17</v>
      </c>
    </row>
    <row r="9" spans="1:8" ht="18.600000000000001" x14ac:dyDescent="0.25">
      <c r="A9" s="10" t="s">
        <v>18</v>
      </c>
      <c r="B9" s="11">
        <v>4303700</v>
      </c>
      <c r="C9" s="11"/>
      <c r="D9" s="11">
        <v>4303700</v>
      </c>
    </row>
    <row r="10" spans="1:8" ht="18.600000000000001" x14ac:dyDescent="0.25">
      <c r="A10" s="10" t="s">
        <v>19</v>
      </c>
      <c r="B10" s="11">
        <v>4477100</v>
      </c>
      <c r="C10" s="11"/>
      <c r="D10" s="11">
        <v>4477100</v>
      </c>
    </row>
    <row r="11" spans="1:8" ht="18.600000000000001" x14ac:dyDescent="0.25">
      <c r="A11" s="10" t="s">
        <v>20</v>
      </c>
      <c r="B11" s="11">
        <v>849900</v>
      </c>
      <c r="C11" s="11">
        <v>535</v>
      </c>
      <c r="D11" s="11">
        <v>850435</v>
      </c>
    </row>
    <row r="12" spans="1:8" ht="18.600000000000001" x14ac:dyDescent="0.25">
      <c r="A12" s="10" t="s">
        <v>21</v>
      </c>
      <c r="B12" s="11"/>
      <c r="C12" s="11">
        <v>393</v>
      </c>
      <c r="D12" s="11">
        <v>393</v>
      </c>
    </row>
    <row r="13" spans="1:8" ht="18.600000000000001" x14ac:dyDescent="0.25">
      <c r="A13" s="10" t="s">
        <v>22</v>
      </c>
      <c r="B13" s="11">
        <v>75300</v>
      </c>
      <c r="C13" s="11">
        <v>420</v>
      </c>
      <c r="D13" s="11">
        <v>75720</v>
      </c>
    </row>
    <row r="14" spans="1:8" ht="18.600000000000001" x14ac:dyDescent="0.25">
      <c r="A14" s="10" t="s">
        <v>23</v>
      </c>
      <c r="B14" s="11">
        <v>10200</v>
      </c>
      <c r="C14" s="11">
        <v>1</v>
      </c>
      <c r="D14" s="11">
        <v>10201</v>
      </c>
    </row>
    <row r="15" spans="1:8" ht="18.600000000000001" x14ac:dyDescent="0.25">
      <c r="A15" s="10" t="s">
        <v>17</v>
      </c>
      <c r="B15" s="11">
        <v>9716200</v>
      </c>
      <c r="C15" s="11">
        <v>1349</v>
      </c>
      <c r="D15" s="11">
        <v>9717549</v>
      </c>
    </row>
    <row r="44" spans="1:4" ht="19.2" x14ac:dyDescent="0.25">
      <c r="A44" s="14" t="s">
        <v>30</v>
      </c>
      <c r="B44" s="14"/>
    </row>
    <row r="45" spans="1:4" ht="18.600000000000001" x14ac:dyDescent="0.25">
      <c r="A45" s="18" t="s">
        <v>32</v>
      </c>
      <c r="B45" s="18" t="s">
        <v>24</v>
      </c>
      <c r="C45" s="12"/>
      <c r="D45" s="12"/>
    </row>
    <row r="46" spans="1:4" ht="18.600000000000001" x14ac:dyDescent="0.25">
      <c r="A46" s="18" t="s">
        <v>16</v>
      </c>
      <c r="B46" s="12" t="s">
        <v>9</v>
      </c>
      <c r="C46" s="12" t="s">
        <v>10</v>
      </c>
      <c r="D46" s="12" t="s">
        <v>17</v>
      </c>
    </row>
    <row r="47" spans="1:4" ht="18.600000000000001" x14ac:dyDescent="0.25">
      <c r="A47" s="19" t="s">
        <v>34</v>
      </c>
      <c r="B47" s="13">
        <v>92</v>
      </c>
      <c r="C47" s="13"/>
      <c r="D47" s="13">
        <v>92</v>
      </c>
    </row>
    <row r="48" spans="1:4" ht="18.600000000000001" x14ac:dyDescent="0.25">
      <c r="A48" s="19" t="s">
        <v>33</v>
      </c>
      <c r="B48" s="13">
        <v>92</v>
      </c>
      <c r="C48" s="13"/>
      <c r="D48" s="13">
        <v>92</v>
      </c>
    </row>
    <row r="49" spans="1:4" ht="18.600000000000001" x14ac:dyDescent="0.25">
      <c r="A49" s="19" t="s">
        <v>37</v>
      </c>
      <c r="B49" s="13">
        <v>73</v>
      </c>
      <c r="C49" s="13">
        <v>76</v>
      </c>
      <c r="D49" s="13">
        <v>87</v>
      </c>
    </row>
    <row r="50" spans="1:4" ht="18.600000000000001" x14ac:dyDescent="0.25">
      <c r="A50" s="19" t="s">
        <v>36</v>
      </c>
      <c r="B50" s="13"/>
      <c r="C50" s="13">
        <v>66</v>
      </c>
      <c r="D50" s="13">
        <v>66</v>
      </c>
    </row>
    <row r="51" spans="1:4" ht="18.600000000000001" x14ac:dyDescent="0.25">
      <c r="A51" s="19" t="s">
        <v>35</v>
      </c>
      <c r="B51" s="13">
        <v>4</v>
      </c>
      <c r="C51" s="13">
        <v>72</v>
      </c>
      <c r="D51" s="13">
        <v>76</v>
      </c>
    </row>
    <row r="52" spans="1:4" ht="18.600000000000001" x14ac:dyDescent="0.25">
      <c r="A52" s="19" t="s">
        <v>17</v>
      </c>
      <c r="B52" s="13">
        <v>110</v>
      </c>
      <c r="C52" s="13">
        <v>97</v>
      </c>
      <c r="D52" s="13">
        <v>126</v>
      </c>
    </row>
    <row r="53" spans="1:4" ht="18.600000000000001" x14ac:dyDescent="0.25">
      <c r="D53" s="13"/>
    </row>
    <row r="79" spans="1:6" ht="19.2" x14ac:dyDescent="0.25">
      <c r="A79" s="14" t="s">
        <v>38</v>
      </c>
      <c r="B79" s="14"/>
    </row>
    <row r="80" spans="1:6" ht="19.2" x14ac:dyDescent="0.25">
      <c r="A80" s="14" t="s">
        <v>39</v>
      </c>
      <c r="B80" s="14" t="s">
        <v>40</v>
      </c>
      <c r="C80" s="14" t="s">
        <v>41</v>
      </c>
      <c r="D80" s="14" t="s">
        <v>42</v>
      </c>
      <c r="E80" s="14" t="s">
        <v>43</v>
      </c>
      <c r="F80" s="14" t="s">
        <v>44</v>
      </c>
    </row>
    <row r="81" spans="1:6" ht="19.2" x14ac:dyDescent="0.25">
      <c r="A81" s="14" t="s">
        <v>9</v>
      </c>
      <c r="B81" s="12">
        <f>IFERROR(ROUND(B9/B47,0),"No patients")</f>
        <v>46779</v>
      </c>
      <c r="C81" s="12">
        <f>IFERROR(ROUND(B10/B48,0),"No patients")</f>
        <v>48664</v>
      </c>
      <c r="D81" s="12">
        <f>IFERROR(ROUND(B11/B49,0),"No patients")</f>
        <v>11642</v>
      </c>
      <c r="E81" s="12" t="str">
        <f>IFERROR(ROUND(B12/B50,0),"No patients")</f>
        <v>No patients</v>
      </c>
      <c r="F81" s="12">
        <f>IFERROR(ROUND(B13/B51,0),"No patients")</f>
        <v>18825</v>
      </c>
    </row>
    <row r="82" spans="1:6" ht="19.2" x14ac:dyDescent="0.25">
      <c r="A82" s="14" t="s">
        <v>10</v>
      </c>
      <c r="B82" s="12" t="str">
        <f>IFERROR(ROUND(C9/C47,0),"No patients")</f>
        <v>No patients</v>
      </c>
      <c r="C82" s="12" t="str">
        <f>IFERROR(ROUND(C10/C48,0),"No patients")</f>
        <v>No patients</v>
      </c>
      <c r="D82" s="12">
        <f>ROUND(C11/C49,0)</f>
        <v>7</v>
      </c>
      <c r="E82" s="12">
        <f>ROUND(C12/C50,0)</f>
        <v>6</v>
      </c>
      <c r="F82" s="12">
        <f>ROUND(C13/C51,0)</f>
        <v>6</v>
      </c>
    </row>
    <row r="83" spans="1:6" ht="18.600000000000001" x14ac:dyDescent="0.25">
      <c r="B83" s="12"/>
    </row>
    <row r="109" spans="1:2" ht="19.2" x14ac:dyDescent="0.25">
      <c r="A109" s="14"/>
      <c r="B109" s="14"/>
    </row>
    <row r="112" spans="1:2" ht="19.2" x14ac:dyDescent="0.25">
      <c r="A112" s="14" t="s">
        <v>46</v>
      </c>
      <c r="B112" s="14" t="s">
        <v>48</v>
      </c>
    </row>
    <row r="113" spans="1:21" ht="18.600000000000001" x14ac:dyDescent="0.25">
      <c r="A113" s="12"/>
      <c r="B113" s="18" t="s">
        <v>24</v>
      </c>
      <c r="C113" s="12"/>
      <c r="D113" s="12"/>
      <c r="E113" s="12"/>
    </row>
    <row r="114" spans="1:21" ht="19.2" x14ac:dyDescent="0.25">
      <c r="A114" s="12"/>
      <c r="B114" s="12" t="s">
        <v>9</v>
      </c>
      <c r="C114" s="12"/>
      <c r="D114" s="12" t="s">
        <v>10</v>
      </c>
      <c r="E114" s="12"/>
      <c r="H114" s="16"/>
      <c r="N114" s="14" t="s">
        <v>58</v>
      </c>
      <c r="O114" s="17" t="s">
        <v>59</v>
      </c>
    </row>
    <row r="115" spans="1:21" ht="19.2" x14ac:dyDescent="0.25">
      <c r="A115" s="18" t="s">
        <v>16</v>
      </c>
      <c r="B115" s="12" t="s">
        <v>49</v>
      </c>
      <c r="C115" s="12" t="s">
        <v>47</v>
      </c>
      <c r="D115" s="12" t="s">
        <v>49</v>
      </c>
      <c r="E115" s="12" t="s">
        <v>47</v>
      </c>
      <c r="F115" s="14" t="s">
        <v>45</v>
      </c>
      <c r="G115" s="14" t="s">
        <v>50</v>
      </c>
      <c r="H115" s="14" t="s">
        <v>51</v>
      </c>
      <c r="I115" s="14" t="s">
        <v>52</v>
      </c>
      <c r="J115" s="14" t="s">
        <v>53</v>
      </c>
      <c r="K115" s="14" t="s">
        <v>54</v>
      </c>
      <c r="L115" s="14" t="s">
        <v>55</v>
      </c>
      <c r="M115" s="14" t="s">
        <v>56</v>
      </c>
      <c r="N115" s="14" t="s">
        <v>57</v>
      </c>
      <c r="O115" s="14" t="s">
        <v>90</v>
      </c>
      <c r="P115" s="14" t="s">
        <v>60</v>
      </c>
      <c r="Q115" s="14" t="s">
        <v>61</v>
      </c>
      <c r="R115" s="14" t="s">
        <v>62</v>
      </c>
      <c r="S115" s="14" t="s">
        <v>63</v>
      </c>
      <c r="T115" s="14" t="s">
        <v>64</v>
      </c>
      <c r="U115" s="14" t="s">
        <v>65</v>
      </c>
    </row>
    <row r="116" spans="1:21" ht="18.600000000000001" customHeight="1" x14ac:dyDescent="0.25">
      <c r="A116" s="19">
        <v>1</v>
      </c>
      <c r="B116" s="20">
        <v>41092</v>
      </c>
      <c r="C116" s="20">
        <v>41157</v>
      </c>
      <c r="D116" s="20">
        <v>41164</v>
      </c>
      <c r="E116" s="20">
        <v>41241</v>
      </c>
      <c r="F116" s="12" t="str">
        <f>IF(AND(NOT(ISBLANK(B116)),NOT(ISBLANK(D116)),D116 &gt; B116), "Yes", "No")</f>
        <v>Yes</v>
      </c>
      <c r="G116" s="12" t="str">
        <f>IF(AND(ISBLANK(B116), NOT(ISBLANK(D116))), "Yes", "No")</f>
        <v>No</v>
      </c>
      <c r="H116" s="12" t="str">
        <f>IF(NOT(ISBLANK(D116)), TEXT(D116, "mmm yyyy"), "Never Started B")</f>
        <v>Sep 2012</v>
      </c>
      <c r="I116" s="12">
        <f>IF(OR(B116="",C116=""),"", ((C116-B116)+1)/7)</f>
        <v>9.4285714285714288</v>
      </c>
      <c r="J116" s="12">
        <f>IF(I116="","", I116/4.33)</f>
        <v>2.1774991751897064</v>
      </c>
      <c r="K116" s="12">
        <f>SUMIFS(
  Admin!$D:$D,
  Admin!$A:$A, $A116,
  Admin!$B:$B, "Med A",
  Admin!$C:$C, "&gt;=" &amp; $B116,
  Admin!$C:$C, "&lt;=" &amp; $C116
)</f>
        <v>43800</v>
      </c>
      <c r="L116" s="12">
        <f>IF(AND(B116="",C116=""),
    "Never took A",
    IF(B116=C116,
       K116,
       IF(J116=0, 0, K116/J116)
    )
)</f>
        <v>20114.81818181818</v>
      </c>
      <c r="M116" s="12">
        <f>SUMIFS(Admin!$D:$D,Admin!$A:$A,$A116, Admin!$B:$B,"Med B")</f>
        <v>8</v>
      </c>
      <c r="N116" s="12">
        <f>COUNTIFS(Admin!$A:$A,$A116, Admin!$B:$B,"Med B")</f>
        <v>3</v>
      </c>
      <c r="O116" s="12">
        <f t="shared" ref="O116:O147" si="0">IF(N116=0,"Never took B",M116/N116)</f>
        <v>2.6666666666666665</v>
      </c>
      <c r="P116" s="12">
        <f>IF(D116="", "Never took B",
   SUMIFS(Admin!$D:$D,
          Admin!$A:$A,$A116,
          Admin!$B:$B,"Med B",
          Admin!$C:$C,D116)
)</f>
        <v>4</v>
      </c>
      <c r="Q116" s="20">
        <f>IF(D116="","",
   EDATE(DATE(YEAR(D116),MONTH(D116),1),1)
)</f>
        <v>41183</v>
      </c>
      <c r="R116" s="12">
        <f>IF(Q116="","",
   SUMIFS(Admin!$D:$D,
          Admin!$A:$A,$A116,
          Admin!$B:$B,"Med B",
          Admin!$C:$C,"&gt;="&amp;Q116,
          Admin!$C:$C,"&lt;"&amp;EDATE(Q116,1))
)</f>
        <v>3</v>
      </c>
      <c r="S116" s="12" t="str">
        <f>IF(P116="Never took B","Never took B",
   IF(R116="No 2nd dose","No 2nd dose",
      IF(R116=P116,"Same",
         IF(R116&gt;P116,"Higher","Lower")
      )
   )
)</f>
        <v>Lower</v>
      </c>
      <c r="T116" s="12">
        <f>IFERROR(
   AVERAGEIFS(
      Labs!$D:$D,
      Labs!$A:$A,$A116,
      Labs!$C:$C,"LAB B",
      Labs!$B:$B,"&lt;"&amp;$D116
   ),
   ""
)</f>
        <v>10.379999999999999</v>
      </c>
      <c r="U116" s="12">
        <f>IFERROR(
   AVERAGEIFS(
      Labs!$D:$D,
      Labs!$A:$A,$A116,
      Labs!$C:$C,"LAB B",
      Labs!$B:$B,"&gt;="&amp;$D116
   ),
   ""
)</f>
        <v>11.133333333333333</v>
      </c>
    </row>
    <row r="117" spans="1:21" ht="18.600000000000001" x14ac:dyDescent="0.25">
      <c r="A117" s="19">
        <v>2</v>
      </c>
      <c r="B117" s="20">
        <v>41093</v>
      </c>
      <c r="C117" s="20">
        <v>41139</v>
      </c>
      <c r="D117" s="20">
        <v>41165</v>
      </c>
      <c r="E117" s="20">
        <v>41165</v>
      </c>
      <c r="F117" s="12" t="str">
        <f t="shared" ref="F117:F180" si="1">IF(AND(NOT(ISBLANK(B117)),NOT(ISBLANK(D117)),D117 &gt; B117), "Yes", "No")</f>
        <v>Yes</v>
      </c>
      <c r="G117" s="12" t="str">
        <f t="shared" ref="G117:G180" si="2">IF(AND(ISBLANK(B117), NOT(ISBLANK(D117))), "Yes", "No")</f>
        <v>No</v>
      </c>
      <c r="H117" s="12" t="str">
        <f t="shared" ref="H117:H180" si="3">IF(NOT(ISBLANK(D117)), TEXT(D117, "mmm yyyy"), "Never Started B")</f>
        <v>Sep 2012</v>
      </c>
      <c r="I117" s="12">
        <f t="shared" ref="I117:I180" si="4">IF(OR(B117="",C117=""),"", ((C117-B117)+1)/7)</f>
        <v>6.7142857142857144</v>
      </c>
      <c r="J117" s="12">
        <f t="shared" ref="J117:J180" si="5">IF(I117="","", I117/4.33)</f>
        <v>1.5506433520290333</v>
      </c>
      <c r="K117" s="12">
        <f>SUMIFS(
  Admin!$D:$D,
  Admin!$A:$A, $A117,
  Admin!$B:$B, "Med A",
  Admin!$C:$C, "&gt;=" &amp; $B117,
  Admin!$C:$C, "&lt;=" &amp; $C117
)</f>
        <v>26900</v>
      </c>
      <c r="L117" s="12">
        <f t="shared" ref="L117:L180" si="6">IF(AND(B117="",C117=""),
    "Never took A",
    IF(B117=C117,
       K117,
       IF(J117=0, 0, K117/J117)
    )
)</f>
        <v>17347.638297872341</v>
      </c>
      <c r="M117" s="12">
        <f>SUMIFS(Admin!$D:$D,Admin!$A:$A,$A117, Admin!$B:$B,"Med B")</f>
        <v>3</v>
      </c>
      <c r="N117" s="12">
        <f>COUNTIFS(Admin!$A:$A,$A117, Admin!$B:$B,"Med B")</f>
        <v>1</v>
      </c>
      <c r="O117" s="12">
        <f t="shared" si="0"/>
        <v>3</v>
      </c>
      <c r="P117" s="12">
        <f>IF(D117="", "Never took B",
   SUMIFS(Admin!$D:$D,
          Admin!$A:$A,$A117,
          Admin!$B:$B,"Med B",
          Admin!$C:$C,D117)
)</f>
        <v>3</v>
      </c>
      <c r="Q117" s="20">
        <f t="shared" ref="Q117:Q180" si="7">IF(D117="","",
   EDATE(DATE(YEAR(D117),MONTH(D117),1),1)
)</f>
        <v>41183</v>
      </c>
      <c r="R117" s="12">
        <f>IF(Q117="","",
   SUMIFS(Admin!$D:$D,
          Admin!$A:$A,$A117,
          Admin!$B:$B,"Med B",
          Admin!$C:$C,"&gt;="&amp;Q117,
          Admin!$C:$C,"&lt;"&amp;EDATE(Q117,1))
)</f>
        <v>0</v>
      </c>
      <c r="S117" s="12" t="str">
        <f t="shared" ref="S117:S180" si="8">IF(P117="Never took B","Never took B",
   IF(R117="No 2nd dose","No 2nd dose",
      IF(R117=P117,"Same",
         IF(R117&gt;P117,"Higher","Lower")
      )
   )
)</f>
        <v>Lower</v>
      </c>
      <c r="T117" s="12">
        <f>IFERROR(
   AVERAGEIFS(
      Labs!$D:$D,
      Labs!$A:$A,$A117,
      Labs!$C:$C,"LAB B",
      Labs!$B:$B,"&lt;"&amp;$D117
   ),
   ""
)</f>
        <v>11.085714285714285</v>
      </c>
      <c r="U117" s="12">
        <f>IFERROR(
   AVERAGEIFS(
      Labs!$D:$D,
      Labs!$A:$A,$A117,
      Labs!$C:$C,"LAB B",
      Labs!$B:$B,"&gt;="&amp;$D117
   ),
   ""
)</f>
        <v>11.78</v>
      </c>
    </row>
    <row r="118" spans="1:21" ht="18.600000000000001" x14ac:dyDescent="0.25">
      <c r="A118" s="19">
        <v>3</v>
      </c>
      <c r="B118" s="20">
        <v>41092</v>
      </c>
      <c r="C118" s="20">
        <v>41094</v>
      </c>
      <c r="D118" s="20"/>
      <c r="E118" s="20"/>
      <c r="F118" s="12" t="str">
        <f t="shared" si="1"/>
        <v>No</v>
      </c>
      <c r="G118" s="12" t="str">
        <f t="shared" si="2"/>
        <v>No</v>
      </c>
      <c r="H118" s="12" t="str">
        <f t="shared" si="3"/>
        <v>Never Started B</v>
      </c>
      <c r="I118" s="12">
        <f t="shared" si="4"/>
        <v>0.42857142857142855</v>
      </c>
      <c r="J118" s="12">
        <f t="shared" si="5"/>
        <v>9.897723523589573E-2</v>
      </c>
      <c r="K118" s="12">
        <f>SUMIFS(
  Admin!$D:$D,
  Admin!$A:$A, $A118,
  Admin!$B:$B, "Med A",
  Admin!$C:$C, "&gt;=" &amp; $B118,
  Admin!$C:$C, "&lt;=" &amp; $C118
)</f>
        <v>200</v>
      </c>
      <c r="L118" s="12">
        <f t="shared" si="6"/>
        <v>2020.666666666667</v>
      </c>
      <c r="M118" s="12">
        <f>SUMIFS(Admin!$D:$D,Admin!$A:$A,$A118, Admin!$B:$B,"Med B")</f>
        <v>0</v>
      </c>
      <c r="N118" s="12">
        <f>COUNTIFS(Admin!$A:$A,$A118, Admin!$B:$B,"Med B")</f>
        <v>0</v>
      </c>
      <c r="O118" s="12" t="str">
        <f t="shared" si="0"/>
        <v>Never took B</v>
      </c>
      <c r="P118" s="12" t="str">
        <f>IF(D118="", "Never took B",
   SUMIFS(Admin!$D:$D,
          Admin!$A:$A,$A118,
          Admin!$B:$B,"Med B",
          Admin!$C:$C,D118)
)</f>
        <v>Never took B</v>
      </c>
      <c r="Q118" s="20" t="str">
        <f t="shared" si="7"/>
        <v/>
      </c>
      <c r="R118" s="12" t="str">
        <f>IF(Q118="","",
   SUMIFS(Admin!$D:$D,
          Admin!$A:$A,$A118,
          Admin!$B:$B,"Med B",
          Admin!$C:$C,"&gt;="&amp;Q118,
          Admin!$C:$C,"&lt;"&amp;EDATE(Q118,1))
)</f>
        <v/>
      </c>
      <c r="S118" s="12" t="str">
        <f t="shared" si="8"/>
        <v>Never took B</v>
      </c>
      <c r="T118" s="12" t="str">
        <f>IFERROR(
   AVERAGEIFS(
      Labs!$D:$D,
      Labs!$A:$A,$A118,
      Labs!$C:$C,"LAB B",
      Labs!$B:$B,"&lt;"&amp;$D118
   ),
   ""
)</f>
        <v/>
      </c>
      <c r="U118" s="12" t="str">
        <f>IFERROR(
   AVERAGEIFS(
      Labs!$D:$D,
      Labs!$A:$A,$A118,
      Labs!$C:$C,"LAB B",
      Labs!$B:$B,"&gt;="&amp;$D118
   ),
   ""
)</f>
        <v/>
      </c>
    </row>
    <row r="119" spans="1:21" ht="18.600000000000001" x14ac:dyDescent="0.25">
      <c r="A119" s="19">
        <v>4</v>
      </c>
      <c r="B119" s="20">
        <v>41092</v>
      </c>
      <c r="C119" s="20">
        <v>41157</v>
      </c>
      <c r="D119" s="20">
        <v>41164</v>
      </c>
      <c r="E119" s="20">
        <v>41227</v>
      </c>
      <c r="F119" s="12" t="str">
        <f t="shared" si="1"/>
        <v>Yes</v>
      </c>
      <c r="G119" s="12" t="str">
        <f t="shared" si="2"/>
        <v>No</v>
      </c>
      <c r="H119" s="12" t="str">
        <f t="shared" si="3"/>
        <v>Sep 2012</v>
      </c>
      <c r="I119" s="12">
        <f t="shared" si="4"/>
        <v>9.4285714285714288</v>
      </c>
      <c r="J119" s="12">
        <f t="shared" si="5"/>
        <v>2.1774991751897064</v>
      </c>
      <c r="K119" s="12">
        <f>SUMIFS(
  Admin!$D:$D,
  Admin!$A:$A, $A119,
  Admin!$B:$B, "Med A",
  Admin!$C:$C, "&gt;=" &amp; $B119,
  Admin!$C:$C, "&lt;=" &amp; $C119
)</f>
        <v>36200</v>
      </c>
      <c r="L119" s="12">
        <f t="shared" si="6"/>
        <v>16624.575757575756</v>
      </c>
      <c r="M119" s="12">
        <f>SUMIFS(Admin!$D:$D,Admin!$A:$A,$A119, Admin!$B:$B,"Med B")</f>
        <v>4</v>
      </c>
      <c r="N119" s="12">
        <f>COUNTIFS(Admin!$A:$A,$A119, Admin!$B:$B,"Med B")</f>
        <v>2</v>
      </c>
      <c r="O119" s="12">
        <f t="shared" si="0"/>
        <v>2</v>
      </c>
      <c r="P119" s="12">
        <f>IF(D119="", "Never took B",
   SUMIFS(Admin!$D:$D,
          Admin!$A:$A,$A119,
          Admin!$B:$B,"Med B",
          Admin!$C:$C,D119)
)</f>
        <v>3</v>
      </c>
      <c r="Q119" s="20">
        <f t="shared" si="7"/>
        <v>41183</v>
      </c>
      <c r="R119" s="12">
        <f>IF(Q119="","",
   SUMIFS(Admin!$D:$D,
          Admin!$A:$A,$A119,
          Admin!$B:$B,"Med B",
          Admin!$C:$C,"&gt;="&amp;Q119,
          Admin!$C:$C,"&lt;"&amp;EDATE(Q119,1))
)</f>
        <v>0</v>
      </c>
      <c r="S119" s="12" t="str">
        <f t="shared" si="8"/>
        <v>Lower</v>
      </c>
      <c r="T119" s="12">
        <f>IFERROR(
   AVERAGEIFS(
      Labs!$D:$D,
      Labs!$A:$A,$A119,
      Labs!$C:$C,"LAB B",
      Labs!$B:$B,"&lt;"&amp;$D119
   ),
   ""
)</f>
        <v>10.779999999999998</v>
      </c>
      <c r="U119" s="12">
        <f>IFERROR(
   AVERAGEIFS(
      Labs!$D:$D,
      Labs!$A:$A,$A119,
      Labs!$C:$C,"LAB B",
      Labs!$B:$B,"&gt;="&amp;$D119
   ),
   ""
)</f>
        <v>12.020000000000001</v>
      </c>
    </row>
    <row r="120" spans="1:21" ht="18.600000000000001" x14ac:dyDescent="0.25">
      <c r="A120" s="19">
        <v>5</v>
      </c>
      <c r="B120" s="20">
        <v>41096</v>
      </c>
      <c r="C120" s="20">
        <v>41136</v>
      </c>
      <c r="D120" s="20">
        <v>41164</v>
      </c>
      <c r="E120" s="20">
        <v>41227</v>
      </c>
      <c r="F120" s="12" t="str">
        <f t="shared" si="1"/>
        <v>Yes</v>
      </c>
      <c r="G120" s="12" t="str">
        <f t="shared" si="2"/>
        <v>No</v>
      </c>
      <c r="H120" s="12" t="str">
        <f t="shared" si="3"/>
        <v>Sep 2012</v>
      </c>
      <c r="I120" s="12">
        <f t="shared" si="4"/>
        <v>5.8571428571428568</v>
      </c>
      <c r="J120" s="12">
        <f t="shared" si="5"/>
        <v>1.3526888815572418</v>
      </c>
      <c r="K120" s="12">
        <f>SUMIFS(
  Admin!$D:$D,
  Admin!$A:$A, $A120,
  Admin!$B:$B, "Med A",
  Admin!$C:$C, "&gt;=" &amp; $B120,
  Admin!$C:$C, "&lt;=" &amp; $C120
)</f>
        <v>96900</v>
      </c>
      <c r="L120" s="12">
        <f t="shared" si="6"/>
        <v>71635.097560975613</v>
      </c>
      <c r="M120" s="12">
        <f>SUMIFS(Admin!$D:$D,Admin!$A:$A,$A120, Admin!$B:$B,"Med B")</f>
        <v>24</v>
      </c>
      <c r="N120" s="12">
        <f>COUNTIFS(Admin!$A:$A,$A120, Admin!$B:$B,"Med B")</f>
        <v>3</v>
      </c>
      <c r="O120" s="12">
        <f t="shared" si="0"/>
        <v>8</v>
      </c>
      <c r="P120" s="12">
        <f>IF(D120="", "Never took B",
   SUMIFS(Admin!$D:$D,
          Admin!$A:$A,$A120,
          Admin!$B:$B,"Med B",
          Admin!$C:$C,D120)
)</f>
        <v>8</v>
      </c>
      <c r="Q120" s="20">
        <f t="shared" si="7"/>
        <v>41183</v>
      </c>
      <c r="R120" s="12">
        <f>IF(Q120="","",
   SUMIFS(Admin!$D:$D,
          Admin!$A:$A,$A120,
          Admin!$B:$B,"Med B",
          Admin!$C:$C,"&gt;="&amp;Q120,
          Admin!$C:$C,"&lt;"&amp;EDATE(Q120,1))
)</f>
        <v>8</v>
      </c>
      <c r="S120" s="12" t="str">
        <f t="shared" si="8"/>
        <v>Same</v>
      </c>
      <c r="T120" s="12">
        <f>IFERROR(
   AVERAGEIFS(
      Labs!$D:$D,
      Labs!$A:$A,$A120,
      Labs!$C:$C,"LAB B",
      Labs!$B:$B,"&lt;"&amp;$D120
   ),
   ""
)</f>
        <v>11.5</v>
      </c>
      <c r="U120" s="12">
        <f>IFERROR(
   AVERAGEIFS(
      Labs!$D:$D,
      Labs!$A:$A,$A120,
      Labs!$C:$C,"LAB B",
      Labs!$B:$B,"&gt;="&amp;$D120
   ),
   ""
)</f>
        <v>10.328571428571427</v>
      </c>
    </row>
    <row r="121" spans="1:21" ht="18.600000000000001" x14ac:dyDescent="0.25">
      <c r="A121" s="19">
        <v>6</v>
      </c>
      <c r="B121" s="20">
        <v>41246</v>
      </c>
      <c r="C121" s="20">
        <v>41246</v>
      </c>
      <c r="D121" s="20"/>
      <c r="E121" s="20"/>
      <c r="F121" s="12" t="str">
        <f t="shared" si="1"/>
        <v>No</v>
      </c>
      <c r="G121" s="12" t="str">
        <f t="shared" si="2"/>
        <v>No</v>
      </c>
      <c r="H121" s="12" t="str">
        <f t="shared" si="3"/>
        <v>Never Started B</v>
      </c>
      <c r="I121" s="12">
        <f t="shared" si="4"/>
        <v>0.14285714285714285</v>
      </c>
      <c r="J121" s="12">
        <f t="shared" si="5"/>
        <v>3.2992411745298579E-2</v>
      </c>
      <c r="K121" s="12">
        <f>SUMIFS(
  Admin!$D:$D,
  Admin!$A:$A, $A121,
  Admin!$B:$B, "Med A",
  Admin!$C:$C, "&gt;=" &amp; $B121,
  Admin!$C:$C, "&lt;=" &amp; $C121
)</f>
        <v>3800</v>
      </c>
      <c r="L121" s="12">
        <f t="shared" si="6"/>
        <v>3800</v>
      </c>
      <c r="M121" s="12">
        <f>SUMIFS(Admin!$D:$D,Admin!$A:$A,$A121, Admin!$B:$B,"Med B")</f>
        <v>0</v>
      </c>
      <c r="N121" s="12">
        <f>COUNTIFS(Admin!$A:$A,$A121, Admin!$B:$B,"Med B")</f>
        <v>0</v>
      </c>
      <c r="O121" s="12" t="str">
        <f t="shared" si="0"/>
        <v>Never took B</v>
      </c>
      <c r="P121" s="12" t="str">
        <f>IF(D121="", "Never took B",
   SUMIFS(Admin!$D:$D,
          Admin!$A:$A,$A121,
          Admin!$B:$B,"Med B",
          Admin!$C:$C,D121)
)</f>
        <v>Never took B</v>
      </c>
      <c r="Q121" s="20" t="str">
        <f t="shared" si="7"/>
        <v/>
      </c>
      <c r="R121" s="12" t="str">
        <f>IF(Q121="","",
   SUMIFS(Admin!$D:$D,
          Admin!$A:$A,$A121,
          Admin!$B:$B,"Med B",
          Admin!$C:$C,"&gt;="&amp;Q121,
          Admin!$C:$C,"&lt;"&amp;EDATE(Q121,1))
)</f>
        <v/>
      </c>
      <c r="S121" s="12" t="str">
        <f t="shared" si="8"/>
        <v>Never took B</v>
      </c>
      <c r="T121" s="12" t="str">
        <f>IFERROR(
   AVERAGEIFS(
      Labs!$D:$D,
      Labs!$A:$A,$A121,
      Labs!$C:$C,"LAB B",
      Labs!$B:$B,"&lt;"&amp;$D121
   ),
   ""
)</f>
        <v/>
      </c>
      <c r="U121" s="12" t="str">
        <f>IFERROR(
   AVERAGEIFS(
      Labs!$D:$D,
      Labs!$A:$A,$A121,
      Labs!$C:$C,"LAB B",
      Labs!$B:$B,"&gt;="&amp;$D121
   ),
   ""
)</f>
        <v/>
      </c>
    </row>
    <row r="122" spans="1:21" ht="18.600000000000001" x14ac:dyDescent="0.25">
      <c r="A122" s="19">
        <v>7</v>
      </c>
      <c r="B122" s="20">
        <v>41093</v>
      </c>
      <c r="C122" s="20">
        <v>41109</v>
      </c>
      <c r="D122" s="20"/>
      <c r="E122" s="20"/>
      <c r="F122" s="12" t="str">
        <f t="shared" si="1"/>
        <v>No</v>
      </c>
      <c r="G122" s="12" t="str">
        <f t="shared" si="2"/>
        <v>No</v>
      </c>
      <c r="H122" s="12" t="str">
        <f t="shared" si="3"/>
        <v>Never Started B</v>
      </c>
      <c r="I122" s="12">
        <f t="shared" si="4"/>
        <v>2.4285714285714284</v>
      </c>
      <c r="J122" s="12">
        <f t="shared" si="5"/>
        <v>0.56087099967007581</v>
      </c>
      <c r="K122" s="12">
        <f>SUMIFS(
  Admin!$D:$D,
  Admin!$A:$A, $A122,
  Admin!$B:$B, "Med A",
  Admin!$C:$C, "&gt;=" &amp; $B122,
  Admin!$C:$C, "&lt;=" &amp; $C122
)</f>
        <v>44800</v>
      </c>
      <c r="L122" s="12">
        <f t="shared" si="6"/>
        <v>79875.764705882364</v>
      </c>
      <c r="M122" s="12">
        <f>SUMIFS(Admin!$D:$D,Admin!$A:$A,$A122, Admin!$B:$B,"Med B")</f>
        <v>0</v>
      </c>
      <c r="N122" s="12">
        <f>COUNTIFS(Admin!$A:$A,$A122, Admin!$B:$B,"Med B")</f>
        <v>0</v>
      </c>
      <c r="O122" s="12" t="str">
        <f t="shared" si="0"/>
        <v>Never took B</v>
      </c>
      <c r="P122" s="12" t="str">
        <f>IF(D122="", "Never took B",
   SUMIFS(Admin!$D:$D,
          Admin!$A:$A,$A122,
          Admin!$B:$B,"Med B",
          Admin!$C:$C,D122)
)</f>
        <v>Never took B</v>
      </c>
      <c r="Q122" s="20" t="str">
        <f t="shared" si="7"/>
        <v/>
      </c>
      <c r="R122" s="12" t="str">
        <f>IF(Q122="","",
   SUMIFS(Admin!$D:$D,
          Admin!$A:$A,$A122,
          Admin!$B:$B,"Med B",
          Admin!$C:$C,"&gt;="&amp;Q122,
          Admin!$C:$C,"&lt;"&amp;EDATE(Q122,1))
)</f>
        <v/>
      </c>
      <c r="S122" s="12" t="str">
        <f t="shared" si="8"/>
        <v>Never took B</v>
      </c>
      <c r="T122" s="12" t="str">
        <f>IFERROR(
   AVERAGEIFS(
      Labs!$D:$D,
      Labs!$A:$A,$A122,
      Labs!$C:$C,"LAB B",
      Labs!$B:$B,"&lt;"&amp;$D122
   ),
   ""
)</f>
        <v/>
      </c>
      <c r="U122" s="12" t="str">
        <f>IFERROR(
   AVERAGEIFS(
      Labs!$D:$D,
      Labs!$A:$A,$A122,
      Labs!$C:$C,"LAB B",
      Labs!$B:$B,"&gt;="&amp;$D122
   ),
   ""
)</f>
        <v/>
      </c>
    </row>
    <row r="123" spans="1:21" ht="18.600000000000001" x14ac:dyDescent="0.25">
      <c r="A123" s="19">
        <v>8</v>
      </c>
      <c r="B123" s="20">
        <v>41093</v>
      </c>
      <c r="C123" s="20">
        <v>41158</v>
      </c>
      <c r="D123" s="20">
        <v>41165</v>
      </c>
      <c r="E123" s="20">
        <v>41228</v>
      </c>
      <c r="F123" s="12" t="str">
        <f t="shared" si="1"/>
        <v>Yes</v>
      </c>
      <c r="G123" s="12" t="str">
        <f t="shared" si="2"/>
        <v>No</v>
      </c>
      <c r="H123" s="12" t="str">
        <f t="shared" si="3"/>
        <v>Sep 2012</v>
      </c>
      <c r="I123" s="12">
        <f t="shared" si="4"/>
        <v>9.4285714285714288</v>
      </c>
      <c r="J123" s="12">
        <f t="shared" si="5"/>
        <v>2.1774991751897064</v>
      </c>
      <c r="K123" s="12">
        <f>SUMIFS(
  Admin!$D:$D,
  Admin!$A:$A, $A123,
  Admin!$B:$B, "Med A",
  Admin!$C:$C, "&gt;=" &amp; $B123,
  Admin!$C:$C, "&lt;=" &amp; $C123
)</f>
        <v>62100</v>
      </c>
      <c r="L123" s="12">
        <f t="shared" si="6"/>
        <v>28518.954545454544</v>
      </c>
      <c r="M123" s="12">
        <f>SUMIFS(Admin!$D:$D,Admin!$A:$A,$A123, Admin!$B:$B,"Med B")</f>
        <v>13</v>
      </c>
      <c r="N123" s="12">
        <f>COUNTIFS(Admin!$A:$A,$A123, Admin!$B:$B,"Med B")</f>
        <v>3</v>
      </c>
      <c r="O123" s="12">
        <f t="shared" si="0"/>
        <v>4.333333333333333</v>
      </c>
      <c r="P123" s="12">
        <f>IF(D123="", "Never took B",
   SUMIFS(Admin!$D:$D,
          Admin!$A:$A,$A123,
          Admin!$B:$B,"Med B",
          Admin!$C:$C,D123)
)</f>
        <v>5</v>
      </c>
      <c r="Q123" s="20">
        <f t="shared" si="7"/>
        <v>41183</v>
      </c>
      <c r="R123" s="12">
        <f>IF(Q123="","",
   SUMIFS(Admin!$D:$D,
          Admin!$A:$A,$A123,
          Admin!$B:$B,"Med B",
          Admin!$C:$C,"&gt;="&amp;Q123,
          Admin!$C:$C,"&lt;"&amp;EDATE(Q123,1))
)</f>
        <v>4</v>
      </c>
      <c r="S123" s="12" t="str">
        <f t="shared" si="8"/>
        <v>Lower</v>
      </c>
      <c r="T123" s="12">
        <f>IFERROR(
   AVERAGEIFS(
      Labs!$D:$D,
      Labs!$A:$A,$A123,
      Labs!$C:$C,"LAB B",
      Labs!$B:$B,"&lt;"&amp;$D123
   ),
   ""
)</f>
        <v>10.620000000000001</v>
      </c>
      <c r="U123" s="12">
        <f>IFERROR(
   AVERAGEIFS(
      Labs!$D:$D,
      Labs!$A:$A,$A123,
      Labs!$C:$C,"LAB B",
      Labs!$B:$B,"&gt;="&amp;$D123
   ),
   ""
)</f>
        <v>10.375</v>
      </c>
    </row>
    <row r="124" spans="1:21" ht="18.600000000000001" x14ac:dyDescent="0.25">
      <c r="A124" s="19">
        <v>9</v>
      </c>
      <c r="B124" s="20">
        <v>41093</v>
      </c>
      <c r="C124" s="20">
        <v>41158</v>
      </c>
      <c r="D124" s="20">
        <v>41165</v>
      </c>
      <c r="E124" s="20">
        <v>41228</v>
      </c>
      <c r="F124" s="12" t="str">
        <f t="shared" si="1"/>
        <v>Yes</v>
      </c>
      <c r="G124" s="12" t="str">
        <f t="shared" si="2"/>
        <v>No</v>
      </c>
      <c r="H124" s="12" t="str">
        <f t="shared" si="3"/>
        <v>Sep 2012</v>
      </c>
      <c r="I124" s="12">
        <f t="shared" si="4"/>
        <v>9.4285714285714288</v>
      </c>
      <c r="J124" s="12">
        <f t="shared" si="5"/>
        <v>2.1774991751897064</v>
      </c>
      <c r="K124" s="12">
        <f>SUMIFS(
  Admin!$D:$D,
  Admin!$A:$A, $A124,
  Admin!$B:$B, "Med A",
  Admin!$C:$C, "&gt;=" &amp; $B124,
  Admin!$C:$C, "&lt;=" &amp; $C124
)</f>
        <v>67700</v>
      </c>
      <c r="L124" s="12">
        <f t="shared" si="6"/>
        <v>31090.71212121212</v>
      </c>
      <c r="M124" s="12">
        <f>SUMIFS(Admin!$D:$D,Admin!$A:$A,$A124, Admin!$B:$B,"Med B")</f>
        <v>20</v>
      </c>
      <c r="N124" s="12">
        <f>COUNTIFS(Admin!$A:$A,$A124, Admin!$B:$B,"Med B")</f>
        <v>3</v>
      </c>
      <c r="O124" s="12">
        <f t="shared" si="0"/>
        <v>6.666666666666667</v>
      </c>
      <c r="P124" s="12">
        <f>IF(D124="", "Never took B",
   SUMIFS(Admin!$D:$D,
          Admin!$A:$A,$A124,
          Admin!$B:$B,"Med B",
          Admin!$C:$C,D124)
)</f>
        <v>8</v>
      </c>
      <c r="Q124" s="20">
        <f t="shared" si="7"/>
        <v>41183</v>
      </c>
      <c r="R124" s="12">
        <f>IF(Q124="","",
   SUMIFS(Admin!$D:$D,
          Admin!$A:$A,$A124,
          Admin!$B:$B,"Med B",
          Admin!$C:$C,"&gt;="&amp;Q124,
          Admin!$C:$C,"&lt;"&amp;EDATE(Q124,1))
)</f>
        <v>6</v>
      </c>
      <c r="S124" s="12" t="str">
        <f t="shared" si="8"/>
        <v>Lower</v>
      </c>
      <c r="T124" s="12">
        <f>IFERROR(
   AVERAGEIFS(
      Labs!$D:$D,
      Labs!$A:$A,$A124,
      Labs!$C:$C,"LAB B",
      Labs!$B:$B,"&lt;"&amp;$D124
   ),
   ""
)</f>
        <v>10.683333333333332</v>
      </c>
      <c r="U124" s="12">
        <f>IFERROR(
   AVERAGEIFS(
      Labs!$D:$D,
      Labs!$A:$A,$A124,
      Labs!$C:$C,"LAB B",
      Labs!$B:$B,"&gt;="&amp;$D124
   ),
   ""
)</f>
        <v>10.35</v>
      </c>
    </row>
    <row r="125" spans="1:21" ht="18.600000000000001" x14ac:dyDescent="0.25">
      <c r="A125" s="19">
        <v>10</v>
      </c>
      <c r="B125" s="20">
        <v>41153</v>
      </c>
      <c r="C125" s="20">
        <v>41158</v>
      </c>
      <c r="D125" s="20">
        <v>41165</v>
      </c>
      <c r="E125" s="20">
        <v>41228</v>
      </c>
      <c r="F125" s="12" t="str">
        <f t="shared" si="1"/>
        <v>Yes</v>
      </c>
      <c r="G125" s="12" t="str">
        <f t="shared" si="2"/>
        <v>No</v>
      </c>
      <c r="H125" s="12" t="str">
        <f t="shared" si="3"/>
        <v>Sep 2012</v>
      </c>
      <c r="I125" s="12">
        <f t="shared" si="4"/>
        <v>0.8571428571428571</v>
      </c>
      <c r="J125" s="12">
        <f t="shared" si="5"/>
        <v>0.19795447047179146</v>
      </c>
      <c r="K125" s="12">
        <f>SUMIFS(
  Admin!$D:$D,
  Admin!$A:$A, $A125,
  Admin!$B:$B, "Med A",
  Admin!$C:$C, "&gt;=" &amp; $B125,
  Admin!$C:$C, "&lt;=" &amp; $C125
)</f>
        <v>11900</v>
      </c>
      <c r="L125" s="12">
        <f t="shared" si="6"/>
        <v>60114.833333333343</v>
      </c>
      <c r="M125" s="12">
        <f>SUMIFS(Admin!$D:$D,Admin!$A:$A,$A125, Admin!$B:$B,"Med B")</f>
        <v>24</v>
      </c>
      <c r="N125" s="12">
        <f>COUNTIFS(Admin!$A:$A,$A125, Admin!$B:$B,"Med B")</f>
        <v>3</v>
      </c>
      <c r="O125" s="12">
        <f t="shared" si="0"/>
        <v>8</v>
      </c>
      <c r="P125" s="12">
        <f>IF(D125="", "Never took B",
   SUMIFS(Admin!$D:$D,
          Admin!$A:$A,$A125,
          Admin!$B:$B,"Med B",
          Admin!$C:$C,D125)
)</f>
        <v>8</v>
      </c>
      <c r="Q125" s="20">
        <f t="shared" si="7"/>
        <v>41183</v>
      </c>
      <c r="R125" s="12">
        <f>IF(Q125="","",
   SUMIFS(Admin!$D:$D,
          Admin!$A:$A,$A125,
          Admin!$B:$B,"Med B",
          Admin!$C:$C,"&gt;="&amp;Q125,
          Admin!$C:$C,"&lt;"&amp;EDATE(Q125,1))
)</f>
        <v>8</v>
      </c>
      <c r="S125" s="12" t="str">
        <f t="shared" si="8"/>
        <v>Same</v>
      </c>
      <c r="T125" s="12">
        <f>IFERROR(
   AVERAGEIFS(
      Labs!$D:$D,
      Labs!$A:$A,$A125,
      Labs!$C:$C,"LAB B",
      Labs!$B:$B,"&lt;"&amp;$D125
   ),
   ""
)</f>
        <v>9.3500000000000014</v>
      </c>
      <c r="U125" s="12">
        <f>IFERROR(
   AVERAGEIFS(
      Labs!$D:$D,
      Labs!$A:$A,$A125,
      Labs!$C:$C,"LAB B",
      Labs!$B:$B,"&gt;="&amp;$D125
   ),
   ""
)</f>
        <v>10.280000000000001</v>
      </c>
    </row>
    <row r="126" spans="1:21" ht="18.600000000000001" x14ac:dyDescent="0.25">
      <c r="A126" s="19">
        <v>11</v>
      </c>
      <c r="B126" s="20"/>
      <c r="C126" s="20"/>
      <c r="D126" s="20">
        <v>41239</v>
      </c>
      <c r="E126" s="20">
        <v>41239</v>
      </c>
      <c r="F126" s="12" t="str">
        <f t="shared" si="1"/>
        <v>No</v>
      </c>
      <c r="G126" s="12" t="str">
        <f t="shared" si="2"/>
        <v>Yes</v>
      </c>
      <c r="H126" s="12" t="str">
        <f t="shared" si="3"/>
        <v>Nov 2012</v>
      </c>
      <c r="I126" s="12" t="str">
        <f t="shared" si="4"/>
        <v/>
      </c>
      <c r="J126" s="12" t="str">
        <f t="shared" si="5"/>
        <v/>
      </c>
      <c r="K126" s="12">
        <f>SUMIFS(
  Admin!$D:$D,
  Admin!$A:$A, $A126,
  Admin!$B:$B, "Med A",
  Admin!$C:$C, "&gt;=" &amp; $B126,
  Admin!$C:$C, "&lt;=" &amp; $C126
)</f>
        <v>0</v>
      </c>
      <c r="L126" s="12" t="str">
        <f t="shared" si="6"/>
        <v>Never took A</v>
      </c>
      <c r="M126" s="12">
        <f>SUMIFS(Admin!$D:$D,Admin!$A:$A,$A126, Admin!$B:$B,"Med B")</f>
        <v>2</v>
      </c>
      <c r="N126" s="12">
        <f>COUNTIFS(Admin!$A:$A,$A126, Admin!$B:$B,"Med B")</f>
        <v>1</v>
      </c>
      <c r="O126" s="12">
        <f t="shared" si="0"/>
        <v>2</v>
      </c>
      <c r="P126" s="12">
        <f>IF(D126="", "Never took B",
   SUMIFS(Admin!$D:$D,
          Admin!$A:$A,$A126,
          Admin!$B:$B,"Med B",
          Admin!$C:$C,D126)
)</f>
        <v>2</v>
      </c>
      <c r="Q126" s="20">
        <f t="shared" si="7"/>
        <v>41244</v>
      </c>
      <c r="R126" s="12">
        <f>IF(Q126="","",
   SUMIFS(Admin!$D:$D,
          Admin!$A:$A,$A126,
          Admin!$B:$B,"Med B",
          Admin!$C:$C,"&gt;="&amp;Q126,
          Admin!$C:$C,"&lt;"&amp;EDATE(Q126,1))
)</f>
        <v>0</v>
      </c>
      <c r="S126" s="12" t="str">
        <f t="shared" si="8"/>
        <v>Lower</v>
      </c>
      <c r="T126" s="12">
        <f>IFERROR(
   AVERAGEIFS(
      Labs!$D:$D,
      Labs!$A:$A,$A126,
      Labs!$C:$C,"LAB B",
      Labs!$B:$B,"&lt;"&amp;$D126
   ),
   ""
)</f>
        <v>8.5</v>
      </c>
      <c r="U126" s="12">
        <f>IFERROR(
   AVERAGEIFS(
      Labs!$D:$D,
      Labs!$A:$A,$A126,
      Labs!$C:$C,"LAB B",
      Labs!$B:$B,"&gt;="&amp;$D126
   ),
   ""
)</f>
        <v>9.6</v>
      </c>
    </row>
    <row r="127" spans="1:21" ht="18.600000000000001" x14ac:dyDescent="0.25">
      <c r="A127" s="19">
        <v>12</v>
      </c>
      <c r="B127" s="20">
        <v>41092</v>
      </c>
      <c r="C127" s="20">
        <v>41157</v>
      </c>
      <c r="D127" s="20">
        <v>41164</v>
      </c>
      <c r="E127" s="20">
        <v>41192</v>
      </c>
      <c r="F127" s="12" t="str">
        <f t="shared" si="1"/>
        <v>Yes</v>
      </c>
      <c r="G127" s="12" t="str">
        <f t="shared" si="2"/>
        <v>No</v>
      </c>
      <c r="H127" s="12" t="str">
        <f t="shared" si="3"/>
        <v>Sep 2012</v>
      </c>
      <c r="I127" s="12">
        <f t="shared" si="4"/>
        <v>9.4285714285714288</v>
      </c>
      <c r="J127" s="12">
        <f t="shared" si="5"/>
        <v>2.1774991751897064</v>
      </c>
      <c r="K127" s="12">
        <f>SUMIFS(
  Admin!$D:$D,
  Admin!$A:$A, $A127,
  Admin!$B:$B, "Med A",
  Admin!$C:$C, "&gt;=" &amp; $B127,
  Admin!$C:$C, "&lt;=" &amp; $C127
)</f>
        <v>88400</v>
      </c>
      <c r="L127" s="12">
        <f t="shared" si="6"/>
        <v>40597.030303030304</v>
      </c>
      <c r="M127" s="12">
        <f>SUMIFS(Admin!$D:$D,Admin!$A:$A,$A127, Admin!$B:$B,"Med B")</f>
        <v>20</v>
      </c>
      <c r="N127" s="12">
        <f>COUNTIFS(Admin!$A:$A,$A127, Admin!$B:$B,"Med B")</f>
        <v>2</v>
      </c>
      <c r="O127" s="12">
        <f t="shared" si="0"/>
        <v>10</v>
      </c>
      <c r="P127" s="12">
        <f>IF(D127="", "Never took B",
   SUMIFS(Admin!$D:$D,
          Admin!$A:$A,$A127,
          Admin!$B:$B,"Med B",
          Admin!$C:$C,D127)
)</f>
        <v>10</v>
      </c>
      <c r="Q127" s="20">
        <f t="shared" si="7"/>
        <v>41183</v>
      </c>
      <c r="R127" s="12">
        <f>IF(Q127="","",
   SUMIFS(Admin!$D:$D,
          Admin!$A:$A,$A127,
          Admin!$B:$B,"Med B",
          Admin!$C:$C,"&gt;="&amp;Q127,
          Admin!$C:$C,"&lt;"&amp;EDATE(Q127,1))
)</f>
        <v>10</v>
      </c>
      <c r="S127" s="12" t="str">
        <f t="shared" si="8"/>
        <v>Same</v>
      </c>
      <c r="T127" s="12">
        <f>IFERROR(
   AVERAGEIFS(
      Labs!$D:$D,
      Labs!$A:$A,$A127,
      Labs!$C:$C,"LAB B",
      Labs!$B:$B,"&lt;"&amp;$D127
   ),
   ""
)</f>
        <v>9.2833333333333314</v>
      </c>
      <c r="U127" s="12">
        <f>IFERROR(
   AVERAGEIFS(
      Labs!$D:$D,
      Labs!$A:$A,$A127,
      Labs!$C:$C,"LAB B",
      Labs!$B:$B,"&gt;="&amp;$D127
   ),
   ""
)</f>
        <v>10</v>
      </c>
    </row>
    <row r="128" spans="1:21" ht="18.600000000000001" x14ac:dyDescent="0.25">
      <c r="A128" s="19">
        <v>13</v>
      </c>
      <c r="B128" s="20">
        <v>41236</v>
      </c>
      <c r="C128" s="20">
        <v>41239</v>
      </c>
      <c r="D128" s="20"/>
      <c r="E128" s="20"/>
      <c r="F128" s="12" t="str">
        <f t="shared" si="1"/>
        <v>No</v>
      </c>
      <c r="G128" s="12" t="str">
        <f t="shared" si="2"/>
        <v>No</v>
      </c>
      <c r="H128" s="12" t="str">
        <f t="shared" si="3"/>
        <v>Never Started B</v>
      </c>
      <c r="I128" s="12">
        <f t="shared" si="4"/>
        <v>0.5714285714285714</v>
      </c>
      <c r="J128" s="12">
        <f t="shared" si="5"/>
        <v>0.13196964698119432</v>
      </c>
      <c r="K128" s="12">
        <f>SUMIFS(
  Admin!$D:$D,
  Admin!$A:$A, $A128,
  Admin!$B:$B, "Med A",
  Admin!$C:$C, "&gt;=" &amp; $B128,
  Admin!$C:$C, "&lt;=" &amp; $C128
)</f>
        <v>40000</v>
      </c>
      <c r="L128" s="12">
        <f t="shared" si="6"/>
        <v>303100</v>
      </c>
      <c r="M128" s="12">
        <f>SUMIFS(Admin!$D:$D,Admin!$A:$A,$A128, Admin!$B:$B,"Med B")</f>
        <v>0</v>
      </c>
      <c r="N128" s="12">
        <f>COUNTIFS(Admin!$A:$A,$A128, Admin!$B:$B,"Med B")</f>
        <v>0</v>
      </c>
      <c r="O128" s="12" t="str">
        <f t="shared" si="0"/>
        <v>Never took B</v>
      </c>
      <c r="P128" s="12" t="str">
        <f>IF(D128="", "Never took B",
   SUMIFS(Admin!$D:$D,
          Admin!$A:$A,$A128,
          Admin!$B:$B,"Med B",
          Admin!$C:$C,D128)
)</f>
        <v>Never took B</v>
      </c>
      <c r="Q128" s="20" t="str">
        <f t="shared" si="7"/>
        <v/>
      </c>
      <c r="R128" s="12" t="str">
        <f>IF(Q128="","",
   SUMIFS(Admin!$D:$D,
          Admin!$A:$A,$A128,
          Admin!$B:$B,"Med B",
          Admin!$C:$C,"&gt;="&amp;Q128,
          Admin!$C:$C,"&lt;"&amp;EDATE(Q128,1))
)</f>
        <v/>
      </c>
      <c r="S128" s="12" t="str">
        <f t="shared" si="8"/>
        <v>Never took B</v>
      </c>
      <c r="T128" s="12" t="str">
        <f>IFERROR(
   AVERAGEIFS(
      Labs!$D:$D,
      Labs!$A:$A,$A128,
      Labs!$C:$C,"LAB B",
      Labs!$B:$B,"&lt;"&amp;$D128
   ),
   ""
)</f>
        <v/>
      </c>
      <c r="U128" s="12" t="str">
        <f>IFERROR(
   AVERAGEIFS(
      Labs!$D:$D,
      Labs!$A:$A,$A128,
      Labs!$C:$C,"LAB B",
      Labs!$B:$B,"&gt;="&amp;$D128
   ),
   ""
)</f>
        <v/>
      </c>
    </row>
    <row r="129" spans="1:21" ht="18.600000000000001" x14ac:dyDescent="0.25">
      <c r="A129" s="19">
        <v>14</v>
      </c>
      <c r="B129" s="20">
        <v>41092</v>
      </c>
      <c r="C129" s="20">
        <v>41155</v>
      </c>
      <c r="D129" s="20"/>
      <c r="E129" s="20"/>
      <c r="F129" s="12" t="str">
        <f t="shared" si="1"/>
        <v>No</v>
      </c>
      <c r="G129" s="12" t="str">
        <f t="shared" si="2"/>
        <v>No</v>
      </c>
      <c r="H129" s="12" t="str">
        <f t="shared" si="3"/>
        <v>Never Started B</v>
      </c>
      <c r="I129" s="12">
        <f t="shared" si="4"/>
        <v>9.1428571428571423</v>
      </c>
      <c r="J129" s="12">
        <f t="shared" si="5"/>
        <v>2.1115143516991091</v>
      </c>
      <c r="K129" s="12">
        <f>SUMIFS(
  Admin!$D:$D,
  Admin!$A:$A, $A129,
  Admin!$B:$B, "Med A",
  Admin!$C:$C, "&gt;=" &amp; $B129,
  Admin!$C:$C, "&lt;=" &amp; $C129
)</f>
        <v>3000</v>
      </c>
      <c r="L129" s="12">
        <f t="shared" si="6"/>
        <v>1420.78125</v>
      </c>
      <c r="M129" s="12">
        <f>SUMIFS(Admin!$D:$D,Admin!$A:$A,$A129, Admin!$B:$B,"Med B")</f>
        <v>0</v>
      </c>
      <c r="N129" s="12">
        <f>COUNTIFS(Admin!$A:$A,$A129, Admin!$B:$B,"Med B")</f>
        <v>0</v>
      </c>
      <c r="O129" s="12" t="str">
        <f t="shared" si="0"/>
        <v>Never took B</v>
      </c>
      <c r="P129" s="12" t="str">
        <f>IF(D129="", "Never took B",
   SUMIFS(Admin!$D:$D,
          Admin!$A:$A,$A129,
          Admin!$B:$B,"Med B",
          Admin!$C:$C,D129)
)</f>
        <v>Never took B</v>
      </c>
      <c r="Q129" s="20" t="str">
        <f t="shared" si="7"/>
        <v/>
      </c>
      <c r="R129" s="12" t="str">
        <f>IF(Q129="","",
   SUMIFS(Admin!$D:$D,
          Admin!$A:$A,$A129,
          Admin!$B:$B,"Med B",
          Admin!$C:$C,"&gt;="&amp;Q129,
          Admin!$C:$C,"&lt;"&amp;EDATE(Q129,1))
)</f>
        <v/>
      </c>
      <c r="S129" s="12" t="str">
        <f t="shared" si="8"/>
        <v>Never took B</v>
      </c>
      <c r="T129" s="12" t="str">
        <f>IFERROR(
   AVERAGEIFS(
      Labs!$D:$D,
      Labs!$A:$A,$A129,
      Labs!$C:$C,"LAB B",
      Labs!$B:$B,"&lt;"&amp;$D129
   ),
   ""
)</f>
        <v/>
      </c>
      <c r="U129" s="12" t="str">
        <f>IFERROR(
   AVERAGEIFS(
      Labs!$D:$D,
      Labs!$A:$A,$A129,
      Labs!$C:$C,"LAB B",
      Labs!$B:$B,"&gt;="&amp;$D129
   ),
   ""
)</f>
        <v/>
      </c>
    </row>
    <row r="130" spans="1:21" ht="18.600000000000001" x14ac:dyDescent="0.25">
      <c r="A130" s="19">
        <v>15</v>
      </c>
      <c r="B130" s="20">
        <v>41096</v>
      </c>
      <c r="C130" s="20">
        <v>41157</v>
      </c>
      <c r="D130" s="20">
        <v>41164</v>
      </c>
      <c r="E130" s="20">
        <v>41227</v>
      </c>
      <c r="F130" s="12" t="str">
        <f t="shared" si="1"/>
        <v>Yes</v>
      </c>
      <c r="G130" s="12" t="str">
        <f t="shared" si="2"/>
        <v>No</v>
      </c>
      <c r="H130" s="12" t="str">
        <f t="shared" si="3"/>
        <v>Sep 2012</v>
      </c>
      <c r="I130" s="12">
        <f t="shared" si="4"/>
        <v>8.8571428571428577</v>
      </c>
      <c r="J130" s="12">
        <f t="shared" si="5"/>
        <v>2.0455295282085122</v>
      </c>
      <c r="K130" s="12">
        <f>SUMIFS(
  Admin!$D:$D,
  Admin!$A:$A, $A130,
  Admin!$B:$B, "Med A",
  Admin!$C:$C, "&gt;=" &amp; $B130,
  Admin!$C:$C, "&lt;=" &amp; $C130
)</f>
        <v>18800</v>
      </c>
      <c r="L130" s="12">
        <f t="shared" si="6"/>
        <v>9190.7741935483864</v>
      </c>
      <c r="M130" s="12">
        <f>SUMIFS(Admin!$D:$D,Admin!$A:$A,$A130, Admin!$B:$B,"Med B")</f>
        <v>4</v>
      </c>
      <c r="N130" s="12">
        <f>COUNTIFS(Admin!$A:$A,$A130, Admin!$B:$B,"Med B")</f>
        <v>2</v>
      </c>
      <c r="O130" s="12">
        <f t="shared" si="0"/>
        <v>2</v>
      </c>
      <c r="P130" s="12">
        <f>IF(D130="", "Never took B",
   SUMIFS(Admin!$D:$D,
          Admin!$A:$A,$A130,
          Admin!$B:$B,"Med B",
          Admin!$C:$C,D130)
)</f>
        <v>3</v>
      </c>
      <c r="Q130" s="20">
        <f t="shared" si="7"/>
        <v>41183</v>
      </c>
      <c r="R130" s="12">
        <f>IF(Q130="","",
   SUMIFS(Admin!$D:$D,
          Admin!$A:$A,$A130,
          Admin!$B:$B,"Med B",
          Admin!$C:$C,"&gt;="&amp;Q130,
          Admin!$C:$C,"&lt;"&amp;EDATE(Q130,1))
)</f>
        <v>0</v>
      </c>
      <c r="S130" s="12" t="str">
        <f t="shared" si="8"/>
        <v>Lower</v>
      </c>
      <c r="T130" s="12">
        <f>IFERROR(
   AVERAGEIFS(
      Labs!$D:$D,
      Labs!$A:$A,$A130,
      Labs!$C:$C,"LAB B",
      Labs!$B:$B,"&lt;"&amp;$D130
   ),
   ""
)</f>
        <v>11.485714285714286</v>
      </c>
      <c r="U130" s="12">
        <f>IFERROR(
   AVERAGEIFS(
      Labs!$D:$D,
      Labs!$A:$A,$A130,
      Labs!$C:$C,"LAB B",
      Labs!$B:$B,"&gt;="&amp;$D130
   ),
   ""
)</f>
        <v>11.600000000000001</v>
      </c>
    </row>
    <row r="131" spans="1:21" ht="18.600000000000001" x14ac:dyDescent="0.25">
      <c r="A131" s="19">
        <v>16</v>
      </c>
      <c r="B131" s="20">
        <v>41093</v>
      </c>
      <c r="C131" s="20">
        <v>41158</v>
      </c>
      <c r="D131" s="20">
        <v>41165</v>
      </c>
      <c r="E131" s="20">
        <v>41223</v>
      </c>
      <c r="F131" s="12" t="str">
        <f t="shared" si="1"/>
        <v>Yes</v>
      </c>
      <c r="G131" s="12" t="str">
        <f t="shared" si="2"/>
        <v>No</v>
      </c>
      <c r="H131" s="12" t="str">
        <f t="shared" si="3"/>
        <v>Sep 2012</v>
      </c>
      <c r="I131" s="12">
        <f t="shared" si="4"/>
        <v>9.4285714285714288</v>
      </c>
      <c r="J131" s="12">
        <f t="shared" si="5"/>
        <v>2.1774991751897064</v>
      </c>
      <c r="K131" s="12">
        <f>SUMIFS(
  Admin!$D:$D,
  Admin!$A:$A, $A131,
  Admin!$B:$B, "Med A",
  Admin!$C:$C, "&gt;=" &amp; $B131,
  Admin!$C:$C, "&lt;=" &amp; $C131
)</f>
        <v>142100</v>
      </c>
      <c r="L131" s="12">
        <f t="shared" si="6"/>
        <v>65258.348484848488</v>
      </c>
      <c r="M131" s="12">
        <f>SUMIFS(Admin!$D:$D,Admin!$A:$A,$A131, Admin!$B:$B,"Med B")</f>
        <v>10</v>
      </c>
      <c r="N131" s="12">
        <f>COUNTIFS(Admin!$A:$A,$A131, Admin!$B:$B,"Med B")</f>
        <v>2</v>
      </c>
      <c r="O131" s="12">
        <f t="shared" si="0"/>
        <v>5</v>
      </c>
      <c r="P131" s="12">
        <f>IF(D131="", "Never took B",
   SUMIFS(Admin!$D:$D,
          Admin!$A:$A,$A131,
          Admin!$B:$B,"Med B",
          Admin!$C:$C,D131)
)</f>
        <v>8</v>
      </c>
      <c r="Q131" s="20">
        <f t="shared" si="7"/>
        <v>41183</v>
      </c>
      <c r="R131" s="12">
        <f>IF(Q131="","",
   SUMIFS(Admin!$D:$D,
          Admin!$A:$A,$A131,
          Admin!$B:$B,"Med B",
          Admin!$C:$C,"&gt;="&amp;Q131,
          Admin!$C:$C,"&lt;"&amp;EDATE(Q131,1))
)</f>
        <v>0</v>
      </c>
      <c r="S131" s="12" t="str">
        <f t="shared" si="8"/>
        <v>Lower</v>
      </c>
      <c r="T131" s="12">
        <f>IFERROR(
   AVERAGEIFS(
      Labs!$D:$D,
      Labs!$A:$A,$A131,
      Labs!$C:$C,"LAB B",
      Labs!$B:$B,"&lt;"&amp;$D131
   ),
   ""
)</f>
        <v>10.559999999999999</v>
      </c>
      <c r="U131" s="12">
        <f>IFERROR(
   AVERAGEIFS(
      Labs!$D:$D,
      Labs!$A:$A,$A131,
      Labs!$C:$C,"LAB B",
      Labs!$B:$B,"&gt;="&amp;$D131
   ),
   ""
)</f>
        <v>10.62</v>
      </c>
    </row>
    <row r="132" spans="1:21" ht="18.600000000000001" x14ac:dyDescent="0.25">
      <c r="A132" s="19">
        <v>17</v>
      </c>
      <c r="B132" s="20">
        <v>41093</v>
      </c>
      <c r="C132" s="20">
        <v>41158</v>
      </c>
      <c r="D132" s="20">
        <v>41165</v>
      </c>
      <c r="E132" s="20">
        <v>41228</v>
      </c>
      <c r="F132" s="12" t="str">
        <f t="shared" si="1"/>
        <v>Yes</v>
      </c>
      <c r="G132" s="12" t="str">
        <f t="shared" si="2"/>
        <v>No</v>
      </c>
      <c r="H132" s="12" t="str">
        <f t="shared" si="3"/>
        <v>Sep 2012</v>
      </c>
      <c r="I132" s="12">
        <f t="shared" si="4"/>
        <v>9.4285714285714288</v>
      </c>
      <c r="J132" s="12">
        <f t="shared" si="5"/>
        <v>2.1774991751897064</v>
      </c>
      <c r="K132" s="12">
        <f>SUMIFS(
  Admin!$D:$D,
  Admin!$A:$A, $A132,
  Admin!$B:$B, "Med A",
  Admin!$C:$C, "&gt;=" &amp; $B132,
  Admin!$C:$C, "&lt;=" &amp; $C132
)</f>
        <v>34400</v>
      </c>
      <c r="L132" s="12">
        <f t="shared" si="6"/>
        <v>15797.939393939394</v>
      </c>
      <c r="M132" s="12">
        <f>SUMIFS(Admin!$D:$D,Admin!$A:$A,$A132, Admin!$B:$B,"Med B")</f>
        <v>27</v>
      </c>
      <c r="N132" s="12">
        <f>COUNTIFS(Admin!$A:$A,$A132, Admin!$B:$B,"Med B")</f>
        <v>3</v>
      </c>
      <c r="O132" s="12">
        <f t="shared" si="0"/>
        <v>9</v>
      </c>
      <c r="P132" s="12">
        <f>IF(D132="", "Never took B",
   SUMIFS(Admin!$D:$D,
          Admin!$A:$A,$A132,
          Admin!$B:$B,"Med B",
          Admin!$C:$C,D132)
)</f>
        <v>6</v>
      </c>
      <c r="Q132" s="20">
        <f t="shared" si="7"/>
        <v>41183</v>
      </c>
      <c r="R132" s="12">
        <f>IF(Q132="","",
   SUMIFS(Admin!$D:$D,
          Admin!$A:$A,$A132,
          Admin!$B:$B,"Med B",
          Admin!$C:$C,"&gt;="&amp;Q132,
          Admin!$C:$C,"&lt;"&amp;EDATE(Q132,1))
)</f>
        <v>5</v>
      </c>
      <c r="S132" s="12" t="str">
        <f t="shared" si="8"/>
        <v>Lower</v>
      </c>
      <c r="T132" s="12">
        <f>IFERROR(
   AVERAGEIFS(
      Labs!$D:$D,
      Labs!$A:$A,$A132,
      Labs!$C:$C,"LAB B",
      Labs!$B:$B,"&lt;"&amp;$D132
   ),
   ""
)</f>
        <v>11.112500000000001</v>
      </c>
      <c r="U132" s="12">
        <f>IFERROR(
   AVERAGEIFS(
      Labs!$D:$D,
      Labs!$A:$A,$A132,
      Labs!$C:$C,"LAB B",
      Labs!$B:$B,"&gt;="&amp;$D132
   ),
   ""
)</f>
        <v>10.050000000000001</v>
      </c>
    </row>
    <row r="133" spans="1:21" ht="18.600000000000001" x14ac:dyDescent="0.25">
      <c r="A133" s="19">
        <v>18</v>
      </c>
      <c r="B133" s="20">
        <v>41096</v>
      </c>
      <c r="C133" s="20">
        <v>41157</v>
      </c>
      <c r="D133" s="20">
        <v>41173</v>
      </c>
      <c r="E133" s="20">
        <v>41228</v>
      </c>
      <c r="F133" s="12" t="str">
        <f t="shared" si="1"/>
        <v>Yes</v>
      </c>
      <c r="G133" s="12" t="str">
        <f t="shared" si="2"/>
        <v>No</v>
      </c>
      <c r="H133" s="12" t="str">
        <f t="shared" si="3"/>
        <v>Sep 2012</v>
      </c>
      <c r="I133" s="12">
        <f t="shared" si="4"/>
        <v>8.8571428571428577</v>
      </c>
      <c r="J133" s="12">
        <f t="shared" si="5"/>
        <v>2.0455295282085122</v>
      </c>
      <c r="K133" s="12">
        <f>SUMIFS(
  Admin!$D:$D,
  Admin!$A:$A, $A133,
  Admin!$B:$B, "Med A",
  Admin!$C:$C, "&gt;=" &amp; $B133,
  Admin!$C:$C, "&lt;=" &amp; $C133
)</f>
        <v>125100</v>
      </c>
      <c r="L133" s="12">
        <f t="shared" si="6"/>
        <v>61157.758064516122</v>
      </c>
      <c r="M133" s="12">
        <f>SUMIFS(Admin!$D:$D,Admin!$A:$A,$A133, Admin!$B:$B,"Med B")</f>
        <v>24</v>
      </c>
      <c r="N133" s="12">
        <f>COUNTIFS(Admin!$A:$A,$A133, Admin!$B:$B,"Med B")</f>
        <v>3</v>
      </c>
      <c r="O133" s="12">
        <f t="shared" si="0"/>
        <v>8</v>
      </c>
      <c r="P133" s="12">
        <f>IF(D133="", "Never took B",
   SUMIFS(Admin!$D:$D,
          Admin!$A:$A,$A133,
          Admin!$B:$B,"Med B",
          Admin!$C:$C,D133)
)</f>
        <v>8</v>
      </c>
      <c r="Q133" s="20">
        <f t="shared" si="7"/>
        <v>41183</v>
      </c>
      <c r="R133" s="12">
        <f>IF(Q133="","",
   SUMIFS(Admin!$D:$D,
          Admin!$A:$A,$A133,
          Admin!$B:$B,"Med B",
          Admin!$C:$C,"&gt;="&amp;Q133,
          Admin!$C:$C,"&lt;"&amp;EDATE(Q133,1))
)</f>
        <v>8</v>
      </c>
      <c r="S133" s="12" t="str">
        <f t="shared" si="8"/>
        <v>Same</v>
      </c>
      <c r="T133" s="12">
        <f>IFERROR(
   AVERAGEIFS(
      Labs!$D:$D,
      Labs!$A:$A,$A133,
      Labs!$C:$C,"LAB B",
      Labs!$B:$B,"&lt;"&amp;$D133
   ),
   ""
)</f>
        <v>10.066666666666666</v>
      </c>
      <c r="U133" s="12">
        <f>IFERROR(
   AVERAGEIFS(
      Labs!$D:$D,
      Labs!$A:$A,$A133,
      Labs!$C:$C,"LAB B",
      Labs!$B:$B,"&gt;="&amp;$D133
   ),
   ""
)</f>
        <v>10.433333333333334</v>
      </c>
    </row>
    <row r="134" spans="1:21" ht="18.600000000000001" x14ac:dyDescent="0.25">
      <c r="A134" s="19">
        <v>19</v>
      </c>
      <c r="B134" s="20">
        <v>41092</v>
      </c>
      <c r="C134" s="20">
        <v>41157</v>
      </c>
      <c r="D134" s="20">
        <v>41164</v>
      </c>
      <c r="E134" s="20">
        <v>41227</v>
      </c>
      <c r="F134" s="12" t="str">
        <f t="shared" si="1"/>
        <v>Yes</v>
      </c>
      <c r="G134" s="12" t="str">
        <f t="shared" si="2"/>
        <v>No</v>
      </c>
      <c r="H134" s="12" t="str">
        <f t="shared" si="3"/>
        <v>Sep 2012</v>
      </c>
      <c r="I134" s="12">
        <f t="shared" si="4"/>
        <v>9.4285714285714288</v>
      </c>
      <c r="J134" s="12">
        <f t="shared" si="5"/>
        <v>2.1774991751897064</v>
      </c>
      <c r="K134" s="12">
        <f>SUMIFS(
  Admin!$D:$D,
  Admin!$A:$A, $A134,
  Admin!$B:$B, "Med A",
  Admin!$C:$C, "&gt;=" &amp; $B134,
  Admin!$C:$C, "&lt;=" &amp; $C134
)</f>
        <v>49300</v>
      </c>
      <c r="L134" s="12">
        <f t="shared" si="6"/>
        <v>22640.651515151516</v>
      </c>
      <c r="M134" s="12">
        <f>SUMIFS(Admin!$D:$D,Admin!$A:$A,$A134, Admin!$B:$B,"Med B")</f>
        <v>12</v>
      </c>
      <c r="N134" s="12">
        <f>COUNTIFS(Admin!$A:$A,$A134, Admin!$B:$B,"Med B")</f>
        <v>3</v>
      </c>
      <c r="O134" s="12">
        <f t="shared" si="0"/>
        <v>4</v>
      </c>
      <c r="P134" s="12">
        <f>IF(D134="", "Never took B",
   SUMIFS(Admin!$D:$D,
          Admin!$A:$A,$A134,
          Admin!$B:$B,"Med B",
          Admin!$C:$C,D134)
)</f>
        <v>4</v>
      </c>
      <c r="Q134" s="20">
        <f t="shared" si="7"/>
        <v>41183</v>
      </c>
      <c r="R134" s="12">
        <f>IF(Q134="","",
   SUMIFS(Admin!$D:$D,
          Admin!$A:$A,$A134,
          Admin!$B:$B,"Med B",
          Admin!$C:$C,"&gt;="&amp;Q134,
          Admin!$C:$C,"&lt;"&amp;EDATE(Q134,1))
)</f>
        <v>3</v>
      </c>
      <c r="S134" s="12" t="str">
        <f t="shared" si="8"/>
        <v>Lower</v>
      </c>
      <c r="T134" s="12">
        <f>IFERROR(
   AVERAGEIFS(
      Labs!$D:$D,
      Labs!$A:$A,$A134,
      Labs!$C:$C,"LAB B",
      Labs!$B:$B,"&lt;"&amp;$D134
   ),
   ""
)</f>
        <v>10.860000000000001</v>
      </c>
      <c r="U134" s="12">
        <f>IFERROR(
   AVERAGEIFS(
      Labs!$D:$D,
      Labs!$A:$A,$A134,
      Labs!$C:$C,"LAB B",
      Labs!$B:$B,"&gt;="&amp;$D134
   ),
   ""
)</f>
        <v>10.383333333333335</v>
      </c>
    </row>
    <row r="135" spans="1:21" ht="18.600000000000001" x14ac:dyDescent="0.25">
      <c r="A135" s="19">
        <v>20</v>
      </c>
      <c r="B135" s="20">
        <v>41092</v>
      </c>
      <c r="C135" s="20">
        <v>41157</v>
      </c>
      <c r="D135" s="20">
        <v>41164</v>
      </c>
      <c r="E135" s="20">
        <v>41227</v>
      </c>
      <c r="F135" s="12" t="str">
        <f t="shared" si="1"/>
        <v>Yes</v>
      </c>
      <c r="G135" s="12" t="str">
        <f t="shared" si="2"/>
        <v>No</v>
      </c>
      <c r="H135" s="12" t="str">
        <f t="shared" si="3"/>
        <v>Sep 2012</v>
      </c>
      <c r="I135" s="12">
        <f t="shared" si="4"/>
        <v>9.4285714285714288</v>
      </c>
      <c r="J135" s="12">
        <f t="shared" si="5"/>
        <v>2.1774991751897064</v>
      </c>
      <c r="K135" s="12">
        <f>SUMIFS(
  Admin!$D:$D,
  Admin!$A:$A, $A135,
  Admin!$B:$B, "Med A",
  Admin!$C:$C, "&gt;=" &amp; $B135,
  Admin!$C:$C, "&lt;=" &amp; $C135
)</f>
        <v>128800</v>
      </c>
      <c r="L135" s="12">
        <f t="shared" si="6"/>
        <v>59150.42424242424</v>
      </c>
      <c r="M135" s="12">
        <f>SUMIFS(Admin!$D:$D,Admin!$A:$A,$A135, Admin!$B:$B,"Med B")</f>
        <v>10</v>
      </c>
      <c r="N135" s="12">
        <f>COUNTIFS(Admin!$A:$A,$A135, Admin!$B:$B,"Med B")</f>
        <v>2</v>
      </c>
      <c r="O135" s="12">
        <f t="shared" si="0"/>
        <v>5</v>
      </c>
      <c r="P135" s="12">
        <f>IF(D135="", "Never took B",
   SUMIFS(Admin!$D:$D,
          Admin!$A:$A,$A135,
          Admin!$B:$B,"Med B",
          Admin!$C:$C,D135)
)</f>
        <v>8</v>
      </c>
      <c r="Q135" s="20">
        <f t="shared" si="7"/>
        <v>41183</v>
      </c>
      <c r="R135" s="12">
        <f>IF(Q135="","",
   SUMIFS(Admin!$D:$D,
          Admin!$A:$A,$A135,
          Admin!$B:$B,"Med B",
          Admin!$C:$C,"&gt;="&amp;Q135,
          Admin!$C:$C,"&lt;"&amp;EDATE(Q135,1))
)</f>
        <v>0</v>
      </c>
      <c r="S135" s="12" t="str">
        <f t="shared" si="8"/>
        <v>Lower</v>
      </c>
      <c r="T135" s="12">
        <f>IFERROR(
   AVERAGEIFS(
      Labs!$D:$D,
      Labs!$A:$A,$A135,
      Labs!$C:$C,"LAB B",
      Labs!$B:$B,"&lt;"&amp;$D135
   ),
   ""
)</f>
        <v>9.4599999999999991</v>
      </c>
      <c r="U135" s="12">
        <f>IFERROR(
   AVERAGEIFS(
      Labs!$D:$D,
      Labs!$A:$A,$A135,
      Labs!$C:$C,"LAB B",
      Labs!$B:$B,"&gt;="&amp;$D135
   ),
   ""
)</f>
        <v>10.950000000000001</v>
      </c>
    </row>
    <row r="136" spans="1:21" ht="18.600000000000001" x14ac:dyDescent="0.25">
      <c r="A136" s="19">
        <v>21</v>
      </c>
      <c r="B136" s="20">
        <v>41092</v>
      </c>
      <c r="C136" s="20">
        <v>41157</v>
      </c>
      <c r="D136" s="20">
        <v>41164</v>
      </c>
      <c r="E136" s="20">
        <v>41192</v>
      </c>
      <c r="F136" s="12" t="str">
        <f t="shared" si="1"/>
        <v>Yes</v>
      </c>
      <c r="G136" s="12" t="str">
        <f t="shared" si="2"/>
        <v>No</v>
      </c>
      <c r="H136" s="12" t="str">
        <f t="shared" si="3"/>
        <v>Sep 2012</v>
      </c>
      <c r="I136" s="12">
        <f t="shared" si="4"/>
        <v>9.4285714285714288</v>
      </c>
      <c r="J136" s="12">
        <f t="shared" si="5"/>
        <v>2.1774991751897064</v>
      </c>
      <c r="K136" s="12">
        <f>SUMIFS(
  Admin!$D:$D,
  Admin!$A:$A, $A136,
  Admin!$B:$B, "Med A",
  Admin!$C:$C, "&gt;=" &amp; $B136,
  Admin!$C:$C, "&lt;=" &amp; $C136
)</f>
        <v>66600</v>
      </c>
      <c r="L136" s="12">
        <f t="shared" si="6"/>
        <v>30585.545454545456</v>
      </c>
      <c r="M136" s="12">
        <f>SUMIFS(Admin!$D:$D,Admin!$A:$A,$A136, Admin!$B:$B,"Med B")</f>
        <v>12</v>
      </c>
      <c r="N136" s="12">
        <f>COUNTIFS(Admin!$A:$A,$A136, Admin!$B:$B,"Med B")</f>
        <v>2</v>
      </c>
      <c r="O136" s="12">
        <f t="shared" si="0"/>
        <v>6</v>
      </c>
      <c r="P136" s="12">
        <f>IF(D136="", "Never took B",
   SUMIFS(Admin!$D:$D,
          Admin!$A:$A,$A136,
          Admin!$B:$B,"Med B",
          Admin!$C:$C,D136)
)</f>
        <v>6</v>
      </c>
      <c r="Q136" s="20">
        <f t="shared" si="7"/>
        <v>41183</v>
      </c>
      <c r="R136" s="12">
        <f>IF(Q136="","",
   SUMIFS(Admin!$D:$D,
          Admin!$A:$A,$A136,
          Admin!$B:$B,"Med B",
          Admin!$C:$C,"&gt;="&amp;Q136,
          Admin!$C:$C,"&lt;"&amp;EDATE(Q136,1))
)</f>
        <v>6</v>
      </c>
      <c r="S136" s="12" t="str">
        <f t="shared" si="8"/>
        <v>Same</v>
      </c>
      <c r="T136" s="12">
        <f>IFERROR(
   AVERAGEIFS(
      Labs!$D:$D,
      Labs!$A:$A,$A136,
      Labs!$C:$C,"LAB B",
      Labs!$B:$B,"&lt;"&amp;$D136
   ),
   ""
)</f>
        <v>10</v>
      </c>
      <c r="U136" s="12">
        <f>IFERROR(
   AVERAGEIFS(
      Labs!$D:$D,
      Labs!$A:$A,$A136,
      Labs!$C:$C,"LAB B",
      Labs!$B:$B,"&gt;="&amp;$D136
   ),
   ""
)</f>
        <v>10.733333333333333</v>
      </c>
    </row>
    <row r="137" spans="1:21" ht="18.600000000000001" x14ac:dyDescent="0.25">
      <c r="A137" s="19">
        <v>22</v>
      </c>
      <c r="B137" s="20">
        <v>41092</v>
      </c>
      <c r="C137" s="20">
        <v>41157</v>
      </c>
      <c r="D137" s="20">
        <v>41192</v>
      </c>
      <c r="E137" s="20">
        <v>41227</v>
      </c>
      <c r="F137" s="12" t="str">
        <f t="shared" si="1"/>
        <v>Yes</v>
      </c>
      <c r="G137" s="12" t="str">
        <f t="shared" si="2"/>
        <v>No</v>
      </c>
      <c r="H137" s="12" t="str">
        <f t="shared" si="3"/>
        <v>Oct 2012</v>
      </c>
      <c r="I137" s="12">
        <f t="shared" si="4"/>
        <v>9.4285714285714288</v>
      </c>
      <c r="J137" s="12">
        <f t="shared" si="5"/>
        <v>2.1774991751897064</v>
      </c>
      <c r="K137" s="12">
        <f>SUMIFS(
  Admin!$D:$D,
  Admin!$A:$A, $A137,
  Admin!$B:$B, "Med A",
  Admin!$C:$C, "&gt;=" &amp; $B137,
  Admin!$C:$C, "&lt;=" &amp; $C137
)</f>
        <v>146200</v>
      </c>
      <c r="L137" s="12">
        <f t="shared" si="6"/>
        <v>67141.242424242431</v>
      </c>
      <c r="M137" s="12">
        <f>SUMIFS(Admin!$D:$D,Admin!$A:$A,$A137, Admin!$B:$B,"Med B")</f>
        <v>6</v>
      </c>
      <c r="N137" s="12">
        <f>COUNTIFS(Admin!$A:$A,$A137, Admin!$B:$B,"Med B")</f>
        <v>2</v>
      </c>
      <c r="O137" s="12">
        <f t="shared" si="0"/>
        <v>3</v>
      </c>
      <c r="P137" s="12">
        <f>IF(D137="", "Never took B",
   SUMIFS(Admin!$D:$D,
          Admin!$A:$A,$A137,
          Admin!$B:$B,"Med B",
          Admin!$C:$C,D137)
)</f>
        <v>2</v>
      </c>
      <c r="Q137" s="20">
        <f t="shared" si="7"/>
        <v>41214</v>
      </c>
      <c r="R137" s="12">
        <f>IF(Q137="","",
   SUMIFS(Admin!$D:$D,
          Admin!$A:$A,$A137,
          Admin!$B:$B,"Med B",
          Admin!$C:$C,"&gt;="&amp;Q137,
          Admin!$C:$C,"&lt;"&amp;EDATE(Q137,1))
)</f>
        <v>4</v>
      </c>
      <c r="S137" s="12" t="str">
        <f t="shared" si="8"/>
        <v>Higher</v>
      </c>
      <c r="T137" s="12">
        <f>IFERROR(
   AVERAGEIFS(
      Labs!$D:$D,
      Labs!$A:$A,$A137,
      Labs!$C:$C,"LAB B",
      Labs!$B:$B,"&lt;"&amp;$D137
   ),
   ""
)</f>
        <v>11.1875</v>
      </c>
      <c r="U137" s="12">
        <f>IFERROR(
   AVERAGEIFS(
      Labs!$D:$D,
      Labs!$A:$A,$A137,
      Labs!$C:$C,"LAB B",
      Labs!$B:$B,"&gt;="&amp;$D137
   ),
   ""
)</f>
        <v>9.0500000000000007</v>
      </c>
    </row>
    <row r="138" spans="1:21" ht="18.600000000000001" x14ac:dyDescent="0.25">
      <c r="A138" s="19">
        <v>23</v>
      </c>
      <c r="B138" s="20">
        <v>41102</v>
      </c>
      <c r="C138" s="20">
        <v>41142</v>
      </c>
      <c r="D138" s="20"/>
      <c r="E138" s="20"/>
      <c r="F138" s="12" t="str">
        <f t="shared" si="1"/>
        <v>No</v>
      </c>
      <c r="G138" s="12" t="str">
        <f t="shared" si="2"/>
        <v>No</v>
      </c>
      <c r="H138" s="12" t="str">
        <f t="shared" si="3"/>
        <v>Never Started B</v>
      </c>
      <c r="I138" s="12">
        <f t="shared" si="4"/>
        <v>5.8571428571428568</v>
      </c>
      <c r="J138" s="12">
        <f t="shared" si="5"/>
        <v>1.3526888815572418</v>
      </c>
      <c r="K138" s="12">
        <f>SUMIFS(
  Admin!$D:$D,
  Admin!$A:$A, $A138,
  Admin!$B:$B, "Med A",
  Admin!$C:$C, "&gt;=" &amp; $B138,
  Admin!$C:$C, "&lt;=" &amp; $C138
)</f>
        <v>109800</v>
      </c>
      <c r="L138" s="12">
        <f t="shared" si="6"/>
        <v>81171.658536585368</v>
      </c>
      <c r="M138" s="12">
        <f>SUMIFS(Admin!$D:$D,Admin!$A:$A,$A138, Admin!$B:$B,"Med B")</f>
        <v>0</v>
      </c>
      <c r="N138" s="12">
        <f>COUNTIFS(Admin!$A:$A,$A138, Admin!$B:$B,"Med B")</f>
        <v>0</v>
      </c>
      <c r="O138" s="12" t="str">
        <f t="shared" si="0"/>
        <v>Never took B</v>
      </c>
      <c r="P138" s="12" t="str">
        <f>IF(D138="", "Never took B",
   SUMIFS(Admin!$D:$D,
          Admin!$A:$A,$A138,
          Admin!$B:$B,"Med B",
          Admin!$C:$C,D138)
)</f>
        <v>Never took B</v>
      </c>
      <c r="Q138" s="20" t="str">
        <f t="shared" si="7"/>
        <v/>
      </c>
      <c r="R138" s="12" t="str">
        <f>IF(Q138="","",
   SUMIFS(Admin!$D:$D,
          Admin!$A:$A,$A138,
          Admin!$B:$B,"Med B",
          Admin!$C:$C,"&gt;="&amp;Q138,
          Admin!$C:$C,"&lt;"&amp;EDATE(Q138,1))
)</f>
        <v/>
      </c>
      <c r="S138" s="12" t="str">
        <f t="shared" si="8"/>
        <v>Never took B</v>
      </c>
      <c r="T138" s="12" t="str">
        <f>IFERROR(
   AVERAGEIFS(
      Labs!$D:$D,
      Labs!$A:$A,$A138,
      Labs!$C:$C,"LAB B",
      Labs!$B:$B,"&lt;"&amp;$D138
   ),
   ""
)</f>
        <v/>
      </c>
      <c r="U138" s="12" t="str">
        <f>IFERROR(
   AVERAGEIFS(
      Labs!$D:$D,
      Labs!$A:$A,$A138,
      Labs!$C:$C,"LAB B",
      Labs!$B:$B,"&gt;="&amp;$D138
   ),
   ""
)</f>
        <v/>
      </c>
    </row>
    <row r="139" spans="1:21" ht="18.600000000000001" x14ac:dyDescent="0.25">
      <c r="A139" s="19">
        <v>24</v>
      </c>
      <c r="B139" s="20"/>
      <c r="C139" s="20"/>
      <c r="D139" s="20">
        <v>41177</v>
      </c>
      <c r="E139" s="20">
        <v>41188</v>
      </c>
      <c r="F139" s="12" t="str">
        <f t="shared" si="1"/>
        <v>No</v>
      </c>
      <c r="G139" s="12" t="str">
        <f t="shared" si="2"/>
        <v>Yes</v>
      </c>
      <c r="H139" s="12" t="str">
        <f t="shared" si="3"/>
        <v>Sep 2012</v>
      </c>
      <c r="I139" s="12" t="str">
        <f t="shared" si="4"/>
        <v/>
      </c>
      <c r="J139" s="12" t="str">
        <f t="shared" si="5"/>
        <v/>
      </c>
      <c r="K139" s="12">
        <f>SUMIFS(
  Admin!$D:$D,
  Admin!$A:$A, $A139,
  Admin!$B:$B, "Med A",
  Admin!$C:$C, "&gt;=" &amp; $B139,
  Admin!$C:$C, "&lt;=" &amp; $C139
)</f>
        <v>0</v>
      </c>
      <c r="L139" s="12" t="str">
        <f t="shared" si="6"/>
        <v>Never took A</v>
      </c>
      <c r="M139" s="12">
        <f>SUMIFS(Admin!$D:$D,Admin!$A:$A,$A139, Admin!$B:$B,"Med B")</f>
        <v>8</v>
      </c>
      <c r="N139" s="12">
        <f>COUNTIFS(Admin!$A:$A,$A139, Admin!$B:$B,"Med B")</f>
        <v>2</v>
      </c>
      <c r="O139" s="12">
        <f t="shared" si="0"/>
        <v>4</v>
      </c>
      <c r="P139" s="12">
        <f>IF(D139="", "Never took B",
   SUMIFS(Admin!$D:$D,
          Admin!$A:$A,$A139,
          Admin!$B:$B,"Med B",
          Admin!$C:$C,D139)
)</f>
        <v>3</v>
      </c>
      <c r="Q139" s="20">
        <f t="shared" si="7"/>
        <v>41183</v>
      </c>
      <c r="R139" s="12">
        <f>IF(Q139="","",
   SUMIFS(Admin!$D:$D,
          Admin!$A:$A,$A139,
          Admin!$B:$B,"Med B",
          Admin!$C:$C,"&gt;="&amp;Q139,
          Admin!$C:$C,"&lt;"&amp;EDATE(Q139,1))
)</f>
        <v>5</v>
      </c>
      <c r="S139" s="12" t="str">
        <f t="shared" si="8"/>
        <v>Higher</v>
      </c>
      <c r="T139" s="12" t="str">
        <f>IFERROR(
   AVERAGEIFS(
      Labs!$D:$D,
      Labs!$A:$A,$A139,
      Labs!$C:$C,"LAB B",
      Labs!$B:$B,"&lt;"&amp;$D139
   ),
   ""
)</f>
        <v/>
      </c>
      <c r="U139" s="12">
        <f>IFERROR(
   AVERAGEIFS(
      Labs!$D:$D,
      Labs!$A:$A,$A139,
      Labs!$C:$C,"LAB B",
      Labs!$B:$B,"&gt;="&amp;$D139
   ),
   ""
)</f>
        <v>7.35</v>
      </c>
    </row>
    <row r="140" spans="1:21" ht="18.600000000000001" x14ac:dyDescent="0.25">
      <c r="A140" s="19">
        <v>25</v>
      </c>
      <c r="B140" s="20">
        <v>41148</v>
      </c>
      <c r="C140" s="20">
        <v>41157</v>
      </c>
      <c r="D140" s="20">
        <v>41164</v>
      </c>
      <c r="E140" s="20">
        <v>41227</v>
      </c>
      <c r="F140" s="12" t="str">
        <f t="shared" si="1"/>
        <v>Yes</v>
      </c>
      <c r="G140" s="12" t="str">
        <f t="shared" si="2"/>
        <v>No</v>
      </c>
      <c r="H140" s="12" t="str">
        <f t="shared" si="3"/>
        <v>Sep 2012</v>
      </c>
      <c r="I140" s="12">
        <f t="shared" si="4"/>
        <v>1.4285714285714286</v>
      </c>
      <c r="J140" s="12">
        <f t="shared" si="5"/>
        <v>0.32992411745298583</v>
      </c>
      <c r="K140" s="12">
        <f>SUMIFS(
  Admin!$D:$D,
  Admin!$A:$A, $A140,
  Admin!$B:$B, "Med A",
  Admin!$C:$C, "&gt;=" &amp; $B140,
  Admin!$C:$C, "&lt;=" &amp; $C140
)</f>
        <v>15000</v>
      </c>
      <c r="L140" s="12">
        <f t="shared" si="6"/>
        <v>45465</v>
      </c>
      <c r="M140" s="12">
        <f>SUMIFS(Admin!$D:$D,Admin!$A:$A,$A140, Admin!$B:$B,"Med B")</f>
        <v>18</v>
      </c>
      <c r="N140" s="12">
        <f>COUNTIFS(Admin!$A:$A,$A140, Admin!$B:$B,"Med B")</f>
        <v>3</v>
      </c>
      <c r="O140" s="12">
        <f t="shared" si="0"/>
        <v>6</v>
      </c>
      <c r="P140" s="12">
        <f>IF(D140="", "Never took B",
   SUMIFS(Admin!$D:$D,
          Admin!$A:$A,$A140,
          Admin!$B:$B,"Med B",
          Admin!$C:$C,D140)
)</f>
        <v>6</v>
      </c>
      <c r="Q140" s="20">
        <f t="shared" si="7"/>
        <v>41183</v>
      </c>
      <c r="R140" s="12">
        <f>IF(Q140="","",
   SUMIFS(Admin!$D:$D,
          Admin!$A:$A,$A140,
          Admin!$B:$B,"Med B",
          Admin!$C:$C,"&gt;="&amp;Q140,
          Admin!$C:$C,"&lt;"&amp;EDATE(Q140,1))
)</f>
        <v>6</v>
      </c>
      <c r="S140" s="12" t="str">
        <f t="shared" si="8"/>
        <v>Same</v>
      </c>
      <c r="T140" s="12">
        <f>IFERROR(
   AVERAGEIFS(
      Labs!$D:$D,
      Labs!$A:$A,$A140,
      Labs!$C:$C,"LAB B",
      Labs!$B:$B,"&lt;"&amp;$D140
   ),
   ""
)</f>
        <v>9.4499999999999993</v>
      </c>
      <c r="U140" s="12">
        <f>IFERROR(
   AVERAGEIFS(
      Labs!$D:$D,
      Labs!$A:$A,$A140,
      Labs!$C:$C,"LAB B",
      Labs!$B:$B,"&gt;="&amp;$D140
   ),
   ""
)</f>
        <v>10.216666666666667</v>
      </c>
    </row>
    <row r="141" spans="1:21" ht="18.600000000000001" x14ac:dyDescent="0.25">
      <c r="A141" s="19">
        <v>26</v>
      </c>
      <c r="B141" s="20">
        <v>41127</v>
      </c>
      <c r="C141" s="20">
        <v>41127</v>
      </c>
      <c r="D141" s="20"/>
      <c r="E141" s="20"/>
      <c r="F141" s="12" t="str">
        <f t="shared" si="1"/>
        <v>No</v>
      </c>
      <c r="G141" s="12" t="str">
        <f t="shared" si="2"/>
        <v>No</v>
      </c>
      <c r="H141" s="12" t="str">
        <f t="shared" si="3"/>
        <v>Never Started B</v>
      </c>
      <c r="I141" s="12">
        <f t="shared" si="4"/>
        <v>0.14285714285714285</v>
      </c>
      <c r="J141" s="12">
        <f t="shared" si="5"/>
        <v>3.2992411745298579E-2</v>
      </c>
      <c r="K141" s="12">
        <f>SUMIFS(
  Admin!$D:$D,
  Admin!$A:$A, $A141,
  Admin!$B:$B, "Med A",
  Admin!$C:$C, "&gt;=" &amp; $B141,
  Admin!$C:$C, "&lt;=" &amp; $C141
)</f>
        <v>13800</v>
      </c>
      <c r="L141" s="12">
        <f t="shared" si="6"/>
        <v>13800</v>
      </c>
      <c r="M141" s="12">
        <f>SUMIFS(Admin!$D:$D,Admin!$A:$A,$A141, Admin!$B:$B,"Med B")</f>
        <v>0</v>
      </c>
      <c r="N141" s="12">
        <f>COUNTIFS(Admin!$A:$A,$A141, Admin!$B:$B,"Med B")</f>
        <v>0</v>
      </c>
      <c r="O141" s="12" t="str">
        <f t="shared" si="0"/>
        <v>Never took B</v>
      </c>
      <c r="P141" s="12" t="str">
        <f>IF(D141="", "Never took B",
   SUMIFS(Admin!$D:$D,
          Admin!$A:$A,$A141,
          Admin!$B:$B,"Med B",
          Admin!$C:$C,D141)
)</f>
        <v>Never took B</v>
      </c>
      <c r="Q141" s="20" t="str">
        <f t="shared" si="7"/>
        <v/>
      </c>
      <c r="R141" s="12" t="str">
        <f>IF(Q141="","",
   SUMIFS(Admin!$D:$D,
          Admin!$A:$A,$A141,
          Admin!$B:$B,"Med B",
          Admin!$C:$C,"&gt;="&amp;Q141,
          Admin!$C:$C,"&lt;"&amp;EDATE(Q141,1))
)</f>
        <v/>
      </c>
      <c r="S141" s="12" t="str">
        <f t="shared" si="8"/>
        <v>Never took B</v>
      </c>
      <c r="T141" s="12" t="str">
        <f>IFERROR(
   AVERAGEIFS(
      Labs!$D:$D,
      Labs!$A:$A,$A141,
      Labs!$C:$C,"LAB B",
      Labs!$B:$B,"&lt;"&amp;$D141
   ),
   ""
)</f>
        <v/>
      </c>
      <c r="U141" s="12" t="str">
        <f>IFERROR(
   AVERAGEIFS(
      Labs!$D:$D,
      Labs!$A:$A,$A141,
      Labs!$C:$C,"LAB B",
      Labs!$B:$B,"&gt;="&amp;$D141
   ),
   ""
)</f>
        <v/>
      </c>
    </row>
    <row r="142" spans="1:21" ht="18.600000000000001" x14ac:dyDescent="0.25">
      <c r="A142" s="19">
        <v>27</v>
      </c>
      <c r="B142" s="20">
        <v>41233</v>
      </c>
      <c r="C142" s="20">
        <v>41236</v>
      </c>
      <c r="D142" s="20"/>
      <c r="E142" s="20"/>
      <c r="F142" s="12" t="str">
        <f t="shared" si="1"/>
        <v>No</v>
      </c>
      <c r="G142" s="12" t="str">
        <f t="shared" si="2"/>
        <v>No</v>
      </c>
      <c r="H142" s="12" t="str">
        <f t="shared" si="3"/>
        <v>Never Started B</v>
      </c>
      <c r="I142" s="12">
        <f t="shared" si="4"/>
        <v>0.5714285714285714</v>
      </c>
      <c r="J142" s="12">
        <f t="shared" si="5"/>
        <v>0.13196964698119432</v>
      </c>
      <c r="K142" s="12">
        <f>SUMIFS(
  Admin!$D:$D,
  Admin!$A:$A, $A142,
  Admin!$B:$B, "Med A",
  Admin!$C:$C, "&gt;=" &amp; $B142,
  Admin!$C:$C, "&lt;=" &amp; $C142
)</f>
        <v>2400</v>
      </c>
      <c r="L142" s="12">
        <f t="shared" si="6"/>
        <v>18186</v>
      </c>
      <c r="M142" s="12">
        <f>SUMIFS(Admin!$D:$D,Admin!$A:$A,$A142, Admin!$B:$B,"Med B")</f>
        <v>0</v>
      </c>
      <c r="N142" s="12">
        <f>COUNTIFS(Admin!$A:$A,$A142, Admin!$B:$B,"Med B")</f>
        <v>0</v>
      </c>
      <c r="O142" s="12" t="str">
        <f t="shared" si="0"/>
        <v>Never took B</v>
      </c>
      <c r="P142" s="12" t="str">
        <f>IF(D142="", "Never took B",
   SUMIFS(Admin!$D:$D,
          Admin!$A:$A,$A142,
          Admin!$B:$B,"Med B",
          Admin!$C:$C,D142)
)</f>
        <v>Never took B</v>
      </c>
      <c r="Q142" s="20" t="str">
        <f t="shared" si="7"/>
        <v/>
      </c>
      <c r="R142" s="12" t="str">
        <f>IF(Q142="","",
   SUMIFS(Admin!$D:$D,
          Admin!$A:$A,$A142,
          Admin!$B:$B,"Med B",
          Admin!$C:$C,"&gt;="&amp;Q142,
          Admin!$C:$C,"&lt;"&amp;EDATE(Q142,1))
)</f>
        <v/>
      </c>
      <c r="S142" s="12" t="str">
        <f t="shared" si="8"/>
        <v>Never took B</v>
      </c>
      <c r="T142" s="12" t="str">
        <f>IFERROR(
   AVERAGEIFS(
      Labs!$D:$D,
      Labs!$A:$A,$A142,
      Labs!$C:$C,"LAB B",
      Labs!$B:$B,"&lt;"&amp;$D142
   ),
   ""
)</f>
        <v/>
      </c>
      <c r="U142" s="12" t="str">
        <f>IFERROR(
   AVERAGEIFS(
      Labs!$D:$D,
      Labs!$A:$A,$A142,
      Labs!$C:$C,"LAB B",
      Labs!$B:$B,"&gt;="&amp;$D142
   ),
   ""
)</f>
        <v/>
      </c>
    </row>
    <row r="143" spans="1:21" ht="18.600000000000001" x14ac:dyDescent="0.25">
      <c r="A143" s="19">
        <v>28</v>
      </c>
      <c r="B143" s="20">
        <v>41099</v>
      </c>
      <c r="C143" s="20">
        <v>41138</v>
      </c>
      <c r="D143" s="20">
        <v>41164</v>
      </c>
      <c r="E143" s="20">
        <v>41227</v>
      </c>
      <c r="F143" s="12" t="str">
        <f t="shared" si="1"/>
        <v>Yes</v>
      </c>
      <c r="G143" s="12" t="str">
        <f t="shared" si="2"/>
        <v>No</v>
      </c>
      <c r="H143" s="12" t="str">
        <f t="shared" si="3"/>
        <v>Sep 2012</v>
      </c>
      <c r="I143" s="12">
        <f t="shared" si="4"/>
        <v>5.7142857142857144</v>
      </c>
      <c r="J143" s="12">
        <f t="shared" si="5"/>
        <v>1.3196964698119433</v>
      </c>
      <c r="K143" s="12">
        <f>SUMIFS(
  Admin!$D:$D,
  Admin!$A:$A, $A143,
  Admin!$B:$B, "Med A",
  Admin!$C:$C, "&gt;=" &amp; $B143,
  Admin!$C:$C, "&lt;=" &amp; $C143
)</f>
        <v>95500</v>
      </c>
      <c r="L143" s="12">
        <f t="shared" si="6"/>
        <v>72365.125</v>
      </c>
      <c r="M143" s="12">
        <f>SUMIFS(Admin!$D:$D,Admin!$A:$A,$A143, Admin!$B:$B,"Med B")</f>
        <v>8</v>
      </c>
      <c r="N143" s="12">
        <f>COUNTIFS(Admin!$A:$A,$A143, Admin!$B:$B,"Med B")</f>
        <v>2</v>
      </c>
      <c r="O143" s="12">
        <f t="shared" si="0"/>
        <v>4</v>
      </c>
      <c r="P143" s="12">
        <f>IF(D143="", "Never took B",
   SUMIFS(Admin!$D:$D,
          Admin!$A:$A,$A143,
          Admin!$B:$B,"Med B",
          Admin!$C:$C,D143)
)</f>
        <v>6</v>
      </c>
      <c r="Q143" s="20">
        <f t="shared" si="7"/>
        <v>41183</v>
      </c>
      <c r="R143" s="12">
        <f>IF(Q143="","",
   SUMIFS(Admin!$D:$D,
          Admin!$A:$A,$A143,
          Admin!$B:$B,"Med B",
          Admin!$C:$C,"&gt;="&amp;Q143,
          Admin!$C:$C,"&lt;"&amp;EDATE(Q143,1))
)</f>
        <v>0</v>
      </c>
      <c r="S143" s="12" t="str">
        <f t="shared" si="8"/>
        <v>Lower</v>
      </c>
      <c r="T143" s="12">
        <f>IFERROR(
   AVERAGEIFS(
      Labs!$D:$D,
      Labs!$A:$A,$A143,
      Labs!$C:$C,"LAB B",
      Labs!$B:$B,"&lt;"&amp;$D143
   ),
   ""
)</f>
        <v>11.283333333333331</v>
      </c>
      <c r="U143" s="12">
        <f>IFERROR(
   AVERAGEIFS(
      Labs!$D:$D,
      Labs!$A:$A,$A143,
      Labs!$C:$C,"LAB B",
      Labs!$B:$B,"&gt;="&amp;$D143
   ),
   ""
)</f>
        <v>10.65</v>
      </c>
    </row>
    <row r="144" spans="1:21" ht="18.600000000000001" x14ac:dyDescent="0.25">
      <c r="A144" s="19">
        <v>29</v>
      </c>
      <c r="B144" s="20">
        <v>41093</v>
      </c>
      <c r="C144" s="20">
        <v>41156</v>
      </c>
      <c r="D144" s="20">
        <v>41165</v>
      </c>
      <c r="E144" s="20">
        <v>41230</v>
      </c>
      <c r="F144" s="12" t="str">
        <f t="shared" si="1"/>
        <v>Yes</v>
      </c>
      <c r="G144" s="12" t="str">
        <f t="shared" si="2"/>
        <v>No</v>
      </c>
      <c r="H144" s="12" t="str">
        <f t="shared" si="3"/>
        <v>Sep 2012</v>
      </c>
      <c r="I144" s="12">
        <f t="shared" si="4"/>
        <v>9.1428571428571423</v>
      </c>
      <c r="J144" s="12">
        <f t="shared" si="5"/>
        <v>2.1115143516991091</v>
      </c>
      <c r="K144" s="12">
        <f>SUMIFS(
  Admin!$D:$D,
  Admin!$A:$A, $A144,
  Admin!$B:$B, "Med A",
  Admin!$C:$C, "&gt;=" &amp; $B144,
  Admin!$C:$C, "&lt;=" &amp; $C144
)</f>
        <v>58000</v>
      </c>
      <c r="L144" s="12">
        <f t="shared" si="6"/>
        <v>27468.437500000004</v>
      </c>
      <c r="M144" s="12">
        <f>SUMIFS(Admin!$D:$D,Admin!$A:$A,$A144, Admin!$B:$B,"Med B")</f>
        <v>18</v>
      </c>
      <c r="N144" s="12">
        <f>COUNTIFS(Admin!$A:$A,$A144, Admin!$B:$B,"Med B")</f>
        <v>2</v>
      </c>
      <c r="O144" s="12">
        <f t="shared" si="0"/>
        <v>9</v>
      </c>
      <c r="P144" s="12">
        <f>IF(D144="", "Never took B",
   SUMIFS(Admin!$D:$D,
          Admin!$A:$A,$A144,
          Admin!$B:$B,"Med B",
          Admin!$C:$C,D144)
)</f>
        <v>8</v>
      </c>
      <c r="Q144" s="20">
        <f t="shared" si="7"/>
        <v>41183</v>
      </c>
      <c r="R144" s="12">
        <f>IF(Q144="","",
   SUMIFS(Admin!$D:$D,
          Admin!$A:$A,$A144,
          Admin!$B:$B,"Med B",
          Admin!$C:$C,"&gt;="&amp;Q144,
          Admin!$C:$C,"&lt;"&amp;EDATE(Q144,1))
)</f>
        <v>0</v>
      </c>
      <c r="S144" s="12" t="str">
        <f t="shared" si="8"/>
        <v>Lower</v>
      </c>
      <c r="T144" s="12">
        <f>IFERROR(
   AVERAGEIFS(
      Labs!$D:$D,
      Labs!$A:$A,$A144,
      Labs!$C:$C,"LAB B",
      Labs!$B:$B,"&lt;"&amp;$D144
   ),
   ""
)</f>
        <v>10.985714285714286</v>
      </c>
      <c r="U144" s="12">
        <f>IFERROR(
   AVERAGEIFS(
      Labs!$D:$D,
      Labs!$A:$A,$A144,
      Labs!$C:$C,"LAB B",
      Labs!$B:$B,"&gt;="&amp;$D144
   ),
   ""
)</f>
        <v>10.416666666666666</v>
      </c>
    </row>
    <row r="145" spans="1:21" ht="18.600000000000001" x14ac:dyDescent="0.25">
      <c r="A145" s="19">
        <v>30</v>
      </c>
      <c r="B145" s="20">
        <v>41092</v>
      </c>
      <c r="C145" s="20">
        <v>41158</v>
      </c>
      <c r="D145" s="20">
        <v>41165</v>
      </c>
      <c r="E145" s="20">
        <v>41200</v>
      </c>
      <c r="F145" s="12" t="str">
        <f t="shared" si="1"/>
        <v>Yes</v>
      </c>
      <c r="G145" s="12" t="str">
        <f t="shared" si="2"/>
        <v>No</v>
      </c>
      <c r="H145" s="12" t="str">
        <f t="shared" si="3"/>
        <v>Sep 2012</v>
      </c>
      <c r="I145" s="12">
        <f t="shared" si="4"/>
        <v>9.5714285714285712</v>
      </c>
      <c r="J145" s="12">
        <f t="shared" si="5"/>
        <v>2.2104915869350048</v>
      </c>
      <c r="K145" s="12">
        <f>SUMIFS(
  Admin!$D:$D,
  Admin!$A:$A, $A145,
  Admin!$B:$B, "Med A",
  Admin!$C:$C, "&gt;=" &amp; $B145,
  Admin!$C:$C, "&lt;=" &amp; $C145
)</f>
        <v>19000</v>
      </c>
      <c r="L145" s="12">
        <f t="shared" si="6"/>
        <v>8595.373134328358</v>
      </c>
      <c r="M145" s="12">
        <f>SUMIFS(Admin!$D:$D,Admin!$A:$A,$A145, Admin!$B:$B,"Med B")</f>
        <v>5</v>
      </c>
      <c r="N145" s="12">
        <f>COUNTIFS(Admin!$A:$A,$A145, Admin!$B:$B,"Med B")</f>
        <v>2</v>
      </c>
      <c r="O145" s="12">
        <f t="shared" si="0"/>
        <v>2.5</v>
      </c>
      <c r="P145" s="12">
        <f>IF(D145="", "Never took B",
   SUMIFS(Admin!$D:$D,
          Admin!$A:$A,$A145,
          Admin!$B:$B,"Med B",
          Admin!$C:$C,D145)
)</f>
        <v>2</v>
      </c>
      <c r="Q145" s="20">
        <f t="shared" si="7"/>
        <v>41183</v>
      </c>
      <c r="R145" s="12">
        <f>IF(Q145="","",
   SUMIFS(Admin!$D:$D,
          Admin!$A:$A,$A145,
          Admin!$B:$B,"Med B",
          Admin!$C:$C,"&gt;="&amp;Q145,
          Admin!$C:$C,"&lt;"&amp;EDATE(Q145,1))
)</f>
        <v>3</v>
      </c>
      <c r="S145" s="12" t="str">
        <f t="shared" si="8"/>
        <v>Higher</v>
      </c>
      <c r="T145" s="12">
        <f>IFERROR(
   AVERAGEIFS(
      Labs!$D:$D,
      Labs!$A:$A,$A145,
      Labs!$C:$C,"LAB B",
      Labs!$B:$B,"&lt;"&amp;$D145
   ),
   ""
)</f>
        <v>10.916666666666666</v>
      </c>
      <c r="U145" s="12">
        <f>IFERROR(
   AVERAGEIFS(
      Labs!$D:$D,
      Labs!$A:$A,$A145,
      Labs!$C:$C,"LAB B",
      Labs!$B:$B,"&gt;="&amp;$D145
   ),
   ""
)</f>
        <v>11.3</v>
      </c>
    </row>
    <row r="146" spans="1:21" ht="18.600000000000001" x14ac:dyDescent="0.25">
      <c r="A146" s="19">
        <v>31</v>
      </c>
      <c r="B146" s="20">
        <v>41097</v>
      </c>
      <c r="C146" s="20">
        <v>41125</v>
      </c>
      <c r="D146" s="20">
        <v>41167</v>
      </c>
      <c r="E146" s="20">
        <v>41228</v>
      </c>
      <c r="F146" s="12" t="str">
        <f t="shared" si="1"/>
        <v>Yes</v>
      </c>
      <c r="G146" s="12" t="str">
        <f t="shared" si="2"/>
        <v>No</v>
      </c>
      <c r="H146" s="12" t="str">
        <f t="shared" si="3"/>
        <v>Sep 2012</v>
      </c>
      <c r="I146" s="12">
        <f t="shared" si="4"/>
        <v>4.1428571428571432</v>
      </c>
      <c r="J146" s="12">
        <f t="shared" si="5"/>
        <v>0.9567799406136589</v>
      </c>
      <c r="K146" s="12">
        <f>SUMIFS(
  Admin!$D:$D,
  Admin!$A:$A, $A146,
  Admin!$B:$B, "Med A",
  Admin!$C:$C, "&gt;=" &amp; $B146,
  Admin!$C:$C, "&lt;=" &amp; $C146
)</f>
        <v>106900</v>
      </c>
      <c r="L146" s="12">
        <f t="shared" si="6"/>
        <v>111728.93103448275</v>
      </c>
      <c r="M146" s="12">
        <f>SUMIFS(Admin!$D:$D,Admin!$A:$A,$A146, Admin!$B:$B,"Med B")</f>
        <v>39</v>
      </c>
      <c r="N146" s="12">
        <f>COUNTIFS(Admin!$A:$A,$A146, Admin!$B:$B,"Med B")</f>
        <v>3</v>
      </c>
      <c r="O146" s="12">
        <f t="shared" si="0"/>
        <v>13</v>
      </c>
      <c r="P146" s="12">
        <f>IF(D146="", "Never took B",
   SUMIFS(Admin!$D:$D,
          Admin!$A:$A,$A146,
          Admin!$B:$B,"Med B",
          Admin!$C:$C,D146)
)</f>
        <v>13</v>
      </c>
      <c r="Q146" s="20">
        <f t="shared" si="7"/>
        <v>41183</v>
      </c>
      <c r="R146" s="12">
        <f>IF(Q146="","",
   SUMIFS(Admin!$D:$D,
          Admin!$A:$A,$A146,
          Admin!$B:$B,"Med B",
          Admin!$C:$C,"&gt;="&amp;Q146,
          Admin!$C:$C,"&lt;"&amp;EDATE(Q146,1))
)</f>
        <v>13</v>
      </c>
      <c r="S146" s="12" t="str">
        <f t="shared" si="8"/>
        <v>Same</v>
      </c>
      <c r="T146" s="12">
        <f>IFERROR(
   AVERAGEIFS(
      Labs!$D:$D,
      Labs!$A:$A,$A146,
      Labs!$C:$C,"LAB B",
      Labs!$B:$B,"&lt;"&amp;$D146
   ),
   ""
)</f>
        <v>10.700000000000001</v>
      </c>
      <c r="U146" s="12">
        <f>IFERROR(
   AVERAGEIFS(
      Labs!$D:$D,
      Labs!$A:$A,$A146,
      Labs!$C:$C,"LAB B",
      Labs!$B:$B,"&gt;="&amp;$D146
   ),
   ""
)</f>
        <v>10.520000000000001</v>
      </c>
    </row>
    <row r="147" spans="1:21" ht="18.600000000000001" x14ac:dyDescent="0.25">
      <c r="A147" s="19">
        <v>32</v>
      </c>
      <c r="B147" s="20">
        <v>41233</v>
      </c>
      <c r="C147" s="20">
        <v>41236</v>
      </c>
      <c r="D147" s="20"/>
      <c r="E147" s="20"/>
      <c r="F147" s="12" t="str">
        <f t="shared" si="1"/>
        <v>No</v>
      </c>
      <c r="G147" s="12" t="str">
        <f t="shared" si="2"/>
        <v>No</v>
      </c>
      <c r="H147" s="12" t="str">
        <f t="shared" si="3"/>
        <v>Never Started B</v>
      </c>
      <c r="I147" s="12">
        <f t="shared" si="4"/>
        <v>0.5714285714285714</v>
      </c>
      <c r="J147" s="12">
        <f t="shared" si="5"/>
        <v>0.13196964698119432</v>
      </c>
      <c r="K147" s="12">
        <f>SUMIFS(
  Admin!$D:$D,
  Admin!$A:$A, $A147,
  Admin!$B:$B, "Med A",
  Admin!$C:$C, "&gt;=" &amp; $B147,
  Admin!$C:$C, "&lt;=" &amp; $C147
)</f>
        <v>28000</v>
      </c>
      <c r="L147" s="12">
        <f t="shared" si="6"/>
        <v>212170.00000000003</v>
      </c>
      <c r="M147" s="12">
        <f>SUMIFS(Admin!$D:$D,Admin!$A:$A,$A147, Admin!$B:$B,"Med B")</f>
        <v>0</v>
      </c>
      <c r="N147" s="12">
        <f>COUNTIFS(Admin!$A:$A,$A147, Admin!$B:$B,"Med B")</f>
        <v>0</v>
      </c>
      <c r="O147" s="12" t="str">
        <f t="shared" si="0"/>
        <v>Never took B</v>
      </c>
      <c r="P147" s="12" t="str">
        <f>IF(D147="", "Never took B",
   SUMIFS(Admin!$D:$D,
          Admin!$A:$A,$A147,
          Admin!$B:$B,"Med B",
          Admin!$C:$C,D147)
)</f>
        <v>Never took B</v>
      </c>
      <c r="Q147" s="20" t="str">
        <f t="shared" si="7"/>
        <v/>
      </c>
      <c r="R147" s="12" t="str">
        <f>IF(Q147="","",
   SUMIFS(Admin!$D:$D,
          Admin!$A:$A,$A147,
          Admin!$B:$B,"Med B",
          Admin!$C:$C,"&gt;="&amp;Q147,
          Admin!$C:$C,"&lt;"&amp;EDATE(Q147,1))
)</f>
        <v/>
      </c>
      <c r="S147" s="12" t="str">
        <f t="shared" si="8"/>
        <v>Never took B</v>
      </c>
      <c r="T147" s="12" t="str">
        <f>IFERROR(
   AVERAGEIFS(
      Labs!$D:$D,
      Labs!$A:$A,$A147,
      Labs!$C:$C,"LAB B",
      Labs!$B:$B,"&lt;"&amp;$D147
   ),
   ""
)</f>
        <v/>
      </c>
      <c r="U147" s="12" t="str">
        <f>IFERROR(
   AVERAGEIFS(
      Labs!$D:$D,
      Labs!$A:$A,$A147,
      Labs!$C:$C,"LAB B",
      Labs!$B:$B,"&gt;="&amp;$D147
   ),
   ""
)</f>
        <v/>
      </c>
    </row>
    <row r="148" spans="1:21" ht="18.600000000000001" x14ac:dyDescent="0.25">
      <c r="A148" s="19">
        <v>33</v>
      </c>
      <c r="B148" s="20">
        <v>41093</v>
      </c>
      <c r="C148" s="20">
        <v>41156</v>
      </c>
      <c r="D148" s="20">
        <v>41205</v>
      </c>
      <c r="E148" s="20">
        <v>41229</v>
      </c>
      <c r="F148" s="12" t="str">
        <f t="shared" si="1"/>
        <v>Yes</v>
      </c>
      <c r="G148" s="12" t="str">
        <f t="shared" si="2"/>
        <v>No</v>
      </c>
      <c r="H148" s="12" t="str">
        <f t="shared" si="3"/>
        <v>Oct 2012</v>
      </c>
      <c r="I148" s="12">
        <f t="shared" si="4"/>
        <v>9.1428571428571423</v>
      </c>
      <c r="J148" s="12">
        <f t="shared" si="5"/>
        <v>2.1115143516991091</v>
      </c>
      <c r="K148" s="12">
        <f>SUMIFS(
  Admin!$D:$D,
  Admin!$A:$A, $A148,
  Admin!$B:$B, "Med A",
  Admin!$C:$C, "&gt;=" &amp; $B148,
  Admin!$C:$C, "&lt;=" &amp; $C148
)</f>
        <v>90000</v>
      </c>
      <c r="L148" s="12">
        <f t="shared" si="6"/>
        <v>42623.4375</v>
      </c>
      <c r="M148" s="12">
        <f>SUMIFS(Admin!$D:$D,Admin!$A:$A,$A148, Admin!$B:$B,"Med B")</f>
        <v>10</v>
      </c>
      <c r="N148" s="12">
        <f>COUNTIFS(Admin!$A:$A,$A148, Admin!$B:$B,"Med B")</f>
        <v>2</v>
      </c>
      <c r="O148" s="12">
        <f t="shared" ref="O148:O179" si="9">IF(N148=0,"Never took B",M148/N148)</f>
        <v>5</v>
      </c>
      <c r="P148" s="12">
        <f>IF(D148="", "Never took B",
   SUMIFS(Admin!$D:$D,
          Admin!$A:$A,$A148,
          Admin!$B:$B,"Med B",
          Admin!$C:$C,D148)
)</f>
        <v>5</v>
      </c>
      <c r="Q148" s="20">
        <f t="shared" si="7"/>
        <v>41214</v>
      </c>
      <c r="R148" s="12">
        <f>IF(Q148="","",
   SUMIFS(Admin!$D:$D,
          Admin!$A:$A,$A148,
          Admin!$B:$B,"Med B",
          Admin!$C:$C,"&gt;="&amp;Q148,
          Admin!$C:$C,"&lt;"&amp;EDATE(Q148,1))
)</f>
        <v>5</v>
      </c>
      <c r="S148" s="12" t="str">
        <f t="shared" si="8"/>
        <v>Same</v>
      </c>
      <c r="T148" s="12">
        <f>IFERROR(
   AVERAGEIFS(
      Labs!$D:$D,
      Labs!$A:$A,$A148,
      Labs!$C:$C,"LAB B",
      Labs!$B:$B,"&lt;"&amp;$D148
   ),
   ""
)</f>
        <v>10.099999999999998</v>
      </c>
      <c r="U148" s="12">
        <f>IFERROR(
   AVERAGEIFS(
      Labs!$D:$D,
      Labs!$A:$A,$A148,
      Labs!$C:$C,"LAB B",
      Labs!$B:$B,"&gt;="&amp;$D148
   ),
   ""
)</f>
        <v>9.48</v>
      </c>
    </row>
    <row r="149" spans="1:21" ht="18.600000000000001" x14ac:dyDescent="0.25">
      <c r="A149" s="19">
        <v>34</v>
      </c>
      <c r="B149" s="20"/>
      <c r="C149" s="20"/>
      <c r="D149" s="20">
        <v>41192</v>
      </c>
      <c r="E149" s="20">
        <v>41227</v>
      </c>
      <c r="F149" s="12" t="str">
        <f t="shared" si="1"/>
        <v>No</v>
      </c>
      <c r="G149" s="12" t="str">
        <f t="shared" si="2"/>
        <v>Yes</v>
      </c>
      <c r="H149" s="12" t="str">
        <f t="shared" si="3"/>
        <v>Oct 2012</v>
      </c>
      <c r="I149" s="12" t="str">
        <f t="shared" si="4"/>
        <v/>
      </c>
      <c r="J149" s="12" t="str">
        <f t="shared" si="5"/>
        <v/>
      </c>
      <c r="K149" s="12">
        <f>SUMIFS(
  Admin!$D:$D,
  Admin!$A:$A, $A149,
  Admin!$B:$B, "Med A",
  Admin!$C:$C, "&gt;=" &amp; $B149,
  Admin!$C:$C, "&lt;=" &amp; $C149
)</f>
        <v>0</v>
      </c>
      <c r="L149" s="12" t="str">
        <f t="shared" si="6"/>
        <v>Never took A</v>
      </c>
      <c r="M149" s="12">
        <f>SUMIFS(Admin!$D:$D,Admin!$A:$A,$A149, Admin!$B:$B,"Med B")</f>
        <v>6</v>
      </c>
      <c r="N149" s="12">
        <f>COUNTIFS(Admin!$A:$A,$A149, Admin!$B:$B,"Med B")</f>
        <v>2</v>
      </c>
      <c r="O149" s="12">
        <f t="shared" si="9"/>
        <v>3</v>
      </c>
      <c r="P149" s="12">
        <f>IF(D149="", "Never took B",
   SUMIFS(Admin!$D:$D,
          Admin!$A:$A,$A149,
          Admin!$B:$B,"Med B",
          Admin!$C:$C,D149)
)</f>
        <v>3</v>
      </c>
      <c r="Q149" s="20">
        <f t="shared" si="7"/>
        <v>41214</v>
      </c>
      <c r="R149" s="12">
        <f>IF(Q149="","",
   SUMIFS(Admin!$D:$D,
          Admin!$A:$A,$A149,
          Admin!$B:$B,"Med B",
          Admin!$C:$C,"&gt;="&amp;Q149,
          Admin!$C:$C,"&lt;"&amp;EDATE(Q149,1))
)</f>
        <v>3</v>
      </c>
      <c r="S149" s="12" t="str">
        <f t="shared" si="8"/>
        <v>Same</v>
      </c>
      <c r="T149" s="12">
        <f>IFERROR(
   AVERAGEIFS(
      Labs!$D:$D,
      Labs!$A:$A,$A149,
      Labs!$C:$C,"LAB B",
      Labs!$B:$B,"&lt;"&amp;$D149
   ),
   ""
)</f>
        <v>10.1</v>
      </c>
      <c r="U149" s="12">
        <f>IFERROR(
   AVERAGEIFS(
      Labs!$D:$D,
      Labs!$A:$A,$A149,
      Labs!$C:$C,"LAB B",
      Labs!$B:$B,"&gt;="&amp;$D149
   ),
   ""
)</f>
        <v>10.824999999999999</v>
      </c>
    </row>
    <row r="150" spans="1:21" ht="18.600000000000001" x14ac:dyDescent="0.25">
      <c r="A150" s="19">
        <v>35</v>
      </c>
      <c r="B150" s="20">
        <v>41104</v>
      </c>
      <c r="C150" s="20">
        <v>41149</v>
      </c>
      <c r="D150" s="20">
        <v>41200</v>
      </c>
      <c r="E150" s="20">
        <v>41228</v>
      </c>
      <c r="F150" s="12" t="str">
        <f t="shared" si="1"/>
        <v>Yes</v>
      </c>
      <c r="G150" s="12" t="str">
        <f t="shared" si="2"/>
        <v>No</v>
      </c>
      <c r="H150" s="12" t="str">
        <f t="shared" si="3"/>
        <v>Oct 2012</v>
      </c>
      <c r="I150" s="12">
        <f t="shared" si="4"/>
        <v>6.5714285714285712</v>
      </c>
      <c r="J150" s="12">
        <f t="shared" si="5"/>
        <v>1.5176509402837346</v>
      </c>
      <c r="K150" s="12">
        <f>SUMIFS(
  Admin!$D:$D,
  Admin!$A:$A, $A150,
  Admin!$B:$B, "Med A",
  Admin!$C:$C, "&gt;=" &amp; $B150,
  Admin!$C:$C, "&lt;=" &amp; $C150
)</f>
        <v>187500</v>
      </c>
      <c r="L150" s="12">
        <f t="shared" si="6"/>
        <v>123546.19565217392</v>
      </c>
      <c r="M150" s="12">
        <f>SUMIFS(Admin!$D:$D,Admin!$A:$A,$A150, Admin!$B:$B,"Med B")</f>
        <v>8</v>
      </c>
      <c r="N150" s="12">
        <f>COUNTIFS(Admin!$A:$A,$A150, Admin!$B:$B,"Med B")</f>
        <v>2</v>
      </c>
      <c r="O150" s="12">
        <f t="shared" si="9"/>
        <v>4</v>
      </c>
      <c r="P150" s="12">
        <f>IF(D150="", "Never took B",
   SUMIFS(Admin!$D:$D,
          Admin!$A:$A,$A150,
          Admin!$B:$B,"Med B",
          Admin!$C:$C,D150)
)</f>
        <v>3</v>
      </c>
      <c r="Q150" s="20">
        <f t="shared" si="7"/>
        <v>41214</v>
      </c>
      <c r="R150" s="12">
        <f>IF(Q150="","",
   SUMIFS(Admin!$D:$D,
          Admin!$A:$A,$A150,
          Admin!$B:$B,"Med B",
          Admin!$C:$C,"&gt;="&amp;Q150,
          Admin!$C:$C,"&lt;"&amp;EDATE(Q150,1))
)</f>
        <v>5</v>
      </c>
      <c r="S150" s="12" t="str">
        <f t="shared" si="8"/>
        <v>Higher</v>
      </c>
      <c r="T150" s="12">
        <f>IFERROR(
   AVERAGEIFS(
      Labs!$D:$D,
      Labs!$A:$A,$A150,
      Labs!$C:$C,"LAB B",
      Labs!$B:$B,"&lt;"&amp;$D150
   ),
   ""
)</f>
        <v>8.620000000000001</v>
      </c>
      <c r="U150" s="12">
        <f>IFERROR(
   AVERAGEIFS(
      Labs!$D:$D,
      Labs!$A:$A,$A150,
      Labs!$C:$C,"LAB B",
      Labs!$B:$B,"&gt;="&amp;$D150
   ),
   ""
)</f>
        <v>8.3249999999999993</v>
      </c>
    </row>
    <row r="151" spans="1:21" ht="18.600000000000001" x14ac:dyDescent="0.25">
      <c r="A151" s="19">
        <v>36</v>
      </c>
      <c r="B151" s="20">
        <v>41092</v>
      </c>
      <c r="C151" s="20">
        <v>41138</v>
      </c>
      <c r="D151" s="20">
        <v>41164</v>
      </c>
      <c r="E151" s="20">
        <v>41227</v>
      </c>
      <c r="F151" s="12" t="str">
        <f t="shared" si="1"/>
        <v>Yes</v>
      </c>
      <c r="G151" s="12" t="str">
        <f t="shared" si="2"/>
        <v>No</v>
      </c>
      <c r="H151" s="12" t="str">
        <f t="shared" si="3"/>
        <v>Sep 2012</v>
      </c>
      <c r="I151" s="12">
        <f t="shared" si="4"/>
        <v>6.7142857142857144</v>
      </c>
      <c r="J151" s="12">
        <f t="shared" si="5"/>
        <v>1.5506433520290333</v>
      </c>
      <c r="K151" s="12">
        <f>SUMIFS(
  Admin!$D:$D,
  Admin!$A:$A, $A151,
  Admin!$B:$B, "Med A",
  Admin!$C:$C, "&gt;=" &amp; $B151,
  Admin!$C:$C, "&lt;=" &amp; $C151
)</f>
        <v>55500</v>
      </c>
      <c r="L151" s="12">
        <f t="shared" si="6"/>
        <v>35791.595744680853</v>
      </c>
      <c r="M151" s="12">
        <f>SUMIFS(Admin!$D:$D,Admin!$A:$A,$A151, Admin!$B:$B,"Med B")</f>
        <v>15</v>
      </c>
      <c r="N151" s="12">
        <f>COUNTIFS(Admin!$A:$A,$A151, Admin!$B:$B,"Med B")</f>
        <v>3</v>
      </c>
      <c r="O151" s="12">
        <f t="shared" si="9"/>
        <v>5</v>
      </c>
      <c r="P151" s="12">
        <f>IF(D151="", "Never took B",
   SUMIFS(Admin!$D:$D,
          Admin!$A:$A,$A151,
          Admin!$B:$B,"Med B",
          Admin!$C:$C,D151)
)</f>
        <v>6</v>
      </c>
      <c r="Q151" s="20">
        <f t="shared" si="7"/>
        <v>41183</v>
      </c>
      <c r="R151" s="12">
        <f>IF(Q151="","",
   SUMIFS(Admin!$D:$D,
          Admin!$A:$A,$A151,
          Admin!$B:$B,"Med B",
          Admin!$C:$C,"&gt;="&amp;Q151,
          Admin!$C:$C,"&lt;"&amp;EDATE(Q151,1))
)</f>
        <v>5</v>
      </c>
      <c r="S151" s="12" t="str">
        <f t="shared" si="8"/>
        <v>Lower</v>
      </c>
      <c r="T151" s="12">
        <f>IFERROR(
   AVERAGEIFS(
      Labs!$D:$D,
      Labs!$A:$A,$A151,
      Labs!$C:$C,"LAB B",
      Labs!$B:$B,"&lt;"&amp;$D151
   ),
   ""
)</f>
        <v>11.550000000000002</v>
      </c>
      <c r="U151" s="12">
        <f>IFERROR(
   AVERAGEIFS(
      Labs!$D:$D,
      Labs!$A:$A,$A151,
      Labs!$C:$C,"LAB B",
      Labs!$B:$B,"&gt;="&amp;$D151
   ),
   ""
)</f>
        <v>11.25</v>
      </c>
    </row>
    <row r="152" spans="1:21" ht="18.600000000000001" x14ac:dyDescent="0.25">
      <c r="A152" s="19">
        <v>37</v>
      </c>
      <c r="B152" s="20"/>
      <c r="C152" s="20"/>
      <c r="D152" s="20">
        <v>41193</v>
      </c>
      <c r="E152" s="20">
        <v>41228</v>
      </c>
      <c r="F152" s="12" t="str">
        <f t="shared" si="1"/>
        <v>No</v>
      </c>
      <c r="G152" s="12" t="str">
        <f t="shared" si="2"/>
        <v>Yes</v>
      </c>
      <c r="H152" s="12" t="str">
        <f t="shared" si="3"/>
        <v>Oct 2012</v>
      </c>
      <c r="I152" s="12" t="str">
        <f t="shared" si="4"/>
        <v/>
      </c>
      <c r="J152" s="12" t="str">
        <f t="shared" si="5"/>
        <v/>
      </c>
      <c r="K152" s="12">
        <f>SUMIFS(
  Admin!$D:$D,
  Admin!$A:$A, $A152,
  Admin!$B:$B, "Med A",
  Admin!$C:$C, "&gt;=" &amp; $B152,
  Admin!$C:$C, "&lt;=" &amp; $C152
)</f>
        <v>0</v>
      </c>
      <c r="L152" s="12" t="str">
        <f t="shared" si="6"/>
        <v>Never took A</v>
      </c>
      <c r="M152" s="12">
        <f>SUMIFS(Admin!$D:$D,Admin!$A:$A,$A152, Admin!$B:$B,"Med B")</f>
        <v>2</v>
      </c>
      <c r="N152" s="12">
        <f>COUNTIFS(Admin!$A:$A,$A152, Admin!$B:$B,"Med B")</f>
        <v>2</v>
      </c>
      <c r="O152" s="12">
        <f t="shared" si="9"/>
        <v>1</v>
      </c>
      <c r="P152" s="12">
        <f>IF(D152="", "Never took B",
   SUMIFS(Admin!$D:$D,
          Admin!$A:$A,$A152,
          Admin!$B:$B,"Med B",
          Admin!$C:$C,D152)
)</f>
        <v>1</v>
      </c>
      <c r="Q152" s="20">
        <f t="shared" si="7"/>
        <v>41214</v>
      </c>
      <c r="R152" s="12">
        <f>IF(Q152="","",
   SUMIFS(Admin!$D:$D,
          Admin!$A:$A,$A152,
          Admin!$B:$B,"Med B",
          Admin!$C:$C,"&gt;="&amp;Q152,
          Admin!$C:$C,"&lt;"&amp;EDATE(Q152,1))
)</f>
        <v>1</v>
      </c>
      <c r="S152" s="12" t="str">
        <f t="shared" si="8"/>
        <v>Same</v>
      </c>
      <c r="T152" s="12">
        <f>IFERROR(
   AVERAGEIFS(
      Labs!$D:$D,
      Labs!$A:$A,$A152,
      Labs!$C:$C,"LAB B",
      Labs!$B:$B,"&lt;"&amp;$D152
   ),
   ""
)</f>
        <v>10.3</v>
      </c>
      <c r="U152" s="12">
        <f>IFERROR(
   AVERAGEIFS(
      Labs!$D:$D,
      Labs!$A:$A,$A152,
      Labs!$C:$C,"LAB B",
      Labs!$B:$B,"&gt;="&amp;$D152
   ),
   ""
)</f>
        <v>11.233333333333334</v>
      </c>
    </row>
    <row r="153" spans="1:21" ht="18.600000000000001" x14ac:dyDescent="0.25">
      <c r="A153" s="19">
        <v>38</v>
      </c>
      <c r="B153" s="20">
        <v>41158</v>
      </c>
      <c r="C153" s="20">
        <v>41158</v>
      </c>
      <c r="D153" s="20">
        <v>41167</v>
      </c>
      <c r="E153" s="20">
        <v>41167</v>
      </c>
      <c r="F153" s="12" t="str">
        <f t="shared" si="1"/>
        <v>Yes</v>
      </c>
      <c r="G153" s="12" t="str">
        <f t="shared" si="2"/>
        <v>No</v>
      </c>
      <c r="H153" s="12" t="str">
        <f t="shared" si="3"/>
        <v>Sep 2012</v>
      </c>
      <c r="I153" s="12">
        <f t="shared" si="4"/>
        <v>0.14285714285714285</v>
      </c>
      <c r="J153" s="12">
        <f t="shared" si="5"/>
        <v>3.2992411745298579E-2</v>
      </c>
      <c r="K153" s="12">
        <f>SUMIFS(
  Admin!$D:$D,
  Admin!$A:$A, $A153,
  Admin!$B:$B, "Med A",
  Admin!$C:$C, "&gt;=" &amp; $B153,
  Admin!$C:$C, "&lt;=" &amp; $C153
)</f>
        <v>2600</v>
      </c>
      <c r="L153" s="12">
        <f t="shared" si="6"/>
        <v>2600</v>
      </c>
      <c r="M153" s="12">
        <f>SUMIFS(Admin!$D:$D,Admin!$A:$A,$A153, Admin!$B:$B,"Med B")</f>
        <v>5</v>
      </c>
      <c r="N153" s="12">
        <f>COUNTIFS(Admin!$A:$A,$A153, Admin!$B:$B,"Med B")</f>
        <v>1</v>
      </c>
      <c r="O153" s="12">
        <f t="shared" si="9"/>
        <v>5</v>
      </c>
      <c r="P153" s="12">
        <f>IF(D153="", "Never took B",
   SUMIFS(Admin!$D:$D,
          Admin!$A:$A,$A153,
          Admin!$B:$B,"Med B",
          Admin!$C:$C,D153)
)</f>
        <v>5</v>
      </c>
      <c r="Q153" s="20">
        <f t="shared" si="7"/>
        <v>41183</v>
      </c>
      <c r="R153" s="12">
        <f>IF(Q153="","",
   SUMIFS(Admin!$D:$D,
          Admin!$A:$A,$A153,
          Admin!$B:$B,"Med B",
          Admin!$C:$C,"&gt;="&amp;Q153,
          Admin!$C:$C,"&lt;"&amp;EDATE(Q153,1))
)</f>
        <v>0</v>
      </c>
      <c r="S153" s="12" t="str">
        <f t="shared" si="8"/>
        <v>Lower</v>
      </c>
      <c r="T153" s="12">
        <f>IFERROR(
   AVERAGEIFS(
      Labs!$D:$D,
      Labs!$A:$A,$A153,
      Labs!$C:$C,"LAB B",
      Labs!$B:$B,"&lt;"&amp;$D153
   ),
   ""
)</f>
        <v>8.6</v>
      </c>
      <c r="U153" s="12">
        <f>IFERROR(
   AVERAGEIFS(
      Labs!$D:$D,
      Labs!$A:$A,$A153,
      Labs!$C:$C,"LAB B",
      Labs!$B:$B,"&gt;="&amp;$D153
   ),
   ""
)</f>
        <v>8.85</v>
      </c>
    </row>
    <row r="154" spans="1:21" ht="18.600000000000001" x14ac:dyDescent="0.25">
      <c r="A154" s="19">
        <v>39</v>
      </c>
      <c r="B154" s="20">
        <v>41093</v>
      </c>
      <c r="C154" s="20">
        <v>41157</v>
      </c>
      <c r="D154" s="20">
        <v>41165</v>
      </c>
      <c r="E154" s="20">
        <v>41165</v>
      </c>
      <c r="F154" s="12" t="str">
        <f t="shared" si="1"/>
        <v>Yes</v>
      </c>
      <c r="G154" s="12" t="str">
        <f t="shared" si="2"/>
        <v>No</v>
      </c>
      <c r="H154" s="12" t="str">
        <f t="shared" si="3"/>
        <v>Sep 2012</v>
      </c>
      <c r="I154" s="12">
        <f t="shared" si="4"/>
        <v>9.2857142857142865</v>
      </c>
      <c r="J154" s="12">
        <f t="shared" si="5"/>
        <v>2.1445067634444079</v>
      </c>
      <c r="K154" s="12">
        <f>SUMIFS(
  Admin!$D:$D,
  Admin!$A:$A, $A154,
  Admin!$B:$B, "Med A",
  Admin!$C:$C, "&gt;=" &amp; $B154,
  Admin!$C:$C, "&lt;=" &amp; $C154
)</f>
        <v>72000</v>
      </c>
      <c r="L154" s="12">
        <f t="shared" si="6"/>
        <v>33574.153846153844</v>
      </c>
      <c r="M154" s="12">
        <f>SUMIFS(Admin!$D:$D,Admin!$A:$A,$A154, Admin!$B:$B,"Med B")</f>
        <v>8</v>
      </c>
      <c r="N154" s="12">
        <f>COUNTIFS(Admin!$A:$A,$A154, Admin!$B:$B,"Med B")</f>
        <v>1</v>
      </c>
      <c r="O154" s="12">
        <f t="shared" si="9"/>
        <v>8</v>
      </c>
      <c r="P154" s="12">
        <f>IF(D154="", "Never took B",
   SUMIFS(Admin!$D:$D,
          Admin!$A:$A,$A154,
          Admin!$B:$B,"Med B",
          Admin!$C:$C,D154)
)</f>
        <v>8</v>
      </c>
      <c r="Q154" s="20">
        <f t="shared" si="7"/>
        <v>41183</v>
      </c>
      <c r="R154" s="12">
        <f>IF(Q154="","",
   SUMIFS(Admin!$D:$D,
          Admin!$A:$A,$A154,
          Admin!$B:$B,"Med B",
          Admin!$C:$C,"&gt;="&amp;Q154,
          Admin!$C:$C,"&lt;"&amp;EDATE(Q154,1))
)</f>
        <v>0</v>
      </c>
      <c r="S154" s="12" t="str">
        <f t="shared" si="8"/>
        <v>Lower</v>
      </c>
      <c r="T154" s="12">
        <f>IFERROR(
   AVERAGEIFS(
      Labs!$D:$D,
      Labs!$A:$A,$A154,
      Labs!$C:$C,"LAB B",
      Labs!$B:$B,"&lt;"&amp;$D154
   ),
   ""
)</f>
        <v>10.940000000000001</v>
      </c>
      <c r="U154" s="12">
        <f>IFERROR(
   AVERAGEIFS(
      Labs!$D:$D,
      Labs!$A:$A,$A154,
      Labs!$C:$C,"LAB B",
      Labs!$B:$B,"&gt;="&amp;$D154
   ),
   ""
)</f>
        <v>10.66</v>
      </c>
    </row>
    <row r="155" spans="1:21" ht="18.600000000000001" x14ac:dyDescent="0.25">
      <c r="A155" s="19">
        <v>40</v>
      </c>
      <c r="B155" s="20">
        <v>41097</v>
      </c>
      <c r="C155" s="20">
        <v>41137</v>
      </c>
      <c r="D155" s="20"/>
      <c r="E155" s="20"/>
      <c r="F155" s="12" t="str">
        <f t="shared" si="1"/>
        <v>No</v>
      </c>
      <c r="G155" s="12" t="str">
        <f t="shared" si="2"/>
        <v>No</v>
      </c>
      <c r="H155" s="12" t="str">
        <f t="shared" si="3"/>
        <v>Never Started B</v>
      </c>
      <c r="I155" s="12">
        <f t="shared" si="4"/>
        <v>5.8571428571428568</v>
      </c>
      <c r="J155" s="12">
        <f t="shared" si="5"/>
        <v>1.3526888815572418</v>
      </c>
      <c r="K155" s="12">
        <f>SUMIFS(
  Admin!$D:$D,
  Admin!$A:$A, $A155,
  Admin!$B:$B, "Med A",
  Admin!$C:$C, "&gt;=" &amp; $B155,
  Admin!$C:$C, "&lt;=" &amp; $C155
)</f>
        <v>57800</v>
      </c>
      <c r="L155" s="12">
        <f t="shared" si="6"/>
        <v>42729.707317073175</v>
      </c>
      <c r="M155" s="12">
        <f>SUMIFS(Admin!$D:$D,Admin!$A:$A,$A155, Admin!$B:$B,"Med B")</f>
        <v>0</v>
      </c>
      <c r="N155" s="12">
        <f>COUNTIFS(Admin!$A:$A,$A155, Admin!$B:$B,"Med B")</f>
        <v>0</v>
      </c>
      <c r="O155" s="12" t="str">
        <f t="shared" si="9"/>
        <v>Never took B</v>
      </c>
      <c r="P155" s="12" t="str">
        <f>IF(D155="", "Never took B",
   SUMIFS(Admin!$D:$D,
          Admin!$A:$A,$A155,
          Admin!$B:$B,"Med B",
          Admin!$C:$C,D155)
)</f>
        <v>Never took B</v>
      </c>
      <c r="Q155" s="20" t="str">
        <f t="shared" si="7"/>
        <v/>
      </c>
      <c r="R155" s="12" t="str">
        <f>IF(Q155="","",
   SUMIFS(Admin!$D:$D,
          Admin!$A:$A,$A155,
          Admin!$B:$B,"Med B",
          Admin!$C:$C,"&gt;="&amp;Q155,
          Admin!$C:$C,"&lt;"&amp;EDATE(Q155,1))
)</f>
        <v/>
      </c>
      <c r="S155" s="12" t="str">
        <f t="shared" si="8"/>
        <v>Never took B</v>
      </c>
      <c r="T155" s="12" t="str">
        <f>IFERROR(
   AVERAGEIFS(
      Labs!$D:$D,
      Labs!$A:$A,$A155,
      Labs!$C:$C,"LAB B",
      Labs!$B:$B,"&lt;"&amp;$D155
   ),
   ""
)</f>
        <v/>
      </c>
      <c r="U155" s="12" t="str">
        <f>IFERROR(
   AVERAGEIFS(
      Labs!$D:$D,
      Labs!$A:$A,$A155,
      Labs!$C:$C,"LAB B",
      Labs!$B:$B,"&gt;="&amp;$D155
   ),
   ""
)</f>
        <v/>
      </c>
    </row>
    <row r="156" spans="1:21" ht="18.600000000000001" x14ac:dyDescent="0.25">
      <c r="A156" s="19">
        <v>41</v>
      </c>
      <c r="B156" s="20"/>
      <c r="C156" s="20"/>
      <c r="D156" s="20">
        <v>41165</v>
      </c>
      <c r="E156" s="20">
        <v>41193</v>
      </c>
      <c r="F156" s="12" t="str">
        <f t="shared" si="1"/>
        <v>No</v>
      </c>
      <c r="G156" s="12" t="str">
        <f t="shared" si="2"/>
        <v>Yes</v>
      </c>
      <c r="H156" s="12" t="str">
        <f t="shared" si="3"/>
        <v>Sep 2012</v>
      </c>
      <c r="I156" s="12" t="str">
        <f t="shared" si="4"/>
        <v/>
      </c>
      <c r="J156" s="12" t="str">
        <f t="shared" si="5"/>
        <v/>
      </c>
      <c r="K156" s="12">
        <f>SUMIFS(
  Admin!$D:$D,
  Admin!$A:$A, $A156,
  Admin!$B:$B, "Med A",
  Admin!$C:$C, "&gt;=" &amp; $B156,
  Admin!$C:$C, "&lt;=" &amp; $C156
)</f>
        <v>0</v>
      </c>
      <c r="L156" s="12" t="str">
        <f t="shared" si="6"/>
        <v>Never took A</v>
      </c>
      <c r="M156" s="12">
        <f>SUMIFS(Admin!$D:$D,Admin!$A:$A,$A156, Admin!$B:$B,"Med B")</f>
        <v>12</v>
      </c>
      <c r="N156" s="12">
        <f>COUNTIFS(Admin!$A:$A,$A156, Admin!$B:$B,"Med B")</f>
        <v>2</v>
      </c>
      <c r="O156" s="12">
        <f t="shared" si="9"/>
        <v>6</v>
      </c>
      <c r="P156" s="12">
        <f>IF(D156="", "Never took B",
   SUMIFS(Admin!$D:$D,
          Admin!$A:$A,$A156,
          Admin!$B:$B,"Med B",
          Admin!$C:$C,D156)
)</f>
        <v>6</v>
      </c>
      <c r="Q156" s="20">
        <f t="shared" si="7"/>
        <v>41183</v>
      </c>
      <c r="R156" s="12">
        <f>IF(Q156="","",
   SUMIFS(Admin!$D:$D,
          Admin!$A:$A,$A156,
          Admin!$B:$B,"Med B",
          Admin!$C:$C,"&gt;="&amp;Q156,
          Admin!$C:$C,"&lt;"&amp;EDATE(Q156,1))
)</f>
        <v>6</v>
      </c>
      <c r="S156" s="12" t="str">
        <f t="shared" si="8"/>
        <v>Same</v>
      </c>
      <c r="T156" s="12" t="str">
        <f>IFERROR(
   AVERAGEIFS(
      Labs!$D:$D,
      Labs!$A:$A,$A156,
      Labs!$C:$C,"LAB B",
      Labs!$B:$B,"&lt;"&amp;$D156
   ),
   ""
)</f>
        <v/>
      </c>
      <c r="U156" s="12">
        <f>IFERROR(
   AVERAGEIFS(
      Labs!$D:$D,
      Labs!$A:$A,$A156,
      Labs!$C:$C,"LAB B",
      Labs!$B:$B,"&gt;="&amp;$D156
   ),
   ""
)</f>
        <v>9.1999999999999993</v>
      </c>
    </row>
    <row r="157" spans="1:21" ht="18.600000000000001" x14ac:dyDescent="0.25">
      <c r="A157" s="19">
        <v>42</v>
      </c>
      <c r="B157" s="20">
        <v>41103</v>
      </c>
      <c r="C157" s="20">
        <v>41108</v>
      </c>
      <c r="D157" s="20">
        <v>41194</v>
      </c>
      <c r="E157" s="20">
        <v>41227</v>
      </c>
      <c r="F157" s="12" t="str">
        <f t="shared" si="1"/>
        <v>Yes</v>
      </c>
      <c r="G157" s="12" t="str">
        <f t="shared" si="2"/>
        <v>No</v>
      </c>
      <c r="H157" s="12" t="str">
        <f t="shared" si="3"/>
        <v>Oct 2012</v>
      </c>
      <c r="I157" s="12">
        <f t="shared" si="4"/>
        <v>0.8571428571428571</v>
      </c>
      <c r="J157" s="12">
        <f t="shared" si="5"/>
        <v>0.19795447047179146</v>
      </c>
      <c r="K157" s="12">
        <f>SUMIFS(
  Admin!$D:$D,
  Admin!$A:$A, $A157,
  Admin!$B:$B, "Med A",
  Admin!$C:$C, "&gt;=" &amp; $B157,
  Admin!$C:$C, "&lt;=" &amp; $C157
)</f>
        <v>7800</v>
      </c>
      <c r="L157" s="12">
        <f t="shared" si="6"/>
        <v>39403.000000000007</v>
      </c>
      <c r="M157" s="12">
        <f>SUMIFS(Admin!$D:$D,Admin!$A:$A,$A157, Admin!$B:$B,"Med B")</f>
        <v>5</v>
      </c>
      <c r="N157" s="12">
        <f>COUNTIFS(Admin!$A:$A,$A157, Admin!$B:$B,"Med B")</f>
        <v>2</v>
      </c>
      <c r="O157" s="12">
        <f t="shared" si="9"/>
        <v>2.5</v>
      </c>
      <c r="P157" s="12">
        <f>IF(D157="", "Never took B",
   SUMIFS(Admin!$D:$D,
          Admin!$A:$A,$A157,
          Admin!$B:$B,"Med B",
          Admin!$C:$C,D157)
)</f>
        <v>2</v>
      </c>
      <c r="Q157" s="20">
        <f t="shared" si="7"/>
        <v>41214</v>
      </c>
      <c r="R157" s="12">
        <f>IF(Q157="","",
   SUMIFS(Admin!$D:$D,
          Admin!$A:$A,$A157,
          Admin!$B:$B,"Med B",
          Admin!$C:$C,"&gt;="&amp;Q157,
          Admin!$C:$C,"&lt;"&amp;EDATE(Q157,1))
)</f>
        <v>3</v>
      </c>
      <c r="S157" s="12" t="str">
        <f t="shared" si="8"/>
        <v>Higher</v>
      </c>
      <c r="T157" s="12">
        <f>IFERROR(
   AVERAGEIFS(
      Labs!$D:$D,
      Labs!$A:$A,$A157,
      Labs!$C:$C,"LAB B",
      Labs!$B:$B,"&lt;"&amp;$D157
   ),
   ""
)</f>
        <v>12.16</v>
      </c>
      <c r="U157" s="12">
        <f>IFERROR(
   AVERAGEIFS(
      Labs!$D:$D,
      Labs!$A:$A,$A157,
      Labs!$C:$C,"LAB B",
      Labs!$B:$B,"&gt;="&amp;$D157
   ),
   ""
)</f>
        <v>11.65</v>
      </c>
    </row>
    <row r="158" spans="1:21" ht="18.600000000000001" x14ac:dyDescent="0.25">
      <c r="A158" s="19">
        <v>43</v>
      </c>
      <c r="B158" s="20">
        <v>41092</v>
      </c>
      <c r="C158" s="20">
        <v>41096</v>
      </c>
      <c r="D158" s="20"/>
      <c r="E158" s="20"/>
      <c r="F158" s="12" t="str">
        <f t="shared" si="1"/>
        <v>No</v>
      </c>
      <c r="G158" s="12" t="str">
        <f t="shared" si="2"/>
        <v>No</v>
      </c>
      <c r="H158" s="12" t="str">
        <f t="shared" si="3"/>
        <v>Never Started B</v>
      </c>
      <c r="I158" s="12">
        <f t="shared" si="4"/>
        <v>0.7142857142857143</v>
      </c>
      <c r="J158" s="12">
        <f t="shared" si="5"/>
        <v>0.16496205872649292</v>
      </c>
      <c r="K158" s="12">
        <f>SUMIFS(
  Admin!$D:$D,
  Admin!$A:$A, $A158,
  Admin!$B:$B, "Med A",
  Admin!$C:$C, "&gt;=" &amp; $B158,
  Admin!$C:$C, "&lt;=" &amp; $C158
)</f>
        <v>9000</v>
      </c>
      <c r="L158" s="12">
        <f t="shared" si="6"/>
        <v>54558</v>
      </c>
      <c r="M158" s="12">
        <f>SUMIFS(Admin!$D:$D,Admin!$A:$A,$A158, Admin!$B:$B,"Med B")</f>
        <v>0</v>
      </c>
      <c r="N158" s="12">
        <f>COUNTIFS(Admin!$A:$A,$A158, Admin!$B:$B,"Med B")</f>
        <v>0</v>
      </c>
      <c r="O158" s="12" t="str">
        <f t="shared" si="9"/>
        <v>Never took B</v>
      </c>
      <c r="P158" s="12" t="str">
        <f>IF(D158="", "Never took B",
   SUMIFS(Admin!$D:$D,
          Admin!$A:$A,$A158,
          Admin!$B:$B,"Med B",
          Admin!$C:$C,D158)
)</f>
        <v>Never took B</v>
      </c>
      <c r="Q158" s="20" t="str">
        <f t="shared" si="7"/>
        <v/>
      </c>
      <c r="R158" s="12" t="str">
        <f>IF(Q158="","",
   SUMIFS(Admin!$D:$D,
          Admin!$A:$A,$A158,
          Admin!$B:$B,"Med B",
          Admin!$C:$C,"&gt;="&amp;Q158,
          Admin!$C:$C,"&lt;"&amp;EDATE(Q158,1))
)</f>
        <v/>
      </c>
      <c r="S158" s="12" t="str">
        <f t="shared" si="8"/>
        <v>Never took B</v>
      </c>
      <c r="T158" s="12" t="str">
        <f>IFERROR(
   AVERAGEIFS(
      Labs!$D:$D,
      Labs!$A:$A,$A158,
      Labs!$C:$C,"LAB B",
      Labs!$B:$B,"&lt;"&amp;$D158
   ),
   ""
)</f>
        <v/>
      </c>
      <c r="U158" s="12" t="str">
        <f>IFERROR(
   AVERAGEIFS(
      Labs!$D:$D,
      Labs!$A:$A,$A158,
      Labs!$C:$C,"LAB B",
      Labs!$B:$B,"&gt;="&amp;$D158
   ),
   ""
)</f>
        <v/>
      </c>
    </row>
    <row r="159" spans="1:21" ht="18.600000000000001" x14ac:dyDescent="0.25">
      <c r="A159" s="19">
        <v>44</v>
      </c>
      <c r="B159" s="20"/>
      <c r="C159" s="20"/>
      <c r="D159" s="20">
        <v>41195</v>
      </c>
      <c r="E159" s="20">
        <v>41195</v>
      </c>
      <c r="F159" s="12" t="str">
        <f t="shared" si="1"/>
        <v>No</v>
      </c>
      <c r="G159" s="12" t="str">
        <f t="shared" si="2"/>
        <v>Yes</v>
      </c>
      <c r="H159" s="12" t="str">
        <f t="shared" si="3"/>
        <v>Oct 2012</v>
      </c>
      <c r="I159" s="12" t="str">
        <f t="shared" si="4"/>
        <v/>
      </c>
      <c r="J159" s="12" t="str">
        <f t="shared" si="5"/>
        <v/>
      </c>
      <c r="K159" s="12">
        <f>SUMIFS(
  Admin!$D:$D,
  Admin!$A:$A, $A159,
  Admin!$B:$B, "Med A",
  Admin!$C:$C, "&gt;=" &amp; $B159,
  Admin!$C:$C, "&lt;=" &amp; $C159
)</f>
        <v>0</v>
      </c>
      <c r="L159" s="12" t="str">
        <f t="shared" si="6"/>
        <v>Never took A</v>
      </c>
      <c r="M159" s="12">
        <f>SUMIFS(Admin!$D:$D,Admin!$A:$A,$A159, Admin!$B:$B,"Med B")</f>
        <v>2</v>
      </c>
      <c r="N159" s="12">
        <f>COUNTIFS(Admin!$A:$A,$A159, Admin!$B:$B,"Med B")</f>
        <v>1</v>
      </c>
      <c r="O159" s="12">
        <f t="shared" si="9"/>
        <v>2</v>
      </c>
      <c r="P159" s="12">
        <f>IF(D159="", "Never took B",
   SUMIFS(Admin!$D:$D,
          Admin!$A:$A,$A159,
          Admin!$B:$B,"Med B",
          Admin!$C:$C,D159)
)</f>
        <v>2</v>
      </c>
      <c r="Q159" s="20">
        <f t="shared" si="7"/>
        <v>41214</v>
      </c>
      <c r="R159" s="12">
        <f>IF(Q159="","",
   SUMIFS(Admin!$D:$D,
          Admin!$A:$A,$A159,
          Admin!$B:$B,"Med B",
          Admin!$C:$C,"&gt;="&amp;Q159,
          Admin!$C:$C,"&lt;"&amp;EDATE(Q159,1))
)</f>
        <v>0</v>
      </c>
      <c r="S159" s="12" t="str">
        <f t="shared" si="8"/>
        <v>Lower</v>
      </c>
      <c r="T159" s="12">
        <f>IFERROR(
   AVERAGEIFS(
      Labs!$D:$D,
      Labs!$A:$A,$A159,
      Labs!$C:$C,"LAB B",
      Labs!$B:$B,"&lt;"&amp;$D159
   ),
   ""
)</f>
        <v>11.350000000000001</v>
      </c>
      <c r="U159" s="12" t="str">
        <f>IFERROR(
   AVERAGEIFS(
      Labs!$D:$D,
      Labs!$A:$A,$A159,
      Labs!$C:$C,"LAB B",
      Labs!$B:$B,"&gt;="&amp;$D159
   ),
   ""
)</f>
        <v/>
      </c>
    </row>
    <row r="160" spans="1:21" ht="18.600000000000001" x14ac:dyDescent="0.25">
      <c r="A160" s="19">
        <v>45</v>
      </c>
      <c r="B160" s="20"/>
      <c r="C160" s="20"/>
      <c r="D160" s="20">
        <v>41227</v>
      </c>
      <c r="E160" s="20">
        <v>41227</v>
      </c>
      <c r="F160" s="12" t="str">
        <f t="shared" si="1"/>
        <v>No</v>
      </c>
      <c r="G160" s="12" t="str">
        <f t="shared" si="2"/>
        <v>Yes</v>
      </c>
      <c r="H160" s="12" t="str">
        <f t="shared" si="3"/>
        <v>Nov 2012</v>
      </c>
      <c r="I160" s="12" t="str">
        <f t="shared" si="4"/>
        <v/>
      </c>
      <c r="J160" s="12" t="str">
        <f t="shared" si="5"/>
        <v/>
      </c>
      <c r="K160" s="12">
        <f>SUMIFS(
  Admin!$D:$D,
  Admin!$A:$A, $A160,
  Admin!$B:$B, "Med A",
  Admin!$C:$C, "&gt;=" &amp; $B160,
  Admin!$C:$C, "&lt;=" &amp; $C160
)</f>
        <v>0</v>
      </c>
      <c r="L160" s="12" t="str">
        <f t="shared" si="6"/>
        <v>Never took A</v>
      </c>
      <c r="M160" s="12">
        <f>SUMIFS(Admin!$D:$D,Admin!$A:$A,$A160, Admin!$B:$B,"Med B")</f>
        <v>2</v>
      </c>
      <c r="N160" s="12">
        <f>COUNTIFS(Admin!$A:$A,$A160, Admin!$B:$B,"Med B")</f>
        <v>1</v>
      </c>
      <c r="O160" s="12">
        <f t="shared" si="9"/>
        <v>2</v>
      </c>
      <c r="P160" s="12">
        <f>IF(D160="", "Never took B",
   SUMIFS(Admin!$D:$D,
          Admin!$A:$A,$A160,
          Admin!$B:$B,"Med B",
          Admin!$C:$C,D160)
)</f>
        <v>2</v>
      </c>
      <c r="Q160" s="20">
        <f t="shared" si="7"/>
        <v>41244</v>
      </c>
      <c r="R160" s="12">
        <f>IF(Q160="","",
   SUMIFS(Admin!$D:$D,
          Admin!$A:$A,$A160,
          Admin!$B:$B,"Med B",
          Admin!$C:$C,"&gt;="&amp;Q160,
          Admin!$C:$C,"&lt;"&amp;EDATE(Q160,1))
)</f>
        <v>0</v>
      </c>
      <c r="S160" s="12" t="str">
        <f t="shared" si="8"/>
        <v>Lower</v>
      </c>
      <c r="T160" s="12" t="str">
        <f>IFERROR(
   AVERAGEIFS(
      Labs!$D:$D,
      Labs!$A:$A,$A160,
      Labs!$C:$C,"LAB B",
      Labs!$B:$B,"&lt;"&amp;$D160
   ),
   ""
)</f>
        <v/>
      </c>
      <c r="U160" s="12" t="str">
        <f>IFERROR(
   AVERAGEIFS(
      Labs!$D:$D,
      Labs!$A:$A,$A160,
      Labs!$C:$C,"LAB B",
      Labs!$B:$B,"&gt;="&amp;$D160
   ),
   ""
)</f>
        <v/>
      </c>
    </row>
    <row r="161" spans="1:21" ht="18.600000000000001" x14ac:dyDescent="0.25">
      <c r="A161" s="19">
        <v>46</v>
      </c>
      <c r="B161" s="20">
        <v>41096</v>
      </c>
      <c r="C161" s="20">
        <v>41157</v>
      </c>
      <c r="D161" s="20">
        <v>41164</v>
      </c>
      <c r="E161" s="20">
        <v>41227</v>
      </c>
      <c r="F161" s="12" t="str">
        <f t="shared" si="1"/>
        <v>Yes</v>
      </c>
      <c r="G161" s="12" t="str">
        <f t="shared" si="2"/>
        <v>No</v>
      </c>
      <c r="H161" s="12" t="str">
        <f t="shared" si="3"/>
        <v>Sep 2012</v>
      </c>
      <c r="I161" s="12">
        <f t="shared" si="4"/>
        <v>8.8571428571428577</v>
      </c>
      <c r="J161" s="12">
        <f t="shared" si="5"/>
        <v>2.0455295282085122</v>
      </c>
      <c r="K161" s="12">
        <f>SUMIFS(
  Admin!$D:$D,
  Admin!$A:$A, $A161,
  Admin!$B:$B, "Med A",
  Admin!$C:$C, "&gt;=" &amp; $B161,
  Admin!$C:$C, "&lt;=" &amp; $C161
)</f>
        <v>301600</v>
      </c>
      <c r="L161" s="12">
        <f t="shared" si="6"/>
        <v>147443.48387096773</v>
      </c>
      <c r="M161" s="12">
        <f>SUMIFS(Admin!$D:$D,Admin!$A:$A,$A161, Admin!$B:$B,"Med B")</f>
        <v>31</v>
      </c>
      <c r="N161" s="12">
        <f>COUNTIFS(Admin!$A:$A,$A161, Admin!$B:$B,"Med B")</f>
        <v>3</v>
      </c>
      <c r="O161" s="12">
        <f t="shared" si="9"/>
        <v>10.333333333333334</v>
      </c>
      <c r="P161" s="12">
        <f>IF(D161="", "Never took B",
   SUMIFS(Admin!$D:$D,
          Admin!$A:$A,$A161,
          Admin!$B:$B,"Med B",
          Admin!$C:$C,D161)
)</f>
        <v>13</v>
      </c>
      <c r="Q161" s="20">
        <f t="shared" si="7"/>
        <v>41183</v>
      </c>
      <c r="R161" s="12">
        <f>IF(Q161="","",
   SUMIFS(Admin!$D:$D,
          Admin!$A:$A,$A161,
          Admin!$B:$B,"Med B",
          Admin!$C:$C,"&gt;="&amp;Q161,
          Admin!$C:$C,"&lt;"&amp;EDATE(Q161,1))
)</f>
        <v>8</v>
      </c>
      <c r="S161" s="12" t="str">
        <f t="shared" si="8"/>
        <v>Lower</v>
      </c>
      <c r="T161" s="12">
        <f>IFERROR(
   AVERAGEIFS(
      Labs!$D:$D,
      Labs!$A:$A,$A161,
      Labs!$C:$C,"LAB B",
      Labs!$B:$B,"&lt;"&amp;$D161
   ),
   ""
)</f>
        <v>10.46</v>
      </c>
      <c r="U161" s="12">
        <f>IFERROR(
   AVERAGEIFS(
      Labs!$D:$D,
      Labs!$A:$A,$A161,
      Labs!$C:$C,"LAB B",
      Labs!$B:$B,"&gt;="&amp;$D161
   ),
   ""
)</f>
        <v>9.6833333333333336</v>
      </c>
    </row>
    <row r="162" spans="1:21" ht="18.600000000000001" x14ac:dyDescent="0.25">
      <c r="A162" s="19">
        <v>47</v>
      </c>
      <c r="B162" s="20">
        <v>41092</v>
      </c>
      <c r="C162" s="20">
        <v>41157</v>
      </c>
      <c r="D162" s="20">
        <v>41164</v>
      </c>
      <c r="E162" s="20">
        <v>41227</v>
      </c>
      <c r="F162" s="12" t="str">
        <f t="shared" si="1"/>
        <v>Yes</v>
      </c>
      <c r="G162" s="12" t="str">
        <f t="shared" si="2"/>
        <v>No</v>
      </c>
      <c r="H162" s="12" t="str">
        <f t="shared" si="3"/>
        <v>Sep 2012</v>
      </c>
      <c r="I162" s="12">
        <f t="shared" si="4"/>
        <v>9.4285714285714288</v>
      </c>
      <c r="J162" s="12">
        <f t="shared" si="5"/>
        <v>2.1774991751897064</v>
      </c>
      <c r="K162" s="12">
        <f>SUMIFS(
  Admin!$D:$D,
  Admin!$A:$A, $A162,
  Admin!$B:$B, "Med A",
  Admin!$C:$C, "&gt;=" &amp; $B162,
  Admin!$C:$C, "&lt;=" &amp; $C162
)</f>
        <v>538000</v>
      </c>
      <c r="L162" s="12">
        <f t="shared" si="6"/>
        <v>247072.42424242425</v>
      </c>
      <c r="M162" s="12">
        <f>SUMIFS(Admin!$D:$D,Admin!$A:$A,$A162, Admin!$B:$B,"Med B")</f>
        <v>56</v>
      </c>
      <c r="N162" s="12">
        <f>COUNTIFS(Admin!$A:$A,$A162, Admin!$B:$B,"Med B")</f>
        <v>3</v>
      </c>
      <c r="O162" s="12">
        <f t="shared" si="9"/>
        <v>18.666666666666668</v>
      </c>
      <c r="P162" s="12">
        <f>IF(D162="", "Never took B",
   SUMIFS(Admin!$D:$D,
          Admin!$A:$A,$A162,
          Admin!$B:$B,"Med B",
          Admin!$C:$C,D162)
)</f>
        <v>16</v>
      </c>
      <c r="Q162" s="20">
        <f t="shared" si="7"/>
        <v>41183</v>
      </c>
      <c r="R162" s="12">
        <f>IF(Q162="","",
   SUMIFS(Admin!$D:$D,
          Admin!$A:$A,$A162,
          Admin!$B:$B,"Med B",
          Admin!$C:$C,"&gt;="&amp;Q162,
          Admin!$C:$C,"&lt;"&amp;EDATE(Q162,1))
)</f>
        <v>20</v>
      </c>
      <c r="S162" s="12" t="str">
        <f t="shared" si="8"/>
        <v>Higher</v>
      </c>
      <c r="T162" s="12">
        <f>IFERROR(
   AVERAGEIFS(
      Labs!$D:$D,
      Labs!$A:$A,$A162,
      Labs!$C:$C,"LAB B",
      Labs!$B:$B,"&lt;"&amp;$D162
   ),
   ""
)</f>
        <v>10.3</v>
      </c>
      <c r="U162" s="12">
        <f>IFERROR(
   AVERAGEIFS(
      Labs!$D:$D,
      Labs!$A:$A,$A162,
      Labs!$C:$C,"LAB B",
      Labs!$B:$B,"&gt;="&amp;$D162
   ),
   ""
)</f>
        <v>8.6</v>
      </c>
    </row>
    <row r="163" spans="1:21" ht="18.600000000000001" x14ac:dyDescent="0.25">
      <c r="A163" s="19">
        <v>48</v>
      </c>
      <c r="B163" s="20">
        <v>41092</v>
      </c>
      <c r="C163" s="20">
        <v>41157</v>
      </c>
      <c r="D163" s="20">
        <v>41164</v>
      </c>
      <c r="E163" s="20">
        <v>41227</v>
      </c>
      <c r="F163" s="12" t="str">
        <f t="shared" si="1"/>
        <v>Yes</v>
      </c>
      <c r="G163" s="12" t="str">
        <f t="shared" si="2"/>
        <v>No</v>
      </c>
      <c r="H163" s="12" t="str">
        <f t="shared" si="3"/>
        <v>Sep 2012</v>
      </c>
      <c r="I163" s="12">
        <f t="shared" si="4"/>
        <v>9.4285714285714288</v>
      </c>
      <c r="J163" s="12">
        <f t="shared" si="5"/>
        <v>2.1774991751897064</v>
      </c>
      <c r="K163" s="12">
        <f>SUMIFS(
  Admin!$D:$D,
  Admin!$A:$A, $A163,
  Admin!$B:$B, "Med A",
  Admin!$C:$C, "&gt;=" &amp; $B163,
  Admin!$C:$C, "&lt;=" &amp; $C163
)</f>
        <v>64400</v>
      </c>
      <c r="L163" s="12">
        <f t="shared" si="6"/>
        <v>29575.21212121212</v>
      </c>
      <c r="M163" s="12">
        <f>SUMIFS(Admin!$D:$D,Admin!$A:$A,$A163, Admin!$B:$B,"Med B")</f>
        <v>12</v>
      </c>
      <c r="N163" s="12">
        <f>COUNTIFS(Admin!$A:$A,$A163, Admin!$B:$B,"Med B")</f>
        <v>3</v>
      </c>
      <c r="O163" s="12">
        <f t="shared" si="9"/>
        <v>4</v>
      </c>
      <c r="P163" s="12">
        <f>IF(D163="", "Never took B",
   SUMIFS(Admin!$D:$D,
          Admin!$A:$A,$A163,
          Admin!$B:$B,"Med B",
          Admin!$C:$C,D163)
)</f>
        <v>4</v>
      </c>
      <c r="Q163" s="20">
        <f t="shared" si="7"/>
        <v>41183</v>
      </c>
      <c r="R163" s="12">
        <f>IF(Q163="","",
   SUMIFS(Admin!$D:$D,
          Admin!$A:$A,$A163,
          Admin!$B:$B,"Med B",
          Admin!$C:$C,"&gt;="&amp;Q163,
          Admin!$C:$C,"&lt;"&amp;EDATE(Q163,1))
)</f>
        <v>3</v>
      </c>
      <c r="S163" s="12" t="str">
        <f t="shared" si="8"/>
        <v>Lower</v>
      </c>
      <c r="T163" s="12">
        <f>IFERROR(
   AVERAGEIFS(
      Labs!$D:$D,
      Labs!$A:$A,$A163,
      Labs!$C:$C,"LAB B",
      Labs!$B:$B,"&lt;"&amp;$D163
   ),
   ""
)</f>
        <v>11.000000000000002</v>
      </c>
      <c r="U163" s="12">
        <f>IFERROR(
   AVERAGEIFS(
      Labs!$D:$D,
      Labs!$A:$A,$A163,
      Labs!$C:$C,"LAB B",
      Labs!$B:$B,"&gt;="&amp;$D163
   ),
   ""
)</f>
        <v>9.7750000000000004</v>
      </c>
    </row>
    <row r="164" spans="1:21" ht="18.600000000000001" x14ac:dyDescent="0.25">
      <c r="A164" s="19">
        <v>49</v>
      </c>
      <c r="B164" s="20">
        <v>41093</v>
      </c>
      <c r="C164" s="20">
        <v>41158</v>
      </c>
      <c r="D164" s="20">
        <v>41165</v>
      </c>
      <c r="E164" s="20">
        <v>41165</v>
      </c>
      <c r="F164" s="12" t="str">
        <f t="shared" si="1"/>
        <v>Yes</v>
      </c>
      <c r="G164" s="12" t="str">
        <f t="shared" si="2"/>
        <v>No</v>
      </c>
      <c r="H164" s="12" t="str">
        <f t="shared" si="3"/>
        <v>Sep 2012</v>
      </c>
      <c r="I164" s="12">
        <f t="shared" si="4"/>
        <v>9.4285714285714288</v>
      </c>
      <c r="J164" s="12">
        <f t="shared" si="5"/>
        <v>2.1774991751897064</v>
      </c>
      <c r="K164" s="12">
        <f>SUMIFS(
  Admin!$D:$D,
  Admin!$A:$A, $A164,
  Admin!$B:$B, "Med A",
  Admin!$C:$C, "&gt;=" &amp; $B164,
  Admin!$C:$C, "&lt;=" &amp; $C164
)</f>
        <v>37400</v>
      </c>
      <c r="L164" s="12">
        <f t="shared" si="6"/>
        <v>17175.666666666668</v>
      </c>
      <c r="M164" s="12">
        <f>SUMIFS(Admin!$D:$D,Admin!$A:$A,$A164, Admin!$B:$B,"Med B")</f>
        <v>4</v>
      </c>
      <c r="N164" s="12">
        <f>COUNTIFS(Admin!$A:$A,$A164, Admin!$B:$B,"Med B")</f>
        <v>1</v>
      </c>
      <c r="O164" s="12">
        <f t="shared" si="9"/>
        <v>4</v>
      </c>
      <c r="P164" s="12">
        <f>IF(D164="", "Never took B",
   SUMIFS(Admin!$D:$D,
          Admin!$A:$A,$A164,
          Admin!$B:$B,"Med B",
          Admin!$C:$C,D164)
)</f>
        <v>4</v>
      </c>
      <c r="Q164" s="20">
        <f t="shared" si="7"/>
        <v>41183</v>
      </c>
      <c r="R164" s="12">
        <f>IF(Q164="","",
   SUMIFS(Admin!$D:$D,
          Admin!$A:$A,$A164,
          Admin!$B:$B,"Med B",
          Admin!$C:$C,"&gt;="&amp;Q164,
          Admin!$C:$C,"&lt;"&amp;EDATE(Q164,1))
)</f>
        <v>0</v>
      </c>
      <c r="S164" s="12" t="str">
        <f t="shared" si="8"/>
        <v>Lower</v>
      </c>
      <c r="T164" s="12">
        <f>IFERROR(
   AVERAGEIFS(
      Labs!$D:$D,
      Labs!$A:$A,$A164,
      Labs!$C:$C,"LAB B",
      Labs!$B:$B,"&lt;"&amp;$D164
   ),
   ""
)</f>
        <v>10.76</v>
      </c>
      <c r="U164" s="12" t="str">
        <f>IFERROR(
   AVERAGEIFS(
      Labs!$D:$D,
      Labs!$A:$A,$A164,
      Labs!$C:$C,"LAB B",
      Labs!$B:$B,"&gt;="&amp;$D164
   ),
   ""
)</f>
        <v/>
      </c>
    </row>
    <row r="165" spans="1:21" ht="18.600000000000001" x14ac:dyDescent="0.25">
      <c r="A165" s="19">
        <v>50</v>
      </c>
      <c r="B165" s="20">
        <v>41093</v>
      </c>
      <c r="C165" s="20">
        <v>41158</v>
      </c>
      <c r="D165" s="20"/>
      <c r="E165" s="20"/>
      <c r="F165" s="12" t="str">
        <f t="shared" si="1"/>
        <v>No</v>
      </c>
      <c r="G165" s="12" t="str">
        <f t="shared" si="2"/>
        <v>No</v>
      </c>
      <c r="H165" s="12" t="str">
        <f t="shared" si="3"/>
        <v>Never Started B</v>
      </c>
      <c r="I165" s="12">
        <f t="shared" si="4"/>
        <v>9.4285714285714288</v>
      </c>
      <c r="J165" s="12">
        <f t="shared" si="5"/>
        <v>2.1774991751897064</v>
      </c>
      <c r="K165" s="12">
        <f>SUMIFS(
  Admin!$D:$D,
  Admin!$A:$A, $A165,
  Admin!$B:$B, "Med A",
  Admin!$C:$C, "&gt;=" &amp; $B165,
  Admin!$C:$C, "&lt;=" &amp; $C165
)</f>
        <v>192900</v>
      </c>
      <c r="L165" s="12">
        <f t="shared" si="6"/>
        <v>88587.863636363632</v>
      </c>
      <c r="M165" s="12">
        <f>SUMIFS(Admin!$D:$D,Admin!$A:$A,$A165, Admin!$B:$B,"Med B")</f>
        <v>0</v>
      </c>
      <c r="N165" s="12">
        <f>COUNTIFS(Admin!$A:$A,$A165, Admin!$B:$B,"Med B")</f>
        <v>0</v>
      </c>
      <c r="O165" s="12" t="str">
        <f t="shared" si="9"/>
        <v>Never took B</v>
      </c>
      <c r="P165" s="12" t="str">
        <f>IF(D165="", "Never took B",
   SUMIFS(Admin!$D:$D,
          Admin!$A:$A,$A165,
          Admin!$B:$B,"Med B",
          Admin!$C:$C,D165)
)</f>
        <v>Never took B</v>
      </c>
      <c r="Q165" s="20" t="str">
        <f t="shared" si="7"/>
        <v/>
      </c>
      <c r="R165" s="12" t="str">
        <f>IF(Q165="","",
   SUMIFS(Admin!$D:$D,
          Admin!$A:$A,$A165,
          Admin!$B:$B,"Med B",
          Admin!$C:$C,"&gt;="&amp;Q165,
          Admin!$C:$C,"&lt;"&amp;EDATE(Q165,1))
)</f>
        <v/>
      </c>
      <c r="S165" s="12" t="str">
        <f t="shared" si="8"/>
        <v>Never took B</v>
      </c>
      <c r="T165" s="12" t="str">
        <f>IFERROR(
   AVERAGEIFS(
      Labs!$D:$D,
      Labs!$A:$A,$A165,
      Labs!$C:$C,"LAB B",
      Labs!$B:$B,"&lt;"&amp;$D165
   ),
   ""
)</f>
        <v/>
      </c>
      <c r="U165" s="12" t="str">
        <f>IFERROR(
   AVERAGEIFS(
      Labs!$D:$D,
      Labs!$A:$A,$A165,
      Labs!$C:$C,"LAB B",
      Labs!$B:$B,"&gt;="&amp;$D165
   ),
   ""
)</f>
        <v/>
      </c>
    </row>
    <row r="166" spans="1:21" ht="18.600000000000001" x14ac:dyDescent="0.25">
      <c r="A166" s="19">
        <v>51</v>
      </c>
      <c r="B166" s="20">
        <v>41093</v>
      </c>
      <c r="C166" s="20">
        <v>41093</v>
      </c>
      <c r="D166" s="20"/>
      <c r="E166" s="20"/>
      <c r="F166" s="12" t="str">
        <f t="shared" si="1"/>
        <v>No</v>
      </c>
      <c r="G166" s="12" t="str">
        <f t="shared" si="2"/>
        <v>No</v>
      </c>
      <c r="H166" s="12" t="str">
        <f t="shared" si="3"/>
        <v>Never Started B</v>
      </c>
      <c r="I166" s="12">
        <f t="shared" si="4"/>
        <v>0.14285714285714285</v>
      </c>
      <c r="J166" s="12">
        <f t="shared" si="5"/>
        <v>3.2992411745298579E-2</v>
      </c>
      <c r="K166" s="12">
        <f>SUMIFS(
  Admin!$D:$D,
  Admin!$A:$A, $A166,
  Admin!$B:$B, "Med A",
  Admin!$C:$C, "&gt;=" &amp; $B166,
  Admin!$C:$C, "&lt;=" &amp; $C166
)</f>
        <v>5000</v>
      </c>
      <c r="L166" s="12">
        <f t="shared" si="6"/>
        <v>5000</v>
      </c>
      <c r="M166" s="12">
        <f>SUMIFS(Admin!$D:$D,Admin!$A:$A,$A166, Admin!$B:$B,"Med B")</f>
        <v>0</v>
      </c>
      <c r="N166" s="12">
        <f>COUNTIFS(Admin!$A:$A,$A166, Admin!$B:$B,"Med B")</f>
        <v>0</v>
      </c>
      <c r="O166" s="12" t="str">
        <f t="shared" si="9"/>
        <v>Never took B</v>
      </c>
      <c r="P166" s="12" t="str">
        <f>IF(D166="", "Never took B",
   SUMIFS(Admin!$D:$D,
          Admin!$A:$A,$A166,
          Admin!$B:$B,"Med B",
          Admin!$C:$C,D166)
)</f>
        <v>Never took B</v>
      </c>
      <c r="Q166" s="20" t="str">
        <f t="shared" si="7"/>
        <v/>
      </c>
      <c r="R166" s="12" t="str">
        <f>IF(Q166="","",
   SUMIFS(Admin!$D:$D,
          Admin!$A:$A,$A166,
          Admin!$B:$B,"Med B",
          Admin!$C:$C,"&gt;="&amp;Q166,
          Admin!$C:$C,"&lt;"&amp;EDATE(Q166,1))
)</f>
        <v/>
      </c>
      <c r="S166" s="12" t="str">
        <f t="shared" si="8"/>
        <v>Never took B</v>
      </c>
      <c r="T166" s="12" t="str">
        <f>IFERROR(
   AVERAGEIFS(
      Labs!$D:$D,
      Labs!$A:$A,$A166,
      Labs!$C:$C,"LAB B",
      Labs!$B:$B,"&lt;"&amp;$D166
   ),
   ""
)</f>
        <v/>
      </c>
      <c r="U166" s="12" t="str">
        <f>IFERROR(
   AVERAGEIFS(
      Labs!$D:$D,
      Labs!$A:$A,$A166,
      Labs!$C:$C,"LAB B",
      Labs!$B:$B,"&gt;="&amp;$D166
   ),
   ""
)</f>
        <v/>
      </c>
    </row>
    <row r="167" spans="1:21" ht="18.600000000000001" x14ac:dyDescent="0.25">
      <c r="A167" s="19">
        <v>52</v>
      </c>
      <c r="B167" s="20">
        <v>41125</v>
      </c>
      <c r="C167" s="20">
        <v>41158</v>
      </c>
      <c r="D167" s="20">
        <v>41165</v>
      </c>
      <c r="E167" s="20">
        <v>41230</v>
      </c>
      <c r="F167" s="12" t="str">
        <f t="shared" si="1"/>
        <v>Yes</v>
      </c>
      <c r="G167" s="12" t="str">
        <f t="shared" si="2"/>
        <v>No</v>
      </c>
      <c r="H167" s="12" t="str">
        <f t="shared" si="3"/>
        <v>Sep 2012</v>
      </c>
      <c r="I167" s="12">
        <f t="shared" si="4"/>
        <v>4.8571428571428568</v>
      </c>
      <c r="J167" s="12">
        <f t="shared" si="5"/>
        <v>1.1217419993401516</v>
      </c>
      <c r="K167" s="12">
        <f>SUMIFS(
  Admin!$D:$D,
  Admin!$A:$A, $A167,
  Admin!$B:$B, "Med A",
  Admin!$C:$C, "&gt;=" &amp; $B167,
  Admin!$C:$C, "&lt;=" &amp; $C167
)</f>
        <v>62000</v>
      </c>
      <c r="L167" s="12">
        <f t="shared" si="6"/>
        <v>55271.176470588245</v>
      </c>
      <c r="M167" s="12">
        <f>SUMIFS(Admin!$D:$D,Admin!$A:$A,$A167, Admin!$B:$B,"Med B")</f>
        <v>24</v>
      </c>
      <c r="N167" s="12">
        <f>COUNTIFS(Admin!$A:$A,$A167, Admin!$B:$B,"Med B")</f>
        <v>3</v>
      </c>
      <c r="O167" s="12">
        <f t="shared" si="9"/>
        <v>8</v>
      </c>
      <c r="P167" s="12">
        <f>IF(D167="", "Never took B",
   SUMIFS(Admin!$D:$D,
          Admin!$A:$A,$A167,
          Admin!$B:$B,"Med B",
          Admin!$C:$C,D167)
)</f>
        <v>8</v>
      </c>
      <c r="Q167" s="20">
        <f t="shared" si="7"/>
        <v>41183</v>
      </c>
      <c r="R167" s="12">
        <f>IF(Q167="","",
   SUMIFS(Admin!$D:$D,
          Admin!$A:$A,$A167,
          Admin!$B:$B,"Med B",
          Admin!$C:$C,"&gt;="&amp;Q167,
          Admin!$C:$C,"&lt;"&amp;EDATE(Q167,1))
)</f>
        <v>8</v>
      </c>
      <c r="S167" s="12" t="str">
        <f t="shared" si="8"/>
        <v>Same</v>
      </c>
      <c r="T167" s="12">
        <f>IFERROR(
   AVERAGEIFS(
      Labs!$D:$D,
      Labs!$A:$A,$A167,
      Labs!$C:$C,"LAB B",
      Labs!$B:$B,"&lt;"&amp;$D167
   ),
   ""
)</f>
        <v>9.375</v>
      </c>
      <c r="U167" s="12">
        <f>IFERROR(
   AVERAGEIFS(
      Labs!$D:$D,
      Labs!$A:$A,$A167,
      Labs!$C:$C,"LAB B",
      Labs!$B:$B,"&gt;="&amp;$D167
   ),
   ""
)</f>
        <v>10.666666666666666</v>
      </c>
    </row>
    <row r="168" spans="1:21" ht="18.600000000000001" x14ac:dyDescent="0.25">
      <c r="A168" s="19">
        <v>53</v>
      </c>
      <c r="B168" s="20">
        <v>41093</v>
      </c>
      <c r="C168" s="20">
        <v>41158</v>
      </c>
      <c r="D168" s="20">
        <v>41165</v>
      </c>
      <c r="E168" s="20">
        <v>41228</v>
      </c>
      <c r="F168" s="12" t="str">
        <f t="shared" si="1"/>
        <v>Yes</v>
      </c>
      <c r="G168" s="12" t="str">
        <f t="shared" si="2"/>
        <v>No</v>
      </c>
      <c r="H168" s="12" t="str">
        <f t="shared" si="3"/>
        <v>Sep 2012</v>
      </c>
      <c r="I168" s="12">
        <f t="shared" si="4"/>
        <v>9.4285714285714288</v>
      </c>
      <c r="J168" s="12">
        <f t="shared" si="5"/>
        <v>2.1774991751897064</v>
      </c>
      <c r="K168" s="12">
        <f>SUMIFS(
  Admin!$D:$D,
  Admin!$A:$A, $A168,
  Admin!$B:$B, "Med A",
  Admin!$C:$C, "&gt;=" &amp; $B168,
  Admin!$C:$C, "&lt;=" &amp; $C168
)</f>
        <v>15600</v>
      </c>
      <c r="L168" s="12">
        <f t="shared" si="6"/>
        <v>7164.181818181818</v>
      </c>
      <c r="M168" s="12">
        <f>SUMIFS(Admin!$D:$D,Admin!$A:$A,$A168, Admin!$B:$B,"Med B")</f>
        <v>11</v>
      </c>
      <c r="N168" s="12">
        <f>COUNTIFS(Admin!$A:$A,$A168, Admin!$B:$B,"Med B")</f>
        <v>3</v>
      </c>
      <c r="O168" s="12">
        <f t="shared" si="9"/>
        <v>3.6666666666666665</v>
      </c>
      <c r="P168" s="12">
        <f>IF(D168="", "Never took B",
   SUMIFS(Admin!$D:$D,
          Admin!$A:$A,$A168,
          Admin!$B:$B,"Med B",
          Admin!$C:$C,D168)
)</f>
        <v>4</v>
      </c>
      <c r="Q168" s="20">
        <f t="shared" si="7"/>
        <v>41183</v>
      </c>
      <c r="R168" s="12">
        <f>IF(Q168="","",
   SUMIFS(Admin!$D:$D,
          Admin!$A:$A,$A168,
          Admin!$B:$B,"Med B",
          Admin!$C:$C,"&gt;="&amp;Q168,
          Admin!$C:$C,"&lt;"&amp;EDATE(Q168,1))
)</f>
        <v>4</v>
      </c>
      <c r="S168" s="12" t="str">
        <f t="shared" si="8"/>
        <v>Same</v>
      </c>
      <c r="T168" s="12">
        <f>IFERROR(
   AVERAGEIFS(
      Labs!$D:$D,
      Labs!$A:$A,$A168,
      Labs!$C:$C,"LAB B",
      Labs!$B:$B,"&lt;"&amp;$D168
   ),
   ""
)</f>
        <v>11.87142857142857</v>
      </c>
      <c r="U168" s="12">
        <f>IFERROR(
   AVERAGEIFS(
      Labs!$D:$D,
      Labs!$A:$A,$A168,
      Labs!$C:$C,"LAB B",
      Labs!$B:$B,"&gt;="&amp;$D168
   ),
   ""
)</f>
        <v>10.833333333333334</v>
      </c>
    </row>
    <row r="169" spans="1:21" ht="18.600000000000001" x14ac:dyDescent="0.25">
      <c r="A169" s="19">
        <v>54</v>
      </c>
      <c r="B169" s="20">
        <v>41092</v>
      </c>
      <c r="C169" s="20">
        <v>41155</v>
      </c>
      <c r="D169" s="20">
        <v>41164</v>
      </c>
      <c r="E169" s="20">
        <v>41227</v>
      </c>
      <c r="F169" s="12" t="str">
        <f t="shared" si="1"/>
        <v>Yes</v>
      </c>
      <c r="G169" s="12" t="str">
        <f t="shared" si="2"/>
        <v>No</v>
      </c>
      <c r="H169" s="12" t="str">
        <f t="shared" si="3"/>
        <v>Sep 2012</v>
      </c>
      <c r="I169" s="12">
        <f t="shared" si="4"/>
        <v>9.1428571428571423</v>
      </c>
      <c r="J169" s="12">
        <f t="shared" si="5"/>
        <v>2.1115143516991091</v>
      </c>
      <c r="K169" s="12">
        <f>SUMIFS(
  Admin!$D:$D,
  Admin!$A:$A, $A169,
  Admin!$B:$B, "Med A",
  Admin!$C:$C, "&gt;=" &amp; $B169,
  Admin!$C:$C, "&lt;=" &amp; $C169
)</f>
        <v>155900</v>
      </c>
      <c r="L169" s="12">
        <f t="shared" si="6"/>
        <v>73833.265625</v>
      </c>
      <c r="M169" s="12">
        <f>SUMIFS(Admin!$D:$D,Admin!$A:$A,$A169, Admin!$B:$B,"Med B")</f>
        <v>30</v>
      </c>
      <c r="N169" s="12">
        <f>COUNTIFS(Admin!$A:$A,$A169, Admin!$B:$B,"Med B")</f>
        <v>3</v>
      </c>
      <c r="O169" s="12">
        <f t="shared" si="9"/>
        <v>10</v>
      </c>
      <c r="P169" s="12">
        <f>IF(D169="", "Never took B",
   SUMIFS(Admin!$D:$D,
          Admin!$A:$A,$A169,
          Admin!$B:$B,"Med B",
          Admin!$C:$C,D169)
)</f>
        <v>10</v>
      </c>
      <c r="Q169" s="20">
        <f t="shared" si="7"/>
        <v>41183</v>
      </c>
      <c r="R169" s="12">
        <f>IF(Q169="","",
   SUMIFS(Admin!$D:$D,
          Admin!$A:$A,$A169,
          Admin!$B:$B,"Med B",
          Admin!$C:$C,"&gt;="&amp;Q169,
          Admin!$C:$C,"&lt;"&amp;EDATE(Q169,1))
)</f>
        <v>10</v>
      </c>
      <c r="S169" s="12" t="str">
        <f t="shared" si="8"/>
        <v>Same</v>
      </c>
      <c r="T169" s="12">
        <f>IFERROR(
   AVERAGEIFS(
      Labs!$D:$D,
      Labs!$A:$A,$A169,
      Labs!$C:$C,"LAB B",
      Labs!$B:$B,"&lt;"&amp;$D169
   ),
   ""
)</f>
        <v>9.32</v>
      </c>
      <c r="U169" s="12">
        <f>IFERROR(
   AVERAGEIFS(
      Labs!$D:$D,
      Labs!$A:$A,$A169,
      Labs!$C:$C,"LAB B",
      Labs!$B:$B,"&gt;="&amp;$D169
   ),
   ""
)</f>
        <v>10.557142857142859</v>
      </c>
    </row>
    <row r="170" spans="1:21" ht="18.600000000000001" x14ac:dyDescent="0.25">
      <c r="A170" s="19">
        <v>55</v>
      </c>
      <c r="B170" s="20">
        <v>41094</v>
      </c>
      <c r="C170" s="20">
        <v>41141</v>
      </c>
      <c r="D170" s="20"/>
      <c r="E170" s="20"/>
      <c r="F170" s="12" t="str">
        <f t="shared" si="1"/>
        <v>No</v>
      </c>
      <c r="G170" s="12" t="str">
        <f t="shared" si="2"/>
        <v>No</v>
      </c>
      <c r="H170" s="12" t="str">
        <f t="shared" si="3"/>
        <v>Never Started B</v>
      </c>
      <c r="I170" s="12">
        <f t="shared" si="4"/>
        <v>6.8571428571428568</v>
      </c>
      <c r="J170" s="12">
        <f t="shared" si="5"/>
        <v>1.5836357637743317</v>
      </c>
      <c r="K170" s="12">
        <f>SUMIFS(
  Admin!$D:$D,
  Admin!$A:$A, $A170,
  Admin!$B:$B, "Med A",
  Admin!$C:$C, "&gt;=" &amp; $B170,
  Admin!$C:$C, "&lt;=" &amp; $C170
)</f>
        <v>99600</v>
      </c>
      <c r="L170" s="12">
        <f t="shared" si="6"/>
        <v>62893.250000000007</v>
      </c>
      <c r="M170" s="12">
        <f>SUMIFS(Admin!$D:$D,Admin!$A:$A,$A170, Admin!$B:$B,"Med B")</f>
        <v>0</v>
      </c>
      <c r="N170" s="12">
        <f>COUNTIFS(Admin!$A:$A,$A170, Admin!$B:$B,"Med B")</f>
        <v>0</v>
      </c>
      <c r="O170" s="12" t="str">
        <f t="shared" si="9"/>
        <v>Never took B</v>
      </c>
      <c r="P170" s="12" t="str">
        <f>IF(D170="", "Never took B",
   SUMIFS(Admin!$D:$D,
          Admin!$A:$A,$A170,
          Admin!$B:$B,"Med B",
          Admin!$C:$C,D170)
)</f>
        <v>Never took B</v>
      </c>
      <c r="Q170" s="20" t="str">
        <f t="shared" si="7"/>
        <v/>
      </c>
      <c r="R170" s="12" t="str">
        <f>IF(Q170="","",
   SUMIFS(Admin!$D:$D,
          Admin!$A:$A,$A170,
          Admin!$B:$B,"Med B",
          Admin!$C:$C,"&gt;="&amp;Q170,
          Admin!$C:$C,"&lt;"&amp;EDATE(Q170,1))
)</f>
        <v/>
      </c>
      <c r="S170" s="12" t="str">
        <f t="shared" si="8"/>
        <v>Never took B</v>
      </c>
      <c r="T170" s="12" t="str">
        <f>IFERROR(
   AVERAGEIFS(
      Labs!$D:$D,
      Labs!$A:$A,$A170,
      Labs!$C:$C,"LAB B",
      Labs!$B:$B,"&lt;"&amp;$D170
   ),
   ""
)</f>
        <v/>
      </c>
      <c r="U170" s="12" t="str">
        <f>IFERROR(
   AVERAGEIFS(
      Labs!$D:$D,
      Labs!$A:$A,$A170,
      Labs!$C:$C,"LAB B",
      Labs!$B:$B,"&gt;="&amp;$D170
   ),
   ""
)</f>
        <v/>
      </c>
    </row>
    <row r="171" spans="1:21" ht="18.600000000000001" x14ac:dyDescent="0.25">
      <c r="A171" s="19">
        <v>56</v>
      </c>
      <c r="B171" s="20"/>
      <c r="C171" s="20"/>
      <c r="D171" s="20">
        <v>41179</v>
      </c>
      <c r="E171" s="20">
        <v>41228</v>
      </c>
      <c r="F171" s="12" t="str">
        <f t="shared" si="1"/>
        <v>No</v>
      </c>
      <c r="G171" s="12" t="str">
        <f t="shared" si="2"/>
        <v>Yes</v>
      </c>
      <c r="H171" s="12" t="str">
        <f t="shared" si="3"/>
        <v>Sep 2012</v>
      </c>
      <c r="I171" s="12" t="str">
        <f t="shared" si="4"/>
        <v/>
      </c>
      <c r="J171" s="12" t="str">
        <f t="shared" si="5"/>
        <v/>
      </c>
      <c r="K171" s="12">
        <f>SUMIFS(
  Admin!$D:$D,
  Admin!$A:$A, $A171,
  Admin!$B:$B, "Med A",
  Admin!$C:$C, "&gt;=" &amp; $B171,
  Admin!$C:$C, "&lt;=" &amp; $C171
)</f>
        <v>0</v>
      </c>
      <c r="L171" s="12" t="str">
        <f t="shared" si="6"/>
        <v>Never took A</v>
      </c>
      <c r="M171" s="12">
        <f>SUMIFS(Admin!$D:$D,Admin!$A:$A,$A171, Admin!$B:$B,"Med B")</f>
        <v>8</v>
      </c>
      <c r="N171" s="12">
        <f>COUNTIFS(Admin!$A:$A,$A171, Admin!$B:$B,"Med B")</f>
        <v>3</v>
      </c>
      <c r="O171" s="12">
        <f t="shared" si="9"/>
        <v>2.6666666666666665</v>
      </c>
      <c r="P171" s="12">
        <f>IF(D171="", "Never took B",
   SUMIFS(Admin!$D:$D,
          Admin!$A:$A,$A171,
          Admin!$B:$B,"Med B",
          Admin!$C:$C,D171)
)</f>
        <v>2</v>
      </c>
      <c r="Q171" s="20">
        <f t="shared" si="7"/>
        <v>41183</v>
      </c>
      <c r="R171" s="12">
        <f>IF(Q171="","",
   SUMIFS(Admin!$D:$D,
          Admin!$A:$A,$A171,
          Admin!$B:$B,"Med B",
          Admin!$C:$C,"&gt;="&amp;Q171,
          Admin!$C:$C,"&lt;"&amp;EDATE(Q171,1))
)</f>
        <v>3</v>
      </c>
      <c r="S171" s="12" t="str">
        <f t="shared" si="8"/>
        <v>Higher</v>
      </c>
      <c r="T171" s="12">
        <f>IFERROR(
   AVERAGEIFS(
      Labs!$D:$D,
      Labs!$A:$A,$A171,
      Labs!$C:$C,"LAB B",
      Labs!$B:$B,"&lt;"&amp;$D171
   ),
   ""
)</f>
        <v>9.3000000000000007</v>
      </c>
      <c r="U171" s="12">
        <f>IFERROR(
   AVERAGEIFS(
      Labs!$D:$D,
      Labs!$A:$A,$A171,
      Labs!$C:$C,"LAB B",
      Labs!$B:$B,"&gt;="&amp;$D171
   ),
   ""
)</f>
        <v>9.0249999999999986</v>
      </c>
    </row>
    <row r="172" spans="1:21" ht="18.600000000000001" x14ac:dyDescent="0.25">
      <c r="A172" s="19">
        <v>57</v>
      </c>
      <c r="B172" s="20">
        <v>41092</v>
      </c>
      <c r="C172" s="20">
        <v>41122</v>
      </c>
      <c r="D172" s="20">
        <v>41164</v>
      </c>
      <c r="E172" s="20">
        <v>41227</v>
      </c>
      <c r="F172" s="12" t="str">
        <f t="shared" si="1"/>
        <v>Yes</v>
      </c>
      <c r="G172" s="12" t="str">
        <f t="shared" si="2"/>
        <v>No</v>
      </c>
      <c r="H172" s="12" t="str">
        <f t="shared" si="3"/>
        <v>Sep 2012</v>
      </c>
      <c r="I172" s="12">
        <f t="shared" si="4"/>
        <v>4.4285714285714288</v>
      </c>
      <c r="J172" s="12">
        <f t="shared" si="5"/>
        <v>1.0227647641042561</v>
      </c>
      <c r="K172" s="12">
        <f>SUMIFS(
  Admin!$D:$D,
  Admin!$A:$A, $A172,
  Admin!$B:$B, "Med A",
  Admin!$C:$C, "&gt;=" &amp; $B172,
  Admin!$C:$C, "&lt;=" &amp; $C172
)</f>
        <v>216000</v>
      </c>
      <c r="L172" s="12">
        <f t="shared" si="6"/>
        <v>211192.25806451612</v>
      </c>
      <c r="M172" s="12">
        <f>SUMIFS(Admin!$D:$D,Admin!$A:$A,$A172, Admin!$B:$B,"Med B")</f>
        <v>42</v>
      </c>
      <c r="N172" s="12">
        <f>COUNTIFS(Admin!$A:$A,$A172, Admin!$B:$B,"Med B")</f>
        <v>3</v>
      </c>
      <c r="O172" s="12">
        <f t="shared" si="9"/>
        <v>14</v>
      </c>
      <c r="P172" s="12">
        <f>IF(D172="", "Never took B",
   SUMIFS(Admin!$D:$D,
          Admin!$A:$A,$A172,
          Admin!$B:$B,"Med B",
          Admin!$C:$C,D172)
)</f>
        <v>16</v>
      </c>
      <c r="Q172" s="20">
        <f t="shared" si="7"/>
        <v>41183</v>
      </c>
      <c r="R172" s="12">
        <f>IF(Q172="","",
   SUMIFS(Admin!$D:$D,
          Admin!$A:$A,$A172,
          Admin!$B:$B,"Med B",
          Admin!$C:$C,"&gt;="&amp;Q172,
          Admin!$C:$C,"&lt;"&amp;EDATE(Q172,1))
)</f>
        <v>13</v>
      </c>
      <c r="S172" s="12" t="str">
        <f t="shared" si="8"/>
        <v>Lower</v>
      </c>
      <c r="T172" s="12">
        <f>IFERROR(
   AVERAGEIFS(
      Labs!$D:$D,
      Labs!$A:$A,$A172,
      Labs!$C:$C,"LAB B",
      Labs!$B:$B,"&lt;"&amp;$D172
   ),
   ""
)</f>
        <v>12.2</v>
      </c>
      <c r="U172" s="12">
        <f>IFERROR(
   AVERAGEIFS(
      Labs!$D:$D,
      Labs!$A:$A,$A172,
      Labs!$C:$C,"LAB B",
      Labs!$B:$B,"&gt;="&amp;$D172
   ),
   ""
)</f>
        <v>11.25</v>
      </c>
    </row>
    <row r="173" spans="1:21" ht="18.600000000000001" x14ac:dyDescent="0.25">
      <c r="A173" s="19">
        <v>58</v>
      </c>
      <c r="B173" s="20">
        <v>41246</v>
      </c>
      <c r="C173" s="20">
        <v>41246</v>
      </c>
      <c r="D173" s="20"/>
      <c r="E173" s="20"/>
      <c r="F173" s="12" t="str">
        <f t="shared" si="1"/>
        <v>No</v>
      </c>
      <c r="G173" s="12" t="str">
        <f t="shared" si="2"/>
        <v>No</v>
      </c>
      <c r="H173" s="12" t="str">
        <f t="shared" si="3"/>
        <v>Never Started B</v>
      </c>
      <c r="I173" s="12">
        <f t="shared" si="4"/>
        <v>0.14285714285714285</v>
      </c>
      <c r="J173" s="12">
        <f t="shared" si="5"/>
        <v>3.2992411745298579E-2</v>
      </c>
      <c r="K173" s="12">
        <f>SUMIFS(
  Admin!$D:$D,
  Admin!$A:$A, $A173,
  Admin!$B:$B, "Med A",
  Admin!$C:$C, "&gt;=" &amp; $B173,
  Admin!$C:$C, "&lt;=" &amp; $C173
)</f>
        <v>800</v>
      </c>
      <c r="L173" s="12">
        <f t="shared" si="6"/>
        <v>800</v>
      </c>
      <c r="M173" s="12">
        <f>SUMIFS(Admin!$D:$D,Admin!$A:$A,$A173, Admin!$B:$B,"Med B")</f>
        <v>0</v>
      </c>
      <c r="N173" s="12">
        <f>COUNTIFS(Admin!$A:$A,$A173, Admin!$B:$B,"Med B")</f>
        <v>0</v>
      </c>
      <c r="O173" s="12" t="str">
        <f t="shared" si="9"/>
        <v>Never took B</v>
      </c>
      <c r="P173" s="12" t="str">
        <f>IF(D173="", "Never took B",
   SUMIFS(Admin!$D:$D,
          Admin!$A:$A,$A173,
          Admin!$B:$B,"Med B",
          Admin!$C:$C,D173)
)</f>
        <v>Never took B</v>
      </c>
      <c r="Q173" s="20" t="str">
        <f t="shared" si="7"/>
        <v/>
      </c>
      <c r="R173" s="12" t="str">
        <f>IF(Q173="","",
   SUMIFS(Admin!$D:$D,
          Admin!$A:$A,$A173,
          Admin!$B:$B,"Med B",
          Admin!$C:$C,"&gt;="&amp;Q173,
          Admin!$C:$C,"&lt;"&amp;EDATE(Q173,1))
)</f>
        <v/>
      </c>
      <c r="S173" s="12" t="str">
        <f t="shared" si="8"/>
        <v>Never took B</v>
      </c>
      <c r="T173" s="12" t="str">
        <f>IFERROR(
   AVERAGEIFS(
      Labs!$D:$D,
      Labs!$A:$A,$A173,
      Labs!$C:$C,"LAB B",
      Labs!$B:$B,"&lt;"&amp;$D173
   ),
   ""
)</f>
        <v/>
      </c>
      <c r="U173" s="12" t="str">
        <f>IFERROR(
   AVERAGEIFS(
      Labs!$D:$D,
      Labs!$A:$A,$A173,
      Labs!$C:$C,"LAB B",
      Labs!$B:$B,"&gt;="&amp;$D173
   ),
   ""
)</f>
        <v/>
      </c>
    </row>
    <row r="174" spans="1:21" ht="18.600000000000001" x14ac:dyDescent="0.25">
      <c r="A174" s="19">
        <v>59</v>
      </c>
      <c r="B174" s="20">
        <v>41092</v>
      </c>
      <c r="C174" s="20">
        <v>41122</v>
      </c>
      <c r="D174" s="20"/>
      <c r="E174" s="20"/>
      <c r="F174" s="12" t="str">
        <f t="shared" si="1"/>
        <v>No</v>
      </c>
      <c r="G174" s="12" t="str">
        <f t="shared" si="2"/>
        <v>No</v>
      </c>
      <c r="H174" s="12" t="str">
        <f t="shared" si="3"/>
        <v>Never Started B</v>
      </c>
      <c r="I174" s="12">
        <f t="shared" si="4"/>
        <v>4.4285714285714288</v>
      </c>
      <c r="J174" s="12">
        <f t="shared" si="5"/>
        <v>1.0227647641042561</v>
      </c>
      <c r="K174" s="12">
        <f>SUMIFS(
  Admin!$D:$D,
  Admin!$A:$A, $A174,
  Admin!$B:$B, "Med A",
  Admin!$C:$C, "&gt;=" &amp; $B174,
  Admin!$C:$C, "&lt;=" &amp; $C174
)</f>
        <v>18200</v>
      </c>
      <c r="L174" s="12">
        <f t="shared" si="6"/>
        <v>17794.903225806451</v>
      </c>
      <c r="M174" s="12">
        <f>SUMIFS(Admin!$D:$D,Admin!$A:$A,$A174, Admin!$B:$B,"Med B")</f>
        <v>0</v>
      </c>
      <c r="N174" s="12">
        <f>COUNTIFS(Admin!$A:$A,$A174, Admin!$B:$B,"Med B")</f>
        <v>0</v>
      </c>
      <c r="O174" s="12" t="str">
        <f t="shared" si="9"/>
        <v>Never took B</v>
      </c>
      <c r="P174" s="12" t="str">
        <f>IF(D174="", "Never took B",
   SUMIFS(Admin!$D:$D,
          Admin!$A:$A,$A174,
          Admin!$B:$B,"Med B",
          Admin!$C:$C,D174)
)</f>
        <v>Never took B</v>
      </c>
      <c r="Q174" s="20" t="str">
        <f t="shared" si="7"/>
        <v/>
      </c>
      <c r="R174" s="12" t="str">
        <f>IF(Q174="","",
   SUMIFS(Admin!$D:$D,
          Admin!$A:$A,$A174,
          Admin!$B:$B,"Med B",
          Admin!$C:$C,"&gt;="&amp;Q174,
          Admin!$C:$C,"&lt;"&amp;EDATE(Q174,1))
)</f>
        <v/>
      </c>
      <c r="S174" s="12" t="str">
        <f t="shared" si="8"/>
        <v>Never took B</v>
      </c>
      <c r="T174" s="12" t="str">
        <f>IFERROR(
   AVERAGEIFS(
      Labs!$D:$D,
      Labs!$A:$A,$A174,
      Labs!$C:$C,"LAB B",
      Labs!$B:$B,"&lt;"&amp;$D174
   ),
   ""
)</f>
        <v/>
      </c>
      <c r="U174" s="12" t="str">
        <f>IFERROR(
   AVERAGEIFS(
      Labs!$D:$D,
      Labs!$A:$A,$A174,
      Labs!$C:$C,"LAB B",
      Labs!$B:$B,"&gt;="&amp;$D174
   ),
   ""
)</f>
        <v/>
      </c>
    </row>
    <row r="175" spans="1:21" ht="18.600000000000001" x14ac:dyDescent="0.25">
      <c r="A175" s="19">
        <v>60</v>
      </c>
      <c r="B175" s="20">
        <v>41092</v>
      </c>
      <c r="C175" s="20">
        <v>41157</v>
      </c>
      <c r="D175" s="20">
        <v>41165</v>
      </c>
      <c r="E175" s="20">
        <v>41227</v>
      </c>
      <c r="F175" s="12" t="str">
        <f t="shared" si="1"/>
        <v>Yes</v>
      </c>
      <c r="G175" s="12" t="str">
        <f t="shared" si="2"/>
        <v>No</v>
      </c>
      <c r="H175" s="12" t="str">
        <f t="shared" si="3"/>
        <v>Sep 2012</v>
      </c>
      <c r="I175" s="12">
        <f t="shared" si="4"/>
        <v>9.4285714285714288</v>
      </c>
      <c r="J175" s="12">
        <f t="shared" si="5"/>
        <v>2.1774991751897064</v>
      </c>
      <c r="K175" s="12">
        <f>SUMIFS(
  Admin!$D:$D,
  Admin!$A:$A, $A175,
  Admin!$B:$B, "Med A",
  Admin!$C:$C, "&gt;=" &amp; $B175,
  Admin!$C:$C, "&lt;=" &amp; $C175
)</f>
        <v>72500</v>
      </c>
      <c r="L175" s="12">
        <f t="shared" si="6"/>
        <v>33295.07575757576</v>
      </c>
      <c r="M175" s="12">
        <f>SUMIFS(Admin!$D:$D,Admin!$A:$A,$A175, Admin!$B:$B,"Med B")</f>
        <v>16</v>
      </c>
      <c r="N175" s="12">
        <f>COUNTIFS(Admin!$A:$A,$A175, Admin!$B:$B,"Med B")</f>
        <v>3</v>
      </c>
      <c r="O175" s="12">
        <f t="shared" si="9"/>
        <v>5.333333333333333</v>
      </c>
      <c r="P175" s="12">
        <f>IF(D175="", "Never took B",
   SUMIFS(Admin!$D:$D,
          Admin!$A:$A,$A175,
          Admin!$B:$B,"Med B",
          Admin!$C:$C,D175)
)</f>
        <v>5</v>
      </c>
      <c r="Q175" s="20">
        <f t="shared" si="7"/>
        <v>41183</v>
      </c>
      <c r="R175" s="12">
        <f>IF(Q175="","",
   SUMIFS(Admin!$D:$D,
          Admin!$A:$A,$A175,
          Admin!$B:$B,"Med B",
          Admin!$C:$C,"&gt;="&amp;Q175,
          Admin!$C:$C,"&lt;"&amp;EDATE(Q175,1))
)</f>
        <v>5</v>
      </c>
      <c r="S175" s="12" t="str">
        <f t="shared" si="8"/>
        <v>Same</v>
      </c>
      <c r="T175" s="12">
        <f>IFERROR(
   AVERAGEIFS(
      Labs!$D:$D,
      Labs!$A:$A,$A175,
      Labs!$C:$C,"LAB B",
      Labs!$B:$B,"&lt;"&amp;$D175
   ),
   ""
)</f>
        <v>10.760000000000002</v>
      </c>
      <c r="U175" s="12">
        <f>IFERROR(
   AVERAGEIFS(
      Labs!$D:$D,
      Labs!$A:$A,$A175,
      Labs!$C:$C,"LAB B",
      Labs!$B:$B,"&gt;="&amp;$D175
   ),
   ""
)</f>
        <v>11.033333333333333</v>
      </c>
    </row>
    <row r="176" spans="1:21" ht="18.600000000000001" x14ac:dyDescent="0.25">
      <c r="A176" s="19">
        <v>61</v>
      </c>
      <c r="B176" s="20">
        <v>41093</v>
      </c>
      <c r="C176" s="20">
        <v>41149</v>
      </c>
      <c r="D176" s="20"/>
      <c r="E176" s="20"/>
      <c r="F176" s="12" t="str">
        <f t="shared" si="1"/>
        <v>No</v>
      </c>
      <c r="G176" s="12" t="str">
        <f t="shared" si="2"/>
        <v>No</v>
      </c>
      <c r="H176" s="12" t="str">
        <f t="shared" si="3"/>
        <v>Never Started B</v>
      </c>
      <c r="I176" s="12">
        <f t="shared" si="4"/>
        <v>8.1428571428571423</v>
      </c>
      <c r="J176" s="12">
        <f t="shared" si="5"/>
        <v>1.8805674694820189</v>
      </c>
      <c r="K176" s="12">
        <f>SUMIFS(
  Admin!$D:$D,
  Admin!$A:$A, $A176,
  Admin!$B:$B, "Med A",
  Admin!$C:$C, "&gt;=" &amp; $B176,
  Admin!$C:$C, "&lt;=" &amp; $C176
)</f>
        <v>8400</v>
      </c>
      <c r="L176" s="12">
        <f t="shared" si="6"/>
        <v>4466.7368421052633</v>
      </c>
      <c r="M176" s="12">
        <f>SUMIFS(Admin!$D:$D,Admin!$A:$A,$A176, Admin!$B:$B,"Med B")</f>
        <v>0</v>
      </c>
      <c r="N176" s="12">
        <f>COUNTIFS(Admin!$A:$A,$A176, Admin!$B:$B,"Med B")</f>
        <v>0</v>
      </c>
      <c r="O176" s="12" t="str">
        <f t="shared" si="9"/>
        <v>Never took B</v>
      </c>
      <c r="P176" s="12" t="str">
        <f>IF(D176="", "Never took B",
   SUMIFS(Admin!$D:$D,
          Admin!$A:$A,$A176,
          Admin!$B:$B,"Med B",
          Admin!$C:$C,D176)
)</f>
        <v>Never took B</v>
      </c>
      <c r="Q176" s="20" t="str">
        <f t="shared" si="7"/>
        <v/>
      </c>
      <c r="R176" s="12" t="str">
        <f>IF(Q176="","",
   SUMIFS(Admin!$D:$D,
          Admin!$A:$A,$A176,
          Admin!$B:$B,"Med B",
          Admin!$C:$C,"&gt;="&amp;Q176,
          Admin!$C:$C,"&lt;"&amp;EDATE(Q176,1))
)</f>
        <v/>
      </c>
      <c r="S176" s="12" t="str">
        <f t="shared" si="8"/>
        <v>Never took B</v>
      </c>
      <c r="T176" s="12" t="str">
        <f>IFERROR(
   AVERAGEIFS(
      Labs!$D:$D,
      Labs!$A:$A,$A176,
      Labs!$C:$C,"LAB B",
      Labs!$B:$B,"&lt;"&amp;$D176
   ),
   ""
)</f>
        <v/>
      </c>
      <c r="U176" s="12" t="str">
        <f>IFERROR(
   AVERAGEIFS(
      Labs!$D:$D,
      Labs!$A:$A,$A176,
      Labs!$C:$C,"LAB B",
      Labs!$B:$B,"&gt;="&amp;$D176
   ),
   ""
)</f>
        <v/>
      </c>
    </row>
    <row r="177" spans="1:21" ht="18.600000000000001" x14ac:dyDescent="0.25">
      <c r="A177" s="19">
        <v>62</v>
      </c>
      <c r="B177" s="20">
        <v>41155</v>
      </c>
      <c r="C177" s="20">
        <v>41155</v>
      </c>
      <c r="D177" s="20"/>
      <c r="E177" s="20"/>
      <c r="F177" s="12" t="str">
        <f t="shared" si="1"/>
        <v>No</v>
      </c>
      <c r="G177" s="12" t="str">
        <f t="shared" si="2"/>
        <v>No</v>
      </c>
      <c r="H177" s="12" t="str">
        <f t="shared" si="3"/>
        <v>Never Started B</v>
      </c>
      <c r="I177" s="12">
        <f t="shared" si="4"/>
        <v>0.14285714285714285</v>
      </c>
      <c r="J177" s="12">
        <f t="shared" si="5"/>
        <v>3.2992411745298579E-2</v>
      </c>
      <c r="K177" s="12">
        <f>SUMIFS(
  Admin!$D:$D,
  Admin!$A:$A, $A177,
  Admin!$B:$B, "Med A",
  Admin!$C:$C, "&gt;=" &amp; $B177,
  Admin!$C:$C, "&lt;=" &amp; $C177
)</f>
        <v>1400</v>
      </c>
      <c r="L177" s="12">
        <f t="shared" si="6"/>
        <v>1400</v>
      </c>
      <c r="M177" s="12">
        <f>SUMIFS(Admin!$D:$D,Admin!$A:$A,$A177, Admin!$B:$B,"Med B")</f>
        <v>0</v>
      </c>
      <c r="N177" s="12">
        <f>COUNTIFS(Admin!$A:$A,$A177, Admin!$B:$B,"Med B")</f>
        <v>0</v>
      </c>
      <c r="O177" s="12" t="str">
        <f t="shared" si="9"/>
        <v>Never took B</v>
      </c>
      <c r="P177" s="12" t="str">
        <f>IF(D177="", "Never took B",
   SUMIFS(Admin!$D:$D,
          Admin!$A:$A,$A177,
          Admin!$B:$B,"Med B",
          Admin!$C:$C,D177)
)</f>
        <v>Never took B</v>
      </c>
      <c r="Q177" s="20" t="str">
        <f t="shared" si="7"/>
        <v/>
      </c>
      <c r="R177" s="12" t="str">
        <f>IF(Q177="","",
   SUMIFS(Admin!$D:$D,
          Admin!$A:$A,$A177,
          Admin!$B:$B,"Med B",
          Admin!$C:$C,"&gt;="&amp;Q177,
          Admin!$C:$C,"&lt;"&amp;EDATE(Q177,1))
)</f>
        <v/>
      </c>
      <c r="S177" s="12" t="str">
        <f t="shared" si="8"/>
        <v>Never took B</v>
      </c>
      <c r="T177" s="12" t="str">
        <f>IFERROR(
   AVERAGEIFS(
      Labs!$D:$D,
      Labs!$A:$A,$A177,
      Labs!$C:$C,"LAB B",
      Labs!$B:$B,"&lt;"&amp;$D177
   ),
   ""
)</f>
        <v/>
      </c>
      <c r="U177" s="12" t="str">
        <f>IFERROR(
   AVERAGEIFS(
      Labs!$D:$D,
      Labs!$A:$A,$A177,
      Labs!$C:$C,"LAB B",
      Labs!$B:$B,"&gt;="&amp;$D177
   ),
   ""
)</f>
        <v/>
      </c>
    </row>
    <row r="178" spans="1:21" ht="18.600000000000001" x14ac:dyDescent="0.25">
      <c r="A178" s="19">
        <v>63</v>
      </c>
      <c r="B178" s="20">
        <v>41092</v>
      </c>
      <c r="C178" s="20">
        <v>41138</v>
      </c>
      <c r="D178" s="20">
        <v>41164</v>
      </c>
      <c r="E178" s="20">
        <v>41192</v>
      </c>
      <c r="F178" s="12" t="str">
        <f t="shared" si="1"/>
        <v>Yes</v>
      </c>
      <c r="G178" s="12" t="str">
        <f t="shared" si="2"/>
        <v>No</v>
      </c>
      <c r="H178" s="12" t="str">
        <f t="shared" si="3"/>
        <v>Sep 2012</v>
      </c>
      <c r="I178" s="12">
        <f t="shared" si="4"/>
        <v>6.7142857142857144</v>
      </c>
      <c r="J178" s="12">
        <f t="shared" si="5"/>
        <v>1.5506433520290333</v>
      </c>
      <c r="K178" s="12">
        <f>SUMIFS(
  Admin!$D:$D,
  Admin!$A:$A, $A178,
  Admin!$B:$B, "Med A",
  Admin!$C:$C, "&gt;=" &amp; $B178,
  Admin!$C:$C, "&lt;=" &amp; $C178
)</f>
        <v>84000</v>
      </c>
      <c r="L178" s="12">
        <f t="shared" si="6"/>
        <v>54171.063829787236</v>
      </c>
      <c r="M178" s="12">
        <f>SUMIFS(Admin!$D:$D,Admin!$A:$A,$A178, Admin!$B:$B,"Med B")</f>
        <v>11</v>
      </c>
      <c r="N178" s="12">
        <f>COUNTIFS(Admin!$A:$A,$A178, Admin!$B:$B,"Med B")</f>
        <v>2</v>
      </c>
      <c r="O178" s="12">
        <f t="shared" si="9"/>
        <v>5.5</v>
      </c>
      <c r="P178" s="12">
        <f>IF(D178="", "Never took B",
   SUMIFS(Admin!$D:$D,
          Admin!$A:$A,$A178,
          Admin!$B:$B,"Med B",
          Admin!$C:$C,D178)
)</f>
        <v>6</v>
      </c>
      <c r="Q178" s="20">
        <f t="shared" si="7"/>
        <v>41183</v>
      </c>
      <c r="R178" s="12">
        <f>IF(Q178="","",
   SUMIFS(Admin!$D:$D,
          Admin!$A:$A,$A178,
          Admin!$B:$B,"Med B",
          Admin!$C:$C,"&gt;="&amp;Q178,
          Admin!$C:$C,"&lt;"&amp;EDATE(Q178,1))
)</f>
        <v>5</v>
      </c>
      <c r="S178" s="12" t="str">
        <f t="shared" si="8"/>
        <v>Lower</v>
      </c>
      <c r="T178" s="12">
        <f>IFERROR(
   AVERAGEIFS(
      Labs!$D:$D,
      Labs!$A:$A,$A178,
      Labs!$C:$C,"LAB B",
      Labs!$B:$B,"&lt;"&amp;$D178
   ),
   ""
)</f>
        <v>11.383333333333333</v>
      </c>
      <c r="U178" s="12">
        <f>IFERROR(
   AVERAGEIFS(
      Labs!$D:$D,
      Labs!$A:$A,$A178,
      Labs!$C:$C,"LAB B",
      Labs!$B:$B,"&gt;="&amp;$D178
   ),
   ""
)</f>
        <v>10.683333333333332</v>
      </c>
    </row>
    <row r="179" spans="1:21" ht="18.600000000000001" x14ac:dyDescent="0.25">
      <c r="A179" s="19">
        <v>64</v>
      </c>
      <c r="B179" s="20">
        <v>41127</v>
      </c>
      <c r="C179" s="20">
        <v>41157</v>
      </c>
      <c r="D179" s="20"/>
      <c r="E179" s="20"/>
      <c r="F179" s="12" t="str">
        <f t="shared" si="1"/>
        <v>No</v>
      </c>
      <c r="G179" s="12" t="str">
        <f t="shared" si="2"/>
        <v>No</v>
      </c>
      <c r="H179" s="12" t="str">
        <f t="shared" si="3"/>
        <v>Never Started B</v>
      </c>
      <c r="I179" s="12">
        <f t="shared" si="4"/>
        <v>4.4285714285714288</v>
      </c>
      <c r="J179" s="12">
        <f t="shared" si="5"/>
        <v>1.0227647641042561</v>
      </c>
      <c r="K179" s="12">
        <f>SUMIFS(
  Admin!$D:$D,
  Admin!$A:$A, $A179,
  Admin!$B:$B, "Med A",
  Admin!$C:$C, "&gt;=" &amp; $B179,
  Admin!$C:$C, "&lt;=" &amp; $C179
)</f>
        <v>79800</v>
      </c>
      <c r="L179" s="12">
        <f t="shared" si="6"/>
        <v>78023.806451612894</v>
      </c>
      <c r="M179" s="12">
        <f>SUMIFS(Admin!$D:$D,Admin!$A:$A,$A179, Admin!$B:$B,"Med B")</f>
        <v>0</v>
      </c>
      <c r="N179" s="12">
        <f>COUNTIFS(Admin!$A:$A,$A179, Admin!$B:$B,"Med B")</f>
        <v>0</v>
      </c>
      <c r="O179" s="12" t="str">
        <f t="shared" si="9"/>
        <v>Never took B</v>
      </c>
      <c r="P179" s="12" t="str">
        <f>IF(D179="", "Never took B",
   SUMIFS(Admin!$D:$D,
          Admin!$A:$A,$A179,
          Admin!$B:$B,"Med B",
          Admin!$C:$C,D179)
)</f>
        <v>Never took B</v>
      </c>
      <c r="Q179" s="20" t="str">
        <f t="shared" si="7"/>
        <v/>
      </c>
      <c r="R179" s="12" t="str">
        <f>IF(Q179="","",
   SUMIFS(Admin!$D:$D,
          Admin!$A:$A,$A179,
          Admin!$B:$B,"Med B",
          Admin!$C:$C,"&gt;="&amp;Q179,
          Admin!$C:$C,"&lt;"&amp;EDATE(Q179,1))
)</f>
        <v/>
      </c>
      <c r="S179" s="12" t="str">
        <f t="shared" si="8"/>
        <v>Never took B</v>
      </c>
      <c r="T179" s="12" t="str">
        <f>IFERROR(
   AVERAGEIFS(
      Labs!$D:$D,
      Labs!$A:$A,$A179,
      Labs!$C:$C,"LAB B",
      Labs!$B:$B,"&lt;"&amp;$D179
   ),
   ""
)</f>
        <v/>
      </c>
      <c r="U179" s="12" t="str">
        <f>IFERROR(
   AVERAGEIFS(
      Labs!$D:$D,
      Labs!$A:$A,$A179,
      Labs!$C:$C,"LAB B",
      Labs!$B:$B,"&gt;="&amp;$D179
   ),
   ""
)</f>
        <v/>
      </c>
    </row>
    <row r="180" spans="1:21" ht="18.600000000000001" x14ac:dyDescent="0.25">
      <c r="A180" s="19">
        <v>65</v>
      </c>
      <c r="B180" s="20">
        <v>41093</v>
      </c>
      <c r="C180" s="20">
        <v>41158</v>
      </c>
      <c r="D180" s="20">
        <v>41165</v>
      </c>
      <c r="E180" s="20">
        <v>41193</v>
      </c>
      <c r="F180" s="12" t="str">
        <f t="shared" si="1"/>
        <v>Yes</v>
      </c>
      <c r="G180" s="12" t="str">
        <f t="shared" si="2"/>
        <v>No</v>
      </c>
      <c r="H180" s="12" t="str">
        <f t="shared" si="3"/>
        <v>Sep 2012</v>
      </c>
      <c r="I180" s="12">
        <f t="shared" si="4"/>
        <v>9.4285714285714288</v>
      </c>
      <c r="J180" s="12">
        <f t="shared" si="5"/>
        <v>2.1774991751897064</v>
      </c>
      <c r="K180" s="12">
        <f>SUMIFS(
  Admin!$D:$D,
  Admin!$A:$A, $A180,
  Admin!$B:$B, "Med A",
  Admin!$C:$C, "&gt;=" &amp; $B180,
  Admin!$C:$C, "&lt;=" &amp; $C180
)</f>
        <v>540200</v>
      </c>
      <c r="L180" s="12">
        <f t="shared" si="6"/>
        <v>248082.75757575757</v>
      </c>
      <c r="M180" s="12">
        <f>SUMIFS(Admin!$D:$D,Admin!$A:$A,$A180, Admin!$B:$B,"Med B")</f>
        <v>32</v>
      </c>
      <c r="N180" s="12">
        <f>COUNTIFS(Admin!$A:$A,$A180, Admin!$B:$B,"Med B")</f>
        <v>2</v>
      </c>
      <c r="O180" s="12">
        <f t="shared" ref="O180:O211" si="10">IF(N180=0,"Never took B",M180/N180)</f>
        <v>16</v>
      </c>
      <c r="P180" s="12">
        <f>IF(D180="", "Never took B",
   SUMIFS(Admin!$D:$D,
          Admin!$A:$A,$A180,
          Admin!$B:$B,"Med B",
          Admin!$C:$C,D180)
)</f>
        <v>16</v>
      </c>
      <c r="Q180" s="20">
        <f t="shared" si="7"/>
        <v>41183</v>
      </c>
      <c r="R180" s="12">
        <f>IF(Q180="","",
   SUMIFS(Admin!$D:$D,
          Admin!$A:$A,$A180,
          Admin!$B:$B,"Med B",
          Admin!$C:$C,"&gt;="&amp;Q180,
          Admin!$C:$C,"&lt;"&amp;EDATE(Q180,1))
)</f>
        <v>16</v>
      </c>
      <c r="S180" s="12" t="str">
        <f t="shared" si="8"/>
        <v>Same</v>
      </c>
      <c r="T180" s="12">
        <f>IFERROR(
   AVERAGEIFS(
      Labs!$D:$D,
      Labs!$A:$A,$A180,
      Labs!$C:$C,"LAB B",
      Labs!$B:$B,"&lt;"&amp;$D180
   ),
   ""
)</f>
        <v>8.5400000000000009</v>
      </c>
      <c r="U180" s="12">
        <f>IFERROR(
   AVERAGEIFS(
      Labs!$D:$D,
      Labs!$A:$A,$A180,
      Labs!$C:$C,"LAB B",
      Labs!$B:$B,"&gt;="&amp;$D180
   ),
   ""
)</f>
        <v>8.2624999999999993</v>
      </c>
    </row>
    <row r="181" spans="1:21" ht="18.600000000000001" x14ac:dyDescent="0.25">
      <c r="A181" s="19">
        <v>66</v>
      </c>
      <c r="B181" s="20">
        <v>41092</v>
      </c>
      <c r="C181" s="20">
        <v>41157</v>
      </c>
      <c r="D181" s="20">
        <v>41208</v>
      </c>
      <c r="E181" s="20">
        <v>41227</v>
      </c>
      <c r="F181" s="12" t="str">
        <f t="shared" ref="F181:F244" si="11">IF(AND(NOT(ISBLANK(B181)),NOT(ISBLANK(D181)),D181 &gt; B181), "Yes", "No")</f>
        <v>Yes</v>
      </c>
      <c r="G181" s="12" t="str">
        <f t="shared" ref="G181:G244" si="12">IF(AND(ISBLANK(B181), NOT(ISBLANK(D181))), "Yes", "No")</f>
        <v>No</v>
      </c>
      <c r="H181" s="12" t="str">
        <f t="shared" ref="H181:H244" si="13">IF(NOT(ISBLANK(D181)), TEXT(D181, "mmm yyyy"), "Never Started B")</f>
        <v>Oct 2012</v>
      </c>
      <c r="I181" s="12">
        <f t="shared" ref="I181:I244" si="14">IF(OR(B181="",C181=""),"", ((C181-B181)+1)/7)</f>
        <v>9.4285714285714288</v>
      </c>
      <c r="J181" s="12">
        <f t="shared" ref="J181:J244" si="15">IF(I181="","", I181/4.33)</f>
        <v>2.1774991751897064</v>
      </c>
      <c r="K181" s="12">
        <f>SUMIFS(
  Admin!$D:$D,
  Admin!$A:$A, $A181,
  Admin!$B:$B, "Med A",
  Admin!$C:$C, "&gt;=" &amp; $B181,
  Admin!$C:$C, "&lt;=" &amp; $C181
)</f>
        <v>80700</v>
      </c>
      <c r="L181" s="12">
        <f t="shared" ref="L181:L244" si="16">IF(AND(B181="",C181=""),
    "Never took A",
    IF(B181=C181,
       K181,
       IF(J181=0, 0, K181/J181)
    )
)</f>
        <v>37060.86363636364</v>
      </c>
      <c r="M181" s="12">
        <f>SUMIFS(Admin!$D:$D,Admin!$A:$A,$A181, Admin!$B:$B,"Med B")</f>
        <v>9</v>
      </c>
      <c r="N181" s="12">
        <f>COUNTIFS(Admin!$A:$A,$A181, Admin!$B:$B,"Med B")</f>
        <v>3</v>
      </c>
      <c r="O181" s="12">
        <f t="shared" si="10"/>
        <v>3</v>
      </c>
      <c r="P181" s="12">
        <f>IF(D181="", "Never took B",
   SUMIFS(Admin!$D:$D,
          Admin!$A:$A,$A181,
          Admin!$B:$B,"Med B",
          Admin!$C:$C,D181)
)</f>
        <v>6</v>
      </c>
      <c r="Q181" s="20">
        <f t="shared" ref="Q181:Q244" si="17">IF(D181="","",
   EDATE(DATE(YEAR(D181),MONTH(D181),1),1)
)</f>
        <v>41214</v>
      </c>
      <c r="R181" s="12">
        <f>IF(Q181="","",
   SUMIFS(Admin!$D:$D,
          Admin!$A:$A,$A181,
          Admin!$B:$B,"Med B",
          Admin!$C:$C,"&gt;="&amp;Q181,
          Admin!$C:$C,"&lt;"&amp;EDATE(Q181,1))
)</f>
        <v>1</v>
      </c>
      <c r="S181" s="12" t="str">
        <f t="shared" ref="S181:S244" si="18">IF(P181="Never took B","Never took B",
   IF(R181="No 2nd dose","No 2nd dose",
      IF(R181=P181,"Same",
         IF(R181&gt;P181,"Higher","Lower")
      )
   )
)</f>
        <v>Lower</v>
      </c>
      <c r="T181" s="12">
        <f>IFERROR(
   AVERAGEIFS(
      Labs!$D:$D,
      Labs!$A:$A,$A181,
      Labs!$C:$C,"LAB B",
      Labs!$B:$B,"&lt;"&amp;$D181
   ),
   ""
)</f>
        <v>10.48</v>
      </c>
      <c r="U181" s="12">
        <f>IFERROR(
   AVERAGEIFS(
      Labs!$D:$D,
      Labs!$A:$A,$A181,
      Labs!$C:$C,"LAB B",
      Labs!$B:$B,"&gt;="&amp;$D181
   ),
   ""
)</f>
        <v>10.475000000000001</v>
      </c>
    </row>
    <row r="182" spans="1:21" ht="18.600000000000001" x14ac:dyDescent="0.25">
      <c r="A182" s="19">
        <v>67</v>
      </c>
      <c r="B182" s="20">
        <v>41093</v>
      </c>
      <c r="C182" s="20">
        <v>41137</v>
      </c>
      <c r="D182" s="20">
        <v>41193</v>
      </c>
      <c r="E182" s="20">
        <v>41228</v>
      </c>
      <c r="F182" s="12" t="str">
        <f t="shared" si="11"/>
        <v>Yes</v>
      </c>
      <c r="G182" s="12" t="str">
        <f t="shared" si="12"/>
        <v>No</v>
      </c>
      <c r="H182" s="12" t="str">
        <f t="shared" si="13"/>
        <v>Oct 2012</v>
      </c>
      <c r="I182" s="12">
        <f t="shared" si="14"/>
        <v>6.4285714285714288</v>
      </c>
      <c r="J182" s="12">
        <f t="shared" si="15"/>
        <v>1.4846585285384362</v>
      </c>
      <c r="K182" s="12">
        <f>SUMIFS(
  Admin!$D:$D,
  Admin!$A:$A, $A182,
  Admin!$B:$B, "Med A",
  Admin!$C:$C, "&gt;=" &amp; $B182,
  Admin!$C:$C, "&lt;=" &amp; $C182
)</f>
        <v>166000</v>
      </c>
      <c r="L182" s="12">
        <f t="shared" si="16"/>
        <v>111810.22222222222</v>
      </c>
      <c r="M182" s="12">
        <f>SUMIFS(Admin!$D:$D,Admin!$A:$A,$A182, Admin!$B:$B,"Med B")</f>
        <v>3</v>
      </c>
      <c r="N182" s="12">
        <f>COUNTIFS(Admin!$A:$A,$A182, Admin!$B:$B,"Med B")</f>
        <v>2</v>
      </c>
      <c r="O182" s="12">
        <f t="shared" si="10"/>
        <v>1.5</v>
      </c>
      <c r="P182" s="12">
        <f>IF(D182="", "Never took B",
   SUMIFS(Admin!$D:$D,
          Admin!$A:$A,$A182,
          Admin!$B:$B,"Med B",
          Admin!$C:$C,D182)
)</f>
        <v>1</v>
      </c>
      <c r="Q182" s="20">
        <f t="shared" si="17"/>
        <v>41214</v>
      </c>
      <c r="R182" s="12">
        <f>IF(Q182="","",
   SUMIFS(Admin!$D:$D,
          Admin!$A:$A,$A182,
          Admin!$B:$B,"Med B",
          Admin!$C:$C,"&gt;="&amp;Q182,
          Admin!$C:$C,"&lt;"&amp;EDATE(Q182,1))
)</f>
        <v>2</v>
      </c>
      <c r="S182" s="12" t="str">
        <f t="shared" si="18"/>
        <v>Higher</v>
      </c>
      <c r="T182" s="12">
        <f>IFERROR(
   AVERAGEIFS(
      Labs!$D:$D,
      Labs!$A:$A,$A182,
      Labs!$C:$C,"LAB B",
      Labs!$B:$B,"&lt;"&amp;$D182
   ),
   ""
)</f>
        <v>11.375</v>
      </c>
      <c r="U182" s="12">
        <f>IFERROR(
   AVERAGEIFS(
      Labs!$D:$D,
      Labs!$A:$A,$A182,
      Labs!$C:$C,"LAB B",
      Labs!$B:$B,"&gt;="&amp;$D182
   ),
   ""
)</f>
        <v>10.666666666666666</v>
      </c>
    </row>
    <row r="183" spans="1:21" ht="18.600000000000001" x14ac:dyDescent="0.25">
      <c r="A183" s="19">
        <v>68</v>
      </c>
      <c r="B183" s="20"/>
      <c r="C183" s="20"/>
      <c r="D183" s="20">
        <v>41242</v>
      </c>
      <c r="E183" s="20">
        <v>41242</v>
      </c>
      <c r="F183" s="12" t="str">
        <f t="shared" si="11"/>
        <v>No</v>
      </c>
      <c r="G183" s="12" t="str">
        <f t="shared" si="12"/>
        <v>Yes</v>
      </c>
      <c r="H183" s="12" t="str">
        <f t="shared" si="13"/>
        <v>Nov 2012</v>
      </c>
      <c r="I183" s="12" t="str">
        <f t="shared" si="14"/>
        <v/>
      </c>
      <c r="J183" s="12" t="str">
        <f t="shared" si="15"/>
        <v/>
      </c>
      <c r="K183" s="12">
        <f>SUMIFS(
  Admin!$D:$D,
  Admin!$A:$A, $A183,
  Admin!$B:$B, "Med A",
  Admin!$C:$C, "&gt;=" &amp; $B183,
  Admin!$C:$C, "&lt;=" &amp; $C183
)</f>
        <v>0</v>
      </c>
      <c r="L183" s="12" t="str">
        <f t="shared" si="16"/>
        <v>Never took A</v>
      </c>
      <c r="M183" s="12">
        <f>SUMIFS(Admin!$D:$D,Admin!$A:$A,$A183, Admin!$B:$B,"Med B")</f>
        <v>4</v>
      </c>
      <c r="N183" s="12">
        <f>COUNTIFS(Admin!$A:$A,$A183, Admin!$B:$B,"Med B")</f>
        <v>1</v>
      </c>
      <c r="O183" s="12">
        <f t="shared" si="10"/>
        <v>4</v>
      </c>
      <c r="P183" s="12">
        <f>IF(D183="", "Never took B",
   SUMIFS(Admin!$D:$D,
          Admin!$A:$A,$A183,
          Admin!$B:$B,"Med B",
          Admin!$C:$C,D183)
)</f>
        <v>4</v>
      </c>
      <c r="Q183" s="20">
        <f t="shared" si="17"/>
        <v>41244</v>
      </c>
      <c r="R183" s="12">
        <f>IF(Q183="","",
   SUMIFS(Admin!$D:$D,
          Admin!$A:$A,$A183,
          Admin!$B:$B,"Med B",
          Admin!$C:$C,"&gt;="&amp;Q183,
          Admin!$C:$C,"&lt;"&amp;EDATE(Q183,1))
)</f>
        <v>0</v>
      </c>
      <c r="S183" s="12" t="str">
        <f t="shared" si="18"/>
        <v>Lower</v>
      </c>
      <c r="T183" s="12">
        <f>IFERROR(
   AVERAGEIFS(
      Labs!$D:$D,
      Labs!$A:$A,$A183,
      Labs!$C:$C,"LAB B",
      Labs!$B:$B,"&lt;"&amp;$D183
   ),
   ""
)</f>
        <v>9.4</v>
      </c>
      <c r="U183" s="12" t="str">
        <f>IFERROR(
   AVERAGEIFS(
      Labs!$D:$D,
      Labs!$A:$A,$A183,
      Labs!$C:$C,"LAB B",
      Labs!$B:$B,"&gt;="&amp;$D183
   ),
   ""
)</f>
        <v/>
      </c>
    </row>
    <row r="184" spans="1:21" ht="18.600000000000001" x14ac:dyDescent="0.25">
      <c r="A184" s="19">
        <v>69</v>
      </c>
      <c r="B184" s="20">
        <v>41093</v>
      </c>
      <c r="C184" s="20">
        <v>41158</v>
      </c>
      <c r="D184" s="20">
        <v>41165</v>
      </c>
      <c r="E184" s="20">
        <v>41228</v>
      </c>
      <c r="F184" s="12" t="str">
        <f t="shared" si="11"/>
        <v>Yes</v>
      </c>
      <c r="G184" s="12" t="str">
        <f t="shared" si="12"/>
        <v>No</v>
      </c>
      <c r="H184" s="12" t="str">
        <f t="shared" si="13"/>
        <v>Sep 2012</v>
      </c>
      <c r="I184" s="12">
        <f t="shared" si="14"/>
        <v>9.4285714285714288</v>
      </c>
      <c r="J184" s="12">
        <f t="shared" si="15"/>
        <v>2.1774991751897064</v>
      </c>
      <c r="K184" s="12">
        <f>SUMIFS(
  Admin!$D:$D,
  Admin!$A:$A, $A184,
  Admin!$B:$B, "Med A",
  Admin!$C:$C, "&gt;=" &amp; $B184,
  Admin!$C:$C, "&lt;=" &amp; $C184
)</f>
        <v>54400</v>
      </c>
      <c r="L184" s="12">
        <f t="shared" si="16"/>
        <v>24982.78787878788</v>
      </c>
      <c r="M184" s="12">
        <f>SUMIFS(Admin!$D:$D,Admin!$A:$A,$A184, Admin!$B:$B,"Med B")</f>
        <v>15</v>
      </c>
      <c r="N184" s="12">
        <f>COUNTIFS(Admin!$A:$A,$A184, Admin!$B:$B,"Med B")</f>
        <v>3</v>
      </c>
      <c r="O184" s="12">
        <f t="shared" si="10"/>
        <v>5</v>
      </c>
      <c r="P184" s="12">
        <f>IF(D184="", "Never took B",
   SUMIFS(Admin!$D:$D,
          Admin!$A:$A,$A184,
          Admin!$B:$B,"Med B",
          Admin!$C:$C,D184)
)</f>
        <v>5</v>
      </c>
      <c r="Q184" s="20">
        <f t="shared" si="17"/>
        <v>41183</v>
      </c>
      <c r="R184" s="12">
        <f>IF(Q184="","",
   SUMIFS(Admin!$D:$D,
          Admin!$A:$A,$A184,
          Admin!$B:$B,"Med B",
          Admin!$C:$C,"&gt;="&amp;Q184,
          Admin!$C:$C,"&lt;"&amp;EDATE(Q184,1))
)</f>
        <v>5</v>
      </c>
      <c r="S184" s="12" t="str">
        <f t="shared" si="18"/>
        <v>Same</v>
      </c>
      <c r="T184" s="12">
        <f>IFERROR(
   AVERAGEIFS(
      Labs!$D:$D,
      Labs!$A:$A,$A184,
      Labs!$C:$C,"LAB B",
      Labs!$B:$B,"&lt;"&amp;$D184
   ),
   ""
)</f>
        <v>10.08</v>
      </c>
      <c r="U184" s="12">
        <f>IFERROR(
   AVERAGEIFS(
      Labs!$D:$D,
      Labs!$A:$A,$A184,
      Labs!$C:$C,"LAB B",
      Labs!$B:$B,"&gt;="&amp;$D184
   ),
   ""
)</f>
        <v>10.940000000000001</v>
      </c>
    </row>
    <row r="185" spans="1:21" ht="18.600000000000001" x14ac:dyDescent="0.25">
      <c r="A185" s="19">
        <v>70</v>
      </c>
      <c r="B185" s="20">
        <v>41092</v>
      </c>
      <c r="C185" s="20">
        <v>41124</v>
      </c>
      <c r="D185" s="20"/>
      <c r="E185" s="20"/>
      <c r="F185" s="12" t="str">
        <f t="shared" si="11"/>
        <v>No</v>
      </c>
      <c r="G185" s="12" t="str">
        <f t="shared" si="12"/>
        <v>No</v>
      </c>
      <c r="H185" s="12" t="str">
        <f t="shared" si="13"/>
        <v>Never Started B</v>
      </c>
      <c r="I185" s="12">
        <f t="shared" si="14"/>
        <v>4.7142857142857144</v>
      </c>
      <c r="J185" s="12">
        <f t="shared" si="15"/>
        <v>1.0887495875948532</v>
      </c>
      <c r="K185" s="12">
        <f>SUMIFS(
  Admin!$D:$D,
  Admin!$A:$A, $A185,
  Admin!$B:$B, "Med A",
  Admin!$C:$C, "&gt;=" &amp; $B185,
  Admin!$C:$C, "&lt;=" &amp; $C185
)</f>
        <v>95000</v>
      </c>
      <c r="L185" s="12">
        <f t="shared" si="16"/>
        <v>87256.060606060608</v>
      </c>
      <c r="M185" s="12">
        <f>SUMIFS(Admin!$D:$D,Admin!$A:$A,$A185, Admin!$B:$B,"Med B")</f>
        <v>0</v>
      </c>
      <c r="N185" s="12">
        <f>COUNTIFS(Admin!$A:$A,$A185, Admin!$B:$B,"Med B")</f>
        <v>0</v>
      </c>
      <c r="O185" s="12" t="str">
        <f t="shared" si="10"/>
        <v>Never took B</v>
      </c>
      <c r="P185" s="12" t="str">
        <f>IF(D185="", "Never took B",
   SUMIFS(Admin!$D:$D,
          Admin!$A:$A,$A185,
          Admin!$B:$B,"Med B",
          Admin!$C:$C,D185)
)</f>
        <v>Never took B</v>
      </c>
      <c r="Q185" s="20" t="str">
        <f t="shared" si="17"/>
        <v/>
      </c>
      <c r="R185" s="12" t="str">
        <f>IF(Q185="","",
   SUMIFS(Admin!$D:$D,
          Admin!$A:$A,$A185,
          Admin!$B:$B,"Med B",
          Admin!$C:$C,"&gt;="&amp;Q185,
          Admin!$C:$C,"&lt;"&amp;EDATE(Q185,1))
)</f>
        <v/>
      </c>
      <c r="S185" s="12" t="str">
        <f t="shared" si="18"/>
        <v>Never took B</v>
      </c>
      <c r="T185" s="12" t="str">
        <f>IFERROR(
   AVERAGEIFS(
      Labs!$D:$D,
      Labs!$A:$A,$A185,
      Labs!$C:$C,"LAB B",
      Labs!$B:$B,"&lt;"&amp;$D185
   ),
   ""
)</f>
        <v/>
      </c>
      <c r="U185" s="12" t="str">
        <f>IFERROR(
   AVERAGEIFS(
      Labs!$D:$D,
      Labs!$A:$A,$A185,
      Labs!$C:$C,"LAB B",
      Labs!$B:$B,"&gt;="&amp;$D185
   ),
   ""
)</f>
        <v/>
      </c>
    </row>
    <row r="186" spans="1:21" ht="18.600000000000001" x14ac:dyDescent="0.25">
      <c r="A186" s="19">
        <v>71</v>
      </c>
      <c r="B186" s="20">
        <v>41092</v>
      </c>
      <c r="C186" s="20">
        <v>41094</v>
      </c>
      <c r="D186" s="20"/>
      <c r="E186" s="20"/>
      <c r="F186" s="12" t="str">
        <f t="shared" si="11"/>
        <v>No</v>
      </c>
      <c r="G186" s="12" t="str">
        <f t="shared" si="12"/>
        <v>No</v>
      </c>
      <c r="H186" s="12" t="str">
        <f t="shared" si="13"/>
        <v>Never Started B</v>
      </c>
      <c r="I186" s="12">
        <f t="shared" si="14"/>
        <v>0.42857142857142855</v>
      </c>
      <c r="J186" s="12">
        <f t="shared" si="15"/>
        <v>9.897723523589573E-2</v>
      </c>
      <c r="K186" s="12">
        <f>SUMIFS(
  Admin!$D:$D,
  Admin!$A:$A, $A186,
  Admin!$B:$B, "Med A",
  Admin!$C:$C, "&gt;=" &amp; $B186,
  Admin!$C:$C, "&lt;=" &amp; $C186
)</f>
        <v>8200</v>
      </c>
      <c r="L186" s="12">
        <f t="shared" si="16"/>
        <v>82847.333333333343</v>
      </c>
      <c r="M186" s="12">
        <f>SUMIFS(Admin!$D:$D,Admin!$A:$A,$A186, Admin!$B:$B,"Med B")</f>
        <v>0</v>
      </c>
      <c r="N186" s="12">
        <f>COUNTIFS(Admin!$A:$A,$A186, Admin!$B:$B,"Med B")</f>
        <v>0</v>
      </c>
      <c r="O186" s="12" t="str">
        <f t="shared" si="10"/>
        <v>Never took B</v>
      </c>
      <c r="P186" s="12" t="str">
        <f>IF(D186="", "Never took B",
   SUMIFS(Admin!$D:$D,
          Admin!$A:$A,$A186,
          Admin!$B:$B,"Med B",
          Admin!$C:$C,D186)
)</f>
        <v>Never took B</v>
      </c>
      <c r="Q186" s="20" t="str">
        <f t="shared" si="17"/>
        <v/>
      </c>
      <c r="R186" s="12" t="str">
        <f>IF(Q186="","",
   SUMIFS(Admin!$D:$D,
          Admin!$A:$A,$A186,
          Admin!$B:$B,"Med B",
          Admin!$C:$C,"&gt;="&amp;Q186,
          Admin!$C:$C,"&lt;"&amp;EDATE(Q186,1))
)</f>
        <v/>
      </c>
      <c r="S186" s="12" t="str">
        <f t="shared" si="18"/>
        <v>Never took B</v>
      </c>
      <c r="T186" s="12" t="str">
        <f>IFERROR(
   AVERAGEIFS(
      Labs!$D:$D,
      Labs!$A:$A,$A186,
      Labs!$C:$C,"LAB B",
      Labs!$B:$B,"&lt;"&amp;$D186
   ),
   ""
)</f>
        <v/>
      </c>
      <c r="U186" s="12" t="str">
        <f>IFERROR(
   AVERAGEIFS(
      Labs!$D:$D,
      Labs!$A:$A,$A186,
      Labs!$C:$C,"LAB B",
      Labs!$B:$B,"&gt;="&amp;$D186
   ),
   ""
)</f>
        <v/>
      </c>
    </row>
    <row r="187" spans="1:21" ht="18.600000000000001" x14ac:dyDescent="0.25">
      <c r="A187" s="19">
        <v>72</v>
      </c>
      <c r="B187" s="20"/>
      <c r="C187" s="20"/>
      <c r="D187" s="20">
        <v>41228</v>
      </c>
      <c r="E187" s="20">
        <v>41228</v>
      </c>
      <c r="F187" s="12" t="str">
        <f t="shared" si="11"/>
        <v>No</v>
      </c>
      <c r="G187" s="12" t="str">
        <f t="shared" si="12"/>
        <v>Yes</v>
      </c>
      <c r="H187" s="12" t="str">
        <f t="shared" si="13"/>
        <v>Nov 2012</v>
      </c>
      <c r="I187" s="12" t="str">
        <f t="shared" si="14"/>
        <v/>
      </c>
      <c r="J187" s="12" t="str">
        <f t="shared" si="15"/>
        <v/>
      </c>
      <c r="K187" s="12">
        <f>SUMIFS(
  Admin!$D:$D,
  Admin!$A:$A, $A187,
  Admin!$B:$B, "Med A",
  Admin!$C:$C, "&gt;=" &amp; $B187,
  Admin!$C:$C, "&lt;=" &amp; $C187
)</f>
        <v>0</v>
      </c>
      <c r="L187" s="12" t="str">
        <f t="shared" si="16"/>
        <v>Never took A</v>
      </c>
      <c r="M187" s="12">
        <f>SUMIFS(Admin!$D:$D,Admin!$A:$A,$A187, Admin!$B:$B,"Med B")</f>
        <v>2</v>
      </c>
      <c r="N187" s="12">
        <f>COUNTIFS(Admin!$A:$A,$A187, Admin!$B:$B,"Med B")</f>
        <v>1</v>
      </c>
      <c r="O187" s="12">
        <f t="shared" si="10"/>
        <v>2</v>
      </c>
      <c r="P187" s="12">
        <f>IF(D187="", "Never took B",
   SUMIFS(Admin!$D:$D,
          Admin!$A:$A,$A187,
          Admin!$B:$B,"Med B",
          Admin!$C:$C,D187)
)</f>
        <v>2</v>
      </c>
      <c r="Q187" s="20">
        <f t="shared" si="17"/>
        <v>41244</v>
      </c>
      <c r="R187" s="12">
        <f>IF(Q187="","",
   SUMIFS(Admin!$D:$D,
          Admin!$A:$A,$A187,
          Admin!$B:$B,"Med B",
          Admin!$C:$C,"&gt;="&amp;Q187,
          Admin!$C:$C,"&lt;"&amp;EDATE(Q187,1))
)</f>
        <v>0</v>
      </c>
      <c r="S187" s="12" t="str">
        <f t="shared" si="18"/>
        <v>Lower</v>
      </c>
      <c r="T187" s="12">
        <f>IFERROR(
   AVERAGEIFS(
      Labs!$D:$D,
      Labs!$A:$A,$A187,
      Labs!$C:$C,"LAB B",
      Labs!$B:$B,"&lt;"&amp;$D187
   ),
   ""
)</f>
        <v>9.1999999999999993</v>
      </c>
      <c r="U187" s="12">
        <f>IFERROR(
   AVERAGEIFS(
      Labs!$D:$D,
      Labs!$A:$A,$A187,
      Labs!$C:$C,"LAB B",
      Labs!$B:$B,"&gt;="&amp;$D187
   ),
   ""
)</f>
        <v>9.6999999999999993</v>
      </c>
    </row>
    <row r="188" spans="1:21" ht="18.600000000000001" x14ac:dyDescent="0.25">
      <c r="A188" s="19">
        <v>73</v>
      </c>
      <c r="B188" s="20">
        <v>41152</v>
      </c>
      <c r="C188" s="20">
        <v>41157</v>
      </c>
      <c r="D188" s="20">
        <v>41166</v>
      </c>
      <c r="E188" s="20">
        <v>41227</v>
      </c>
      <c r="F188" s="12" t="str">
        <f t="shared" si="11"/>
        <v>Yes</v>
      </c>
      <c r="G188" s="12" t="str">
        <f t="shared" si="12"/>
        <v>No</v>
      </c>
      <c r="H188" s="12" t="str">
        <f t="shared" si="13"/>
        <v>Sep 2012</v>
      </c>
      <c r="I188" s="12">
        <f t="shared" si="14"/>
        <v>0.8571428571428571</v>
      </c>
      <c r="J188" s="12">
        <f t="shared" si="15"/>
        <v>0.19795447047179146</v>
      </c>
      <c r="K188" s="12">
        <f>SUMIFS(
  Admin!$D:$D,
  Admin!$A:$A, $A188,
  Admin!$B:$B, "Med A",
  Admin!$C:$C, "&gt;=" &amp; $B188,
  Admin!$C:$C, "&lt;=" &amp; $C188
)</f>
        <v>30000</v>
      </c>
      <c r="L188" s="12">
        <f t="shared" si="16"/>
        <v>151550.00000000003</v>
      </c>
      <c r="M188" s="12">
        <f>SUMIFS(Admin!$D:$D,Admin!$A:$A,$A188, Admin!$B:$B,"Med B")</f>
        <v>36</v>
      </c>
      <c r="N188" s="12">
        <f>COUNTIFS(Admin!$A:$A,$A188, Admin!$B:$B,"Med B")</f>
        <v>3</v>
      </c>
      <c r="O188" s="12">
        <f t="shared" si="10"/>
        <v>12</v>
      </c>
      <c r="P188" s="12">
        <f>IF(D188="", "Never took B",
   SUMIFS(Admin!$D:$D,
          Admin!$A:$A,$A188,
          Admin!$B:$B,"Med B",
          Admin!$C:$C,D188)
)</f>
        <v>13</v>
      </c>
      <c r="Q188" s="20">
        <f t="shared" si="17"/>
        <v>41183</v>
      </c>
      <c r="R188" s="12">
        <f>IF(Q188="","",
   SUMIFS(Admin!$D:$D,
          Admin!$A:$A,$A188,
          Admin!$B:$B,"Med B",
          Admin!$C:$C,"&gt;="&amp;Q188,
          Admin!$C:$C,"&lt;"&amp;EDATE(Q188,1))
)</f>
        <v>13</v>
      </c>
      <c r="S188" s="12" t="str">
        <f t="shared" si="18"/>
        <v>Same</v>
      </c>
      <c r="T188" s="12">
        <f>IFERROR(
   AVERAGEIFS(
      Labs!$D:$D,
      Labs!$A:$A,$A188,
      Labs!$C:$C,"LAB B",
      Labs!$B:$B,"&lt;"&amp;$D188
   ),
   ""
)</f>
        <v>9.3000000000000007</v>
      </c>
      <c r="U188" s="12">
        <f>IFERROR(
   AVERAGEIFS(
      Labs!$D:$D,
      Labs!$A:$A,$A188,
      Labs!$C:$C,"LAB B",
      Labs!$B:$B,"&gt;="&amp;$D188
   ),
   ""
)</f>
        <v>10.828571428571427</v>
      </c>
    </row>
    <row r="189" spans="1:21" ht="18.600000000000001" x14ac:dyDescent="0.25">
      <c r="A189" s="19">
        <v>74</v>
      </c>
      <c r="B189" s="20">
        <v>41092</v>
      </c>
      <c r="C189" s="20">
        <v>41157</v>
      </c>
      <c r="D189" s="20">
        <v>41192</v>
      </c>
      <c r="E189" s="20">
        <v>41227</v>
      </c>
      <c r="F189" s="12" t="str">
        <f t="shared" si="11"/>
        <v>Yes</v>
      </c>
      <c r="G189" s="12" t="str">
        <f t="shared" si="12"/>
        <v>No</v>
      </c>
      <c r="H189" s="12" t="str">
        <f t="shared" si="13"/>
        <v>Oct 2012</v>
      </c>
      <c r="I189" s="12">
        <f t="shared" si="14"/>
        <v>9.4285714285714288</v>
      </c>
      <c r="J189" s="12">
        <f t="shared" si="15"/>
        <v>2.1774991751897064</v>
      </c>
      <c r="K189" s="12">
        <f>SUMIFS(
  Admin!$D:$D,
  Admin!$A:$A, $A189,
  Admin!$B:$B, "Med A",
  Admin!$C:$C, "&gt;=" &amp; $B189,
  Admin!$C:$C, "&lt;=" &amp; $C189
)</f>
        <v>59800</v>
      </c>
      <c r="L189" s="12">
        <f t="shared" si="16"/>
        <v>27462.696969696968</v>
      </c>
      <c r="M189" s="12">
        <f>SUMIFS(Admin!$D:$D,Admin!$A:$A,$A189, Admin!$B:$B,"Med B")</f>
        <v>8</v>
      </c>
      <c r="N189" s="12">
        <f>COUNTIFS(Admin!$A:$A,$A189, Admin!$B:$B,"Med B")</f>
        <v>2</v>
      </c>
      <c r="O189" s="12">
        <f t="shared" si="10"/>
        <v>4</v>
      </c>
      <c r="P189" s="12">
        <f>IF(D189="", "Never took B",
   SUMIFS(Admin!$D:$D,
          Admin!$A:$A,$A189,
          Admin!$B:$B,"Med B",
          Admin!$C:$C,D189)
)</f>
        <v>4</v>
      </c>
      <c r="Q189" s="20">
        <f t="shared" si="17"/>
        <v>41214</v>
      </c>
      <c r="R189" s="12">
        <f>IF(Q189="","",
   SUMIFS(Admin!$D:$D,
          Admin!$A:$A,$A189,
          Admin!$B:$B,"Med B",
          Admin!$C:$C,"&gt;="&amp;Q189,
          Admin!$C:$C,"&lt;"&amp;EDATE(Q189,1))
)</f>
        <v>4</v>
      </c>
      <c r="S189" s="12" t="str">
        <f t="shared" si="18"/>
        <v>Same</v>
      </c>
      <c r="T189" s="12">
        <f>IFERROR(
   AVERAGEIFS(
      Labs!$D:$D,
      Labs!$A:$A,$A189,
      Labs!$C:$C,"LAB B",
      Labs!$B:$B,"&lt;"&amp;$D189
   ),
   ""
)</f>
        <v>9.4142857142857146</v>
      </c>
      <c r="U189" s="12">
        <f>IFERROR(
   AVERAGEIFS(
      Labs!$D:$D,
      Labs!$A:$A,$A189,
      Labs!$C:$C,"LAB B",
      Labs!$B:$B,"&gt;="&amp;$D189
   ),
   ""
)</f>
        <v>10.149999999999999</v>
      </c>
    </row>
    <row r="190" spans="1:21" ht="18.600000000000001" x14ac:dyDescent="0.25">
      <c r="A190" s="19">
        <v>75</v>
      </c>
      <c r="B190" s="20">
        <v>41102</v>
      </c>
      <c r="C190" s="20">
        <v>41158</v>
      </c>
      <c r="D190" s="20">
        <v>41172</v>
      </c>
      <c r="E190" s="20">
        <v>41198</v>
      </c>
      <c r="F190" s="12" t="str">
        <f t="shared" si="11"/>
        <v>Yes</v>
      </c>
      <c r="G190" s="12" t="str">
        <f t="shared" si="12"/>
        <v>No</v>
      </c>
      <c r="H190" s="12" t="str">
        <f t="shared" si="13"/>
        <v>Sep 2012</v>
      </c>
      <c r="I190" s="12">
        <f t="shared" si="14"/>
        <v>8.1428571428571423</v>
      </c>
      <c r="J190" s="12">
        <f t="shared" si="15"/>
        <v>1.8805674694820189</v>
      </c>
      <c r="K190" s="12">
        <f>SUMIFS(
  Admin!$D:$D,
  Admin!$A:$A, $A190,
  Admin!$B:$B, "Med A",
  Admin!$C:$C, "&gt;=" &amp; $B190,
  Admin!$C:$C, "&lt;=" &amp; $C190
)</f>
        <v>310000</v>
      </c>
      <c r="L190" s="12">
        <f t="shared" si="16"/>
        <v>164843.85964912284</v>
      </c>
      <c r="M190" s="12">
        <f>SUMIFS(Admin!$D:$D,Admin!$A:$A,$A190, Admin!$B:$B,"Med B")</f>
        <v>32</v>
      </c>
      <c r="N190" s="12">
        <f>COUNTIFS(Admin!$A:$A,$A190, Admin!$B:$B,"Med B")</f>
        <v>2</v>
      </c>
      <c r="O190" s="12">
        <f t="shared" si="10"/>
        <v>16</v>
      </c>
      <c r="P190" s="12">
        <f>IF(D190="", "Never took B",
   SUMIFS(Admin!$D:$D,
          Admin!$A:$A,$A190,
          Admin!$B:$B,"Med B",
          Admin!$C:$C,D190)
)</f>
        <v>16</v>
      </c>
      <c r="Q190" s="20">
        <f t="shared" si="17"/>
        <v>41183</v>
      </c>
      <c r="R190" s="12">
        <f>IF(Q190="","",
   SUMIFS(Admin!$D:$D,
          Admin!$A:$A,$A190,
          Admin!$B:$B,"Med B",
          Admin!$C:$C,"&gt;="&amp;Q190,
          Admin!$C:$C,"&lt;"&amp;EDATE(Q190,1))
)</f>
        <v>16</v>
      </c>
      <c r="S190" s="12" t="str">
        <f t="shared" si="18"/>
        <v>Same</v>
      </c>
      <c r="T190" s="12">
        <f>IFERROR(
   AVERAGEIFS(
      Labs!$D:$D,
      Labs!$A:$A,$A190,
      Labs!$C:$C,"LAB B",
      Labs!$B:$B,"&lt;"&amp;$D190
   ),
   ""
)</f>
        <v>9.32</v>
      </c>
      <c r="U190" s="12">
        <f>IFERROR(
   AVERAGEIFS(
      Labs!$D:$D,
      Labs!$A:$A,$A190,
      Labs!$C:$C,"LAB B",
      Labs!$B:$B,"&gt;="&amp;$D190
   ),
   ""
)</f>
        <v>9.5749999999999993</v>
      </c>
    </row>
    <row r="191" spans="1:21" ht="18.600000000000001" x14ac:dyDescent="0.25">
      <c r="A191" s="19">
        <v>76</v>
      </c>
      <c r="B191" s="20"/>
      <c r="C191" s="20"/>
      <c r="D191" s="20">
        <v>41214</v>
      </c>
      <c r="E191" s="20">
        <v>41214</v>
      </c>
      <c r="F191" s="12" t="str">
        <f t="shared" si="11"/>
        <v>No</v>
      </c>
      <c r="G191" s="12" t="str">
        <f t="shared" si="12"/>
        <v>Yes</v>
      </c>
      <c r="H191" s="12" t="str">
        <f t="shared" si="13"/>
        <v>Nov 2012</v>
      </c>
      <c r="I191" s="12" t="str">
        <f t="shared" si="14"/>
        <v/>
      </c>
      <c r="J191" s="12" t="str">
        <f t="shared" si="15"/>
        <v/>
      </c>
      <c r="K191" s="12">
        <f>SUMIFS(
  Admin!$D:$D,
  Admin!$A:$A, $A191,
  Admin!$B:$B, "Med A",
  Admin!$C:$C, "&gt;=" &amp; $B191,
  Admin!$C:$C, "&lt;=" &amp; $C191
)</f>
        <v>0</v>
      </c>
      <c r="L191" s="12" t="str">
        <f t="shared" si="16"/>
        <v>Never took A</v>
      </c>
      <c r="M191" s="12">
        <f>SUMIFS(Admin!$D:$D,Admin!$A:$A,$A191, Admin!$B:$B,"Med B")</f>
        <v>10</v>
      </c>
      <c r="N191" s="12">
        <f>COUNTIFS(Admin!$A:$A,$A191, Admin!$B:$B,"Med B")</f>
        <v>1</v>
      </c>
      <c r="O191" s="12">
        <f t="shared" si="10"/>
        <v>10</v>
      </c>
      <c r="P191" s="12">
        <f>IF(D191="", "Never took B",
   SUMIFS(Admin!$D:$D,
          Admin!$A:$A,$A191,
          Admin!$B:$B,"Med B",
          Admin!$C:$C,D191)
)</f>
        <v>10</v>
      </c>
      <c r="Q191" s="20">
        <f t="shared" si="17"/>
        <v>41244</v>
      </c>
      <c r="R191" s="12">
        <f>IF(Q191="","",
   SUMIFS(Admin!$D:$D,
          Admin!$A:$A,$A191,
          Admin!$B:$B,"Med B",
          Admin!$C:$C,"&gt;="&amp;Q191,
          Admin!$C:$C,"&lt;"&amp;EDATE(Q191,1))
)</f>
        <v>0</v>
      </c>
      <c r="S191" s="12" t="str">
        <f t="shared" si="18"/>
        <v>Lower</v>
      </c>
      <c r="T191" s="12">
        <f>IFERROR(
   AVERAGEIFS(
      Labs!$D:$D,
      Labs!$A:$A,$A191,
      Labs!$C:$C,"LAB B",
      Labs!$B:$B,"&lt;"&amp;$D191
   ),
   ""
)</f>
        <v>7.8</v>
      </c>
      <c r="U191" s="12">
        <f>IFERROR(
   AVERAGEIFS(
      Labs!$D:$D,
      Labs!$A:$A,$A191,
      Labs!$C:$C,"LAB B",
      Labs!$B:$B,"&gt;="&amp;$D191
   ),
   ""
)</f>
        <v>9.5500000000000007</v>
      </c>
    </row>
    <row r="192" spans="1:21" ht="18.600000000000001" x14ac:dyDescent="0.25">
      <c r="A192" s="19">
        <v>77</v>
      </c>
      <c r="B192" s="20">
        <v>41111</v>
      </c>
      <c r="C192" s="20">
        <v>41135</v>
      </c>
      <c r="D192" s="20">
        <v>41166</v>
      </c>
      <c r="E192" s="20">
        <v>41243</v>
      </c>
      <c r="F192" s="12" t="str">
        <f t="shared" si="11"/>
        <v>Yes</v>
      </c>
      <c r="G192" s="12" t="str">
        <f t="shared" si="12"/>
        <v>No</v>
      </c>
      <c r="H192" s="12" t="str">
        <f t="shared" si="13"/>
        <v>Sep 2012</v>
      </c>
      <c r="I192" s="12">
        <f t="shared" si="14"/>
        <v>3.5714285714285716</v>
      </c>
      <c r="J192" s="12">
        <f t="shared" si="15"/>
        <v>0.82481029363246461</v>
      </c>
      <c r="K192" s="12">
        <f>SUMIFS(
  Admin!$D:$D,
  Admin!$A:$A, $A192,
  Admin!$B:$B, "Med A",
  Admin!$C:$C, "&gt;=" &amp; $B192,
  Admin!$C:$C, "&lt;=" &amp; $C192
)</f>
        <v>59200</v>
      </c>
      <c r="L192" s="12">
        <f t="shared" si="16"/>
        <v>71774.079999999987</v>
      </c>
      <c r="M192" s="12">
        <f>SUMIFS(Admin!$D:$D,Admin!$A:$A,$A192, Admin!$B:$B,"Med B")</f>
        <v>18</v>
      </c>
      <c r="N192" s="12">
        <f>COUNTIFS(Admin!$A:$A,$A192, Admin!$B:$B,"Med B")</f>
        <v>2</v>
      </c>
      <c r="O192" s="12">
        <f t="shared" si="10"/>
        <v>9</v>
      </c>
      <c r="P192" s="12">
        <f>IF(D192="", "Never took B",
   SUMIFS(Admin!$D:$D,
          Admin!$A:$A,$A192,
          Admin!$B:$B,"Med B",
          Admin!$C:$C,D192)
)</f>
        <v>8</v>
      </c>
      <c r="Q192" s="20">
        <f t="shared" si="17"/>
        <v>41183</v>
      </c>
      <c r="R192" s="12">
        <f>IF(Q192="","",
   SUMIFS(Admin!$D:$D,
          Admin!$A:$A,$A192,
          Admin!$B:$B,"Med B",
          Admin!$C:$C,"&gt;="&amp;Q192,
          Admin!$C:$C,"&lt;"&amp;EDATE(Q192,1))
)</f>
        <v>0</v>
      </c>
      <c r="S192" s="12" t="str">
        <f t="shared" si="18"/>
        <v>Lower</v>
      </c>
      <c r="T192" s="12">
        <f>IFERROR(
   AVERAGEIFS(
      Labs!$D:$D,
      Labs!$A:$A,$A192,
      Labs!$C:$C,"LAB B",
      Labs!$B:$B,"&lt;"&amp;$D192
   ),
   ""
)</f>
        <v>11.400000000000002</v>
      </c>
      <c r="U192" s="12">
        <f>IFERROR(
   AVERAGEIFS(
      Labs!$D:$D,
      Labs!$A:$A,$A192,
      Labs!$C:$C,"LAB B",
      Labs!$B:$B,"&gt;="&amp;$D192
   ),
   ""
)</f>
        <v>10.316666666666666</v>
      </c>
    </row>
    <row r="193" spans="1:21" ht="18.600000000000001" x14ac:dyDescent="0.25">
      <c r="A193" s="19">
        <v>78</v>
      </c>
      <c r="B193" s="20">
        <v>41096</v>
      </c>
      <c r="C193" s="20">
        <v>41138</v>
      </c>
      <c r="D193" s="20"/>
      <c r="E193" s="20"/>
      <c r="F193" s="12" t="str">
        <f t="shared" si="11"/>
        <v>No</v>
      </c>
      <c r="G193" s="12" t="str">
        <f t="shared" si="12"/>
        <v>No</v>
      </c>
      <c r="H193" s="12" t="str">
        <f t="shared" si="13"/>
        <v>Never Started B</v>
      </c>
      <c r="I193" s="12">
        <f t="shared" si="14"/>
        <v>6.1428571428571432</v>
      </c>
      <c r="J193" s="12">
        <f t="shared" si="15"/>
        <v>1.4186737050478391</v>
      </c>
      <c r="K193" s="12">
        <f>SUMIFS(
  Admin!$D:$D,
  Admin!$A:$A, $A193,
  Admin!$B:$B, "Med A",
  Admin!$C:$C, "&gt;=" &amp; $B193,
  Admin!$C:$C, "&lt;=" &amp; $C193
)</f>
        <v>2100</v>
      </c>
      <c r="L193" s="12">
        <f t="shared" si="16"/>
        <v>1480.2558139534883</v>
      </c>
      <c r="M193" s="12">
        <f>SUMIFS(Admin!$D:$D,Admin!$A:$A,$A193, Admin!$B:$B,"Med B")</f>
        <v>0</v>
      </c>
      <c r="N193" s="12">
        <f>COUNTIFS(Admin!$A:$A,$A193, Admin!$B:$B,"Med B")</f>
        <v>0</v>
      </c>
      <c r="O193" s="12" t="str">
        <f t="shared" si="10"/>
        <v>Never took B</v>
      </c>
      <c r="P193" s="12" t="str">
        <f>IF(D193="", "Never took B",
   SUMIFS(Admin!$D:$D,
          Admin!$A:$A,$A193,
          Admin!$B:$B,"Med B",
          Admin!$C:$C,D193)
)</f>
        <v>Never took B</v>
      </c>
      <c r="Q193" s="20" t="str">
        <f t="shared" si="17"/>
        <v/>
      </c>
      <c r="R193" s="12" t="str">
        <f>IF(Q193="","",
   SUMIFS(Admin!$D:$D,
          Admin!$A:$A,$A193,
          Admin!$B:$B,"Med B",
          Admin!$C:$C,"&gt;="&amp;Q193,
          Admin!$C:$C,"&lt;"&amp;EDATE(Q193,1))
)</f>
        <v/>
      </c>
      <c r="S193" s="12" t="str">
        <f t="shared" si="18"/>
        <v>Never took B</v>
      </c>
      <c r="T193" s="12" t="str">
        <f>IFERROR(
   AVERAGEIFS(
      Labs!$D:$D,
      Labs!$A:$A,$A193,
      Labs!$C:$C,"LAB B",
      Labs!$B:$B,"&lt;"&amp;$D193
   ),
   ""
)</f>
        <v/>
      </c>
      <c r="U193" s="12" t="str">
        <f>IFERROR(
   AVERAGEIFS(
      Labs!$D:$D,
      Labs!$A:$A,$A193,
      Labs!$C:$C,"LAB B",
      Labs!$B:$B,"&gt;="&amp;$D193
   ),
   ""
)</f>
        <v/>
      </c>
    </row>
    <row r="194" spans="1:21" ht="18.600000000000001" x14ac:dyDescent="0.25">
      <c r="A194" s="19">
        <v>79</v>
      </c>
      <c r="B194" s="20">
        <v>41247</v>
      </c>
      <c r="C194" s="20">
        <v>41247</v>
      </c>
      <c r="D194" s="20"/>
      <c r="E194" s="20"/>
      <c r="F194" s="12" t="str">
        <f t="shared" si="11"/>
        <v>No</v>
      </c>
      <c r="G194" s="12" t="str">
        <f t="shared" si="12"/>
        <v>No</v>
      </c>
      <c r="H194" s="12" t="str">
        <f t="shared" si="13"/>
        <v>Never Started B</v>
      </c>
      <c r="I194" s="12">
        <f t="shared" si="14"/>
        <v>0.14285714285714285</v>
      </c>
      <c r="J194" s="12">
        <f t="shared" si="15"/>
        <v>3.2992411745298579E-2</v>
      </c>
      <c r="K194" s="12">
        <f>SUMIFS(
  Admin!$D:$D,
  Admin!$A:$A, $A194,
  Admin!$B:$B, "Med A",
  Admin!$C:$C, "&gt;=" &amp; $B194,
  Admin!$C:$C, "&lt;=" &amp; $C194
)</f>
        <v>5600</v>
      </c>
      <c r="L194" s="12">
        <f t="shared" si="16"/>
        <v>5600</v>
      </c>
      <c r="M194" s="12">
        <f>SUMIFS(Admin!$D:$D,Admin!$A:$A,$A194, Admin!$B:$B,"Med B")</f>
        <v>0</v>
      </c>
      <c r="N194" s="12">
        <f>COUNTIFS(Admin!$A:$A,$A194, Admin!$B:$B,"Med B")</f>
        <v>0</v>
      </c>
      <c r="O194" s="12" t="str">
        <f t="shared" si="10"/>
        <v>Never took B</v>
      </c>
      <c r="P194" s="12" t="str">
        <f>IF(D194="", "Never took B",
   SUMIFS(Admin!$D:$D,
          Admin!$A:$A,$A194,
          Admin!$B:$B,"Med B",
          Admin!$C:$C,D194)
)</f>
        <v>Never took B</v>
      </c>
      <c r="Q194" s="20" t="str">
        <f t="shared" si="17"/>
        <v/>
      </c>
      <c r="R194" s="12" t="str">
        <f>IF(Q194="","",
   SUMIFS(Admin!$D:$D,
          Admin!$A:$A,$A194,
          Admin!$B:$B,"Med B",
          Admin!$C:$C,"&gt;="&amp;Q194,
          Admin!$C:$C,"&lt;"&amp;EDATE(Q194,1))
)</f>
        <v/>
      </c>
      <c r="S194" s="12" t="str">
        <f t="shared" si="18"/>
        <v>Never took B</v>
      </c>
      <c r="T194" s="12" t="str">
        <f>IFERROR(
   AVERAGEIFS(
      Labs!$D:$D,
      Labs!$A:$A,$A194,
      Labs!$C:$C,"LAB B",
      Labs!$B:$B,"&lt;"&amp;$D194
   ),
   ""
)</f>
        <v/>
      </c>
      <c r="U194" s="12" t="str">
        <f>IFERROR(
   AVERAGEIFS(
      Labs!$D:$D,
      Labs!$A:$A,$A194,
      Labs!$C:$C,"LAB B",
      Labs!$B:$B,"&gt;="&amp;$D194
   ),
   ""
)</f>
        <v/>
      </c>
    </row>
    <row r="195" spans="1:21" ht="18.600000000000001" x14ac:dyDescent="0.25">
      <c r="A195" s="19">
        <v>80</v>
      </c>
      <c r="B195" s="20">
        <v>41092</v>
      </c>
      <c r="C195" s="20">
        <v>41157</v>
      </c>
      <c r="D195" s="20"/>
      <c r="E195" s="20"/>
      <c r="F195" s="12" t="str">
        <f t="shared" si="11"/>
        <v>No</v>
      </c>
      <c r="G195" s="12" t="str">
        <f t="shared" si="12"/>
        <v>No</v>
      </c>
      <c r="H195" s="12" t="str">
        <f t="shared" si="13"/>
        <v>Never Started B</v>
      </c>
      <c r="I195" s="12">
        <f t="shared" si="14"/>
        <v>9.4285714285714288</v>
      </c>
      <c r="J195" s="12">
        <f t="shared" si="15"/>
        <v>2.1774991751897064</v>
      </c>
      <c r="K195" s="12">
        <f>SUMIFS(
  Admin!$D:$D,
  Admin!$A:$A, $A195,
  Admin!$B:$B, "Med A",
  Admin!$C:$C, "&gt;=" &amp; $B195,
  Admin!$C:$C, "&lt;=" &amp; $C195
)</f>
        <v>278400</v>
      </c>
      <c r="L195" s="12">
        <f t="shared" si="16"/>
        <v>127853.09090909091</v>
      </c>
      <c r="M195" s="12">
        <f>SUMIFS(Admin!$D:$D,Admin!$A:$A,$A195, Admin!$B:$B,"Med B")</f>
        <v>0</v>
      </c>
      <c r="N195" s="12">
        <f>COUNTIFS(Admin!$A:$A,$A195, Admin!$B:$B,"Med B")</f>
        <v>0</v>
      </c>
      <c r="O195" s="12" t="str">
        <f t="shared" si="10"/>
        <v>Never took B</v>
      </c>
      <c r="P195" s="12" t="str">
        <f>IF(D195="", "Never took B",
   SUMIFS(Admin!$D:$D,
          Admin!$A:$A,$A195,
          Admin!$B:$B,"Med B",
          Admin!$C:$C,D195)
)</f>
        <v>Never took B</v>
      </c>
      <c r="Q195" s="20" t="str">
        <f t="shared" si="17"/>
        <v/>
      </c>
      <c r="R195" s="12" t="str">
        <f>IF(Q195="","",
   SUMIFS(Admin!$D:$D,
          Admin!$A:$A,$A195,
          Admin!$B:$B,"Med B",
          Admin!$C:$C,"&gt;="&amp;Q195,
          Admin!$C:$C,"&lt;"&amp;EDATE(Q195,1))
)</f>
        <v/>
      </c>
      <c r="S195" s="12" t="str">
        <f t="shared" si="18"/>
        <v>Never took B</v>
      </c>
      <c r="T195" s="12" t="str">
        <f>IFERROR(
   AVERAGEIFS(
      Labs!$D:$D,
      Labs!$A:$A,$A195,
      Labs!$C:$C,"LAB B",
      Labs!$B:$B,"&lt;"&amp;$D195
   ),
   ""
)</f>
        <v/>
      </c>
      <c r="U195" s="12" t="str">
        <f>IFERROR(
   AVERAGEIFS(
      Labs!$D:$D,
      Labs!$A:$A,$A195,
      Labs!$C:$C,"LAB B",
      Labs!$B:$B,"&gt;="&amp;$D195
   ),
   ""
)</f>
        <v/>
      </c>
    </row>
    <row r="196" spans="1:21" ht="18.600000000000001" x14ac:dyDescent="0.25">
      <c r="A196" s="19">
        <v>81</v>
      </c>
      <c r="B196" s="20">
        <v>41093</v>
      </c>
      <c r="C196" s="20">
        <v>41158</v>
      </c>
      <c r="D196" s="20">
        <v>41165</v>
      </c>
      <c r="E196" s="20">
        <v>41228</v>
      </c>
      <c r="F196" s="12" t="str">
        <f t="shared" si="11"/>
        <v>Yes</v>
      </c>
      <c r="G196" s="12" t="str">
        <f t="shared" si="12"/>
        <v>No</v>
      </c>
      <c r="H196" s="12" t="str">
        <f t="shared" si="13"/>
        <v>Sep 2012</v>
      </c>
      <c r="I196" s="12">
        <f t="shared" si="14"/>
        <v>9.4285714285714288</v>
      </c>
      <c r="J196" s="12">
        <f t="shared" si="15"/>
        <v>2.1774991751897064</v>
      </c>
      <c r="K196" s="12">
        <f>SUMIFS(
  Admin!$D:$D,
  Admin!$A:$A, $A196,
  Admin!$B:$B, "Med A",
  Admin!$C:$C, "&gt;=" &amp; $B196,
  Admin!$C:$C, "&lt;=" &amp; $C196
)</f>
        <v>175900</v>
      </c>
      <c r="L196" s="12">
        <f t="shared" si="16"/>
        <v>80780.742424242431</v>
      </c>
      <c r="M196" s="12">
        <f>SUMIFS(Admin!$D:$D,Admin!$A:$A,$A196, Admin!$B:$B,"Med B")</f>
        <v>33</v>
      </c>
      <c r="N196" s="12">
        <f>COUNTIFS(Admin!$A:$A,$A196, Admin!$B:$B,"Med B")</f>
        <v>3</v>
      </c>
      <c r="O196" s="12">
        <f t="shared" si="10"/>
        <v>11</v>
      </c>
      <c r="P196" s="12">
        <f>IF(D196="", "Never took B",
   SUMIFS(Admin!$D:$D,
          Admin!$A:$A,$A196,
          Admin!$B:$B,"Med B",
          Admin!$C:$C,D196)
)</f>
        <v>10</v>
      </c>
      <c r="Q196" s="20">
        <f t="shared" si="17"/>
        <v>41183</v>
      </c>
      <c r="R196" s="12">
        <f>IF(Q196="","",
   SUMIFS(Admin!$D:$D,
          Admin!$A:$A,$A196,
          Admin!$B:$B,"Med B",
          Admin!$C:$C,"&gt;="&amp;Q196,
          Admin!$C:$C,"&lt;"&amp;EDATE(Q196,1))
)</f>
        <v>10</v>
      </c>
      <c r="S196" s="12" t="str">
        <f t="shared" si="18"/>
        <v>Same</v>
      </c>
      <c r="T196" s="12">
        <f>IFERROR(
   AVERAGEIFS(
      Labs!$D:$D,
      Labs!$A:$A,$A196,
      Labs!$C:$C,"LAB B",
      Labs!$B:$B,"&lt;"&amp;$D196
   ),
   ""
)</f>
        <v>9.5000000000000018</v>
      </c>
      <c r="U196" s="12">
        <f>IFERROR(
   AVERAGEIFS(
      Labs!$D:$D,
      Labs!$A:$A,$A196,
      Labs!$C:$C,"LAB B",
      Labs!$B:$B,"&gt;="&amp;$D196
   ),
   ""
)</f>
        <v>11.040000000000001</v>
      </c>
    </row>
    <row r="197" spans="1:21" ht="18.600000000000001" x14ac:dyDescent="0.25">
      <c r="A197" s="19">
        <v>82</v>
      </c>
      <c r="B197" s="20">
        <v>41096</v>
      </c>
      <c r="C197" s="20">
        <v>41157</v>
      </c>
      <c r="D197" s="20">
        <v>41164</v>
      </c>
      <c r="E197" s="20">
        <v>41227</v>
      </c>
      <c r="F197" s="12" t="str">
        <f t="shared" si="11"/>
        <v>Yes</v>
      </c>
      <c r="G197" s="12" t="str">
        <f t="shared" si="12"/>
        <v>No</v>
      </c>
      <c r="H197" s="12" t="str">
        <f t="shared" si="13"/>
        <v>Sep 2012</v>
      </c>
      <c r="I197" s="12">
        <f t="shared" si="14"/>
        <v>8.8571428571428577</v>
      </c>
      <c r="J197" s="12">
        <f t="shared" si="15"/>
        <v>2.0455295282085122</v>
      </c>
      <c r="K197" s="12">
        <f>SUMIFS(
  Admin!$D:$D,
  Admin!$A:$A, $A197,
  Admin!$B:$B, "Med A",
  Admin!$C:$C, "&gt;=" &amp; $B197,
  Admin!$C:$C, "&lt;=" &amp; $C197
)</f>
        <v>20800</v>
      </c>
      <c r="L197" s="12">
        <f t="shared" si="16"/>
        <v>10168.516129032258</v>
      </c>
      <c r="M197" s="12">
        <f>SUMIFS(Admin!$D:$D,Admin!$A:$A,$A197, Admin!$B:$B,"Med B")</f>
        <v>8</v>
      </c>
      <c r="N197" s="12">
        <f>COUNTIFS(Admin!$A:$A,$A197, Admin!$B:$B,"Med B")</f>
        <v>4</v>
      </c>
      <c r="O197" s="12">
        <f t="shared" si="10"/>
        <v>2</v>
      </c>
      <c r="P197" s="12">
        <f>IF(D197="", "Never took B",
   SUMIFS(Admin!$D:$D,
          Admin!$A:$A,$A197,
          Admin!$B:$B,"Med B",
          Admin!$C:$C,D197)
)</f>
        <v>2</v>
      </c>
      <c r="Q197" s="20">
        <f t="shared" si="17"/>
        <v>41183</v>
      </c>
      <c r="R197" s="12">
        <f>IF(Q197="","",
   SUMIFS(Admin!$D:$D,
          Admin!$A:$A,$A197,
          Admin!$B:$B,"Med B",
          Admin!$C:$C,"&gt;="&amp;Q197,
          Admin!$C:$C,"&lt;"&amp;EDATE(Q197,1))
)</f>
        <v>3</v>
      </c>
      <c r="S197" s="12" t="str">
        <f t="shared" si="18"/>
        <v>Higher</v>
      </c>
      <c r="T197" s="12">
        <f>IFERROR(
   AVERAGEIFS(
      Labs!$D:$D,
      Labs!$A:$A,$A197,
      Labs!$C:$C,"LAB B",
      Labs!$B:$B,"&lt;"&amp;$D197
   ),
   ""
)</f>
        <v>10.983333333333334</v>
      </c>
      <c r="U197" s="12">
        <f>IFERROR(
   AVERAGEIFS(
      Labs!$D:$D,
      Labs!$A:$A,$A197,
      Labs!$C:$C,"LAB B",
      Labs!$B:$B,"&gt;="&amp;$D197
   ),
   ""
)</f>
        <v>10.583333333333334</v>
      </c>
    </row>
    <row r="198" spans="1:21" ht="18.600000000000001" x14ac:dyDescent="0.25">
      <c r="A198" s="19">
        <v>83</v>
      </c>
      <c r="B198" s="20">
        <v>41127</v>
      </c>
      <c r="C198" s="20">
        <v>41157</v>
      </c>
      <c r="D198" s="20">
        <v>41164</v>
      </c>
      <c r="E198" s="20">
        <v>41227</v>
      </c>
      <c r="F198" s="12" t="str">
        <f t="shared" si="11"/>
        <v>Yes</v>
      </c>
      <c r="G198" s="12" t="str">
        <f t="shared" si="12"/>
        <v>No</v>
      </c>
      <c r="H198" s="12" t="str">
        <f t="shared" si="13"/>
        <v>Sep 2012</v>
      </c>
      <c r="I198" s="12">
        <f t="shared" si="14"/>
        <v>4.4285714285714288</v>
      </c>
      <c r="J198" s="12">
        <f t="shared" si="15"/>
        <v>1.0227647641042561</v>
      </c>
      <c r="K198" s="12">
        <f>SUMIFS(
  Admin!$D:$D,
  Admin!$A:$A, $A198,
  Admin!$B:$B, "Med A",
  Admin!$C:$C, "&gt;=" &amp; $B198,
  Admin!$C:$C, "&lt;=" &amp; $C198
)</f>
        <v>68800</v>
      </c>
      <c r="L198" s="12">
        <f t="shared" si="16"/>
        <v>67268.645161290318</v>
      </c>
      <c r="M198" s="12">
        <f>SUMIFS(Admin!$D:$D,Admin!$A:$A,$A198, Admin!$B:$B,"Med B")</f>
        <v>10</v>
      </c>
      <c r="N198" s="12">
        <f>COUNTIFS(Admin!$A:$A,$A198, Admin!$B:$B,"Med B")</f>
        <v>2</v>
      </c>
      <c r="O198" s="12">
        <f t="shared" si="10"/>
        <v>5</v>
      </c>
      <c r="P198" s="12">
        <f>IF(D198="", "Never took B",
   SUMIFS(Admin!$D:$D,
          Admin!$A:$A,$A198,
          Admin!$B:$B,"Med B",
          Admin!$C:$C,D198)
)</f>
        <v>8</v>
      </c>
      <c r="Q198" s="20">
        <f t="shared" si="17"/>
        <v>41183</v>
      </c>
      <c r="R198" s="12">
        <f>IF(Q198="","",
   SUMIFS(Admin!$D:$D,
          Admin!$A:$A,$A198,
          Admin!$B:$B,"Med B",
          Admin!$C:$C,"&gt;="&amp;Q198,
          Admin!$C:$C,"&lt;"&amp;EDATE(Q198,1))
)</f>
        <v>0</v>
      </c>
      <c r="S198" s="12" t="str">
        <f t="shared" si="18"/>
        <v>Lower</v>
      </c>
      <c r="T198" s="12">
        <f>IFERROR(
   AVERAGEIFS(
      Labs!$D:$D,
      Labs!$A:$A,$A198,
      Labs!$C:$C,"LAB B",
      Labs!$B:$B,"&lt;"&amp;$D198
   ),
   ""
)</f>
        <v>10</v>
      </c>
      <c r="U198" s="12">
        <f>IFERROR(
   AVERAGEIFS(
      Labs!$D:$D,
      Labs!$A:$A,$A198,
      Labs!$C:$C,"LAB B",
      Labs!$B:$B,"&gt;="&amp;$D198
   ),
   ""
)</f>
        <v>11.414285714285713</v>
      </c>
    </row>
    <row r="199" spans="1:21" ht="18.600000000000001" x14ac:dyDescent="0.25">
      <c r="A199" s="19">
        <v>84</v>
      </c>
      <c r="B199" s="20"/>
      <c r="C199" s="20"/>
      <c r="D199" s="20">
        <v>41194</v>
      </c>
      <c r="E199" s="20">
        <v>41194</v>
      </c>
      <c r="F199" s="12" t="str">
        <f t="shared" si="11"/>
        <v>No</v>
      </c>
      <c r="G199" s="12" t="str">
        <f t="shared" si="12"/>
        <v>Yes</v>
      </c>
      <c r="H199" s="12" t="str">
        <f t="shared" si="13"/>
        <v>Oct 2012</v>
      </c>
      <c r="I199" s="12" t="str">
        <f t="shared" si="14"/>
        <v/>
      </c>
      <c r="J199" s="12" t="str">
        <f t="shared" si="15"/>
        <v/>
      </c>
      <c r="K199" s="12">
        <f>SUMIFS(
  Admin!$D:$D,
  Admin!$A:$A, $A199,
  Admin!$B:$B, "Med A",
  Admin!$C:$C, "&gt;=" &amp; $B199,
  Admin!$C:$C, "&lt;=" &amp; $C199
)</f>
        <v>0</v>
      </c>
      <c r="L199" s="12" t="str">
        <f t="shared" si="16"/>
        <v>Never took A</v>
      </c>
      <c r="M199" s="12">
        <f>SUMIFS(Admin!$D:$D,Admin!$A:$A,$A199, Admin!$B:$B,"Med B")</f>
        <v>3</v>
      </c>
      <c r="N199" s="12">
        <f>COUNTIFS(Admin!$A:$A,$A199, Admin!$B:$B,"Med B")</f>
        <v>1</v>
      </c>
      <c r="O199" s="12">
        <f t="shared" si="10"/>
        <v>3</v>
      </c>
      <c r="P199" s="12">
        <f>IF(D199="", "Never took B",
   SUMIFS(Admin!$D:$D,
          Admin!$A:$A,$A199,
          Admin!$B:$B,"Med B",
          Admin!$C:$C,D199)
)</f>
        <v>3</v>
      </c>
      <c r="Q199" s="20">
        <f t="shared" si="17"/>
        <v>41214</v>
      </c>
      <c r="R199" s="12">
        <f>IF(Q199="","",
   SUMIFS(Admin!$D:$D,
          Admin!$A:$A,$A199,
          Admin!$B:$B,"Med B",
          Admin!$C:$C,"&gt;="&amp;Q199,
          Admin!$C:$C,"&lt;"&amp;EDATE(Q199,1))
)</f>
        <v>0</v>
      </c>
      <c r="S199" s="12" t="str">
        <f t="shared" si="18"/>
        <v>Lower</v>
      </c>
      <c r="T199" s="12">
        <f>IFERROR(
   AVERAGEIFS(
      Labs!$D:$D,
      Labs!$A:$A,$A199,
      Labs!$C:$C,"LAB B",
      Labs!$B:$B,"&lt;"&amp;$D199
   ),
   ""
)</f>
        <v>10.3</v>
      </c>
      <c r="U199" s="12">
        <f>IFERROR(
   AVERAGEIFS(
      Labs!$D:$D,
      Labs!$A:$A,$A199,
      Labs!$C:$C,"LAB B",
      Labs!$B:$B,"&gt;="&amp;$D199
   ),
   ""
)</f>
        <v>10.5</v>
      </c>
    </row>
    <row r="200" spans="1:21" ht="18.600000000000001" x14ac:dyDescent="0.25">
      <c r="A200" s="19">
        <v>85</v>
      </c>
      <c r="B200" s="20">
        <v>41097</v>
      </c>
      <c r="C200" s="20">
        <v>41158</v>
      </c>
      <c r="D200" s="20">
        <v>41165</v>
      </c>
      <c r="E200" s="20">
        <v>41165</v>
      </c>
      <c r="F200" s="12" t="str">
        <f t="shared" si="11"/>
        <v>Yes</v>
      </c>
      <c r="G200" s="12" t="str">
        <f t="shared" si="12"/>
        <v>No</v>
      </c>
      <c r="H200" s="12" t="str">
        <f t="shared" si="13"/>
        <v>Sep 2012</v>
      </c>
      <c r="I200" s="12">
        <f t="shared" si="14"/>
        <v>8.8571428571428577</v>
      </c>
      <c r="J200" s="12">
        <f t="shared" si="15"/>
        <v>2.0455295282085122</v>
      </c>
      <c r="K200" s="12">
        <f>SUMIFS(
  Admin!$D:$D,
  Admin!$A:$A, $A200,
  Admin!$B:$B, "Med A",
  Admin!$C:$C, "&gt;=" &amp; $B200,
  Admin!$C:$C, "&lt;=" &amp; $C200
)</f>
        <v>289800</v>
      </c>
      <c r="L200" s="12">
        <f t="shared" si="16"/>
        <v>141674.80645161288</v>
      </c>
      <c r="M200" s="12">
        <f>SUMIFS(Admin!$D:$D,Admin!$A:$A,$A200, Admin!$B:$B,"Med B")</f>
        <v>16</v>
      </c>
      <c r="N200" s="12">
        <f>COUNTIFS(Admin!$A:$A,$A200, Admin!$B:$B,"Med B")</f>
        <v>1</v>
      </c>
      <c r="O200" s="12">
        <f t="shared" si="10"/>
        <v>16</v>
      </c>
      <c r="P200" s="12">
        <f>IF(D200="", "Never took B",
   SUMIFS(Admin!$D:$D,
          Admin!$A:$A,$A200,
          Admin!$B:$B,"Med B",
          Admin!$C:$C,D200)
)</f>
        <v>16</v>
      </c>
      <c r="Q200" s="20">
        <f t="shared" si="17"/>
        <v>41183</v>
      </c>
      <c r="R200" s="12">
        <f>IF(Q200="","",
   SUMIFS(Admin!$D:$D,
          Admin!$A:$A,$A200,
          Admin!$B:$B,"Med B",
          Admin!$C:$C,"&gt;="&amp;Q200,
          Admin!$C:$C,"&lt;"&amp;EDATE(Q200,1))
)</f>
        <v>0</v>
      </c>
      <c r="S200" s="12" t="str">
        <f t="shared" si="18"/>
        <v>Lower</v>
      </c>
      <c r="T200" s="12">
        <f>IFERROR(
   AVERAGEIFS(
      Labs!$D:$D,
      Labs!$A:$A,$A200,
      Labs!$C:$C,"LAB B",
      Labs!$B:$B,"&lt;"&amp;$D200
   ),
   ""
)</f>
        <v>11.120000000000001</v>
      </c>
      <c r="U200" s="12">
        <f>IFERROR(
   AVERAGEIFS(
      Labs!$D:$D,
      Labs!$A:$A,$A200,
      Labs!$C:$C,"LAB B",
      Labs!$B:$B,"&gt;="&amp;$D200
   ),
   ""
)</f>
        <v>10.8</v>
      </c>
    </row>
    <row r="201" spans="1:21" ht="18.600000000000001" x14ac:dyDescent="0.25">
      <c r="A201" s="19">
        <v>86</v>
      </c>
      <c r="B201" s="20">
        <v>41139</v>
      </c>
      <c r="C201" s="20">
        <v>41156</v>
      </c>
      <c r="D201" s="20">
        <v>41177</v>
      </c>
      <c r="E201" s="20">
        <v>41193</v>
      </c>
      <c r="F201" s="12" t="str">
        <f t="shared" si="11"/>
        <v>Yes</v>
      </c>
      <c r="G201" s="12" t="str">
        <f t="shared" si="12"/>
        <v>No</v>
      </c>
      <c r="H201" s="12" t="str">
        <f t="shared" si="13"/>
        <v>Sep 2012</v>
      </c>
      <c r="I201" s="12">
        <f t="shared" si="14"/>
        <v>2.5714285714285716</v>
      </c>
      <c r="J201" s="12">
        <f t="shared" si="15"/>
        <v>0.59386341141537446</v>
      </c>
      <c r="K201" s="12">
        <f>SUMIFS(
  Admin!$D:$D,
  Admin!$A:$A, $A201,
  Admin!$B:$B, "Med A",
  Admin!$C:$C, "&gt;=" &amp; $B201,
  Admin!$C:$C, "&lt;=" &amp; $C201
)</f>
        <v>4000</v>
      </c>
      <c r="L201" s="12">
        <f t="shared" si="16"/>
        <v>6735.5555555555557</v>
      </c>
      <c r="M201" s="12">
        <f>SUMIFS(Admin!$D:$D,Admin!$A:$A,$A201, Admin!$B:$B,"Med B")</f>
        <v>2</v>
      </c>
      <c r="N201" s="12">
        <f>COUNTIFS(Admin!$A:$A,$A201, Admin!$B:$B,"Med B")</f>
        <v>2</v>
      </c>
      <c r="O201" s="12">
        <f t="shared" si="10"/>
        <v>1</v>
      </c>
      <c r="P201" s="12">
        <f>IF(D201="", "Never took B",
   SUMIFS(Admin!$D:$D,
          Admin!$A:$A,$A201,
          Admin!$B:$B,"Med B",
          Admin!$C:$C,D201)
)</f>
        <v>1</v>
      </c>
      <c r="Q201" s="20">
        <f t="shared" si="17"/>
        <v>41183</v>
      </c>
      <c r="R201" s="12">
        <f>IF(Q201="","",
   SUMIFS(Admin!$D:$D,
          Admin!$A:$A,$A201,
          Admin!$B:$B,"Med B",
          Admin!$C:$C,"&gt;="&amp;Q201,
          Admin!$C:$C,"&lt;"&amp;EDATE(Q201,1))
)</f>
        <v>1</v>
      </c>
      <c r="S201" s="12" t="str">
        <f t="shared" si="18"/>
        <v>Same</v>
      </c>
      <c r="T201" s="12">
        <f>IFERROR(
   AVERAGEIFS(
      Labs!$D:$D,
      Labs!$A:$A,$A201,
      Labs!$C:$C,"LAB B",
      Labs!$B:$B,"&lt;"&amp;$D201
   ),
   ""
)</f>
        <v>11.76</v>
      </c>
      <c r="U201" s="12">
        <f>IFERROR(
   AVERAGEIFS(
      Labs!$D:$D,
      Labs!$A:$A,$A201,
      Labs!$C:$C,"LAB B",
      Labs!$B:$B,"&gt;="&amp;$D201
   ),
   ""
)</f>
        <v>11.725</v>
      </c>
    </row>
    <row r="202" spans="1:21" ht="18.600000000000001" x14ac:dyDescent="0.25">
      <c r="A202" s="19">
        <v>87</v>
      </c>
      <c r="B202" s="20">
        <v>41092</v>
      </c>
      <c r="C202" s="20">
        <v>41157</v>
      </c>
      <c r="D202" s="20">
        <v>41164</v>
      </c>
      <c r="E202" s="20">
        <v>41227</v>
      </c>
      <c r="F202" s="12" t="str">
        <f t="shared" si="11"/>
        <v>Yes</v>
      </c>
      <c r="G202" s="12" t="str">
        <f t="shared" si="12"/>
        <v>No</v>
      </c>
      <c r="H202" s="12" t="str">
        <f t="shared" si="13"/>
        <v>Sep 2012</v>
      </c>
      <c r="I202" s="12">
        <f t="shared" si="14"/>
        <v>9.4285714285714288</v>
      </c>
      <c r="J202" s="12">
        <f t="shared" si="15"/>
        <v>2.1774991751897064</v>
      </c>
      <c r="K202" s="12">
        <f>SUMIFS(
  Admin!$D:$D,
  Admin!$A:$A, $A202,
  Admin!$B:$B, "Med A",
  Admin!$C:$C, "&gt;=" &amp; $B202,
  Admin!$C:$C, "&lt;=" &amp; $C202
)</f>
        <v>77600</v>
      </c>
      <c r="L202" s="12">
        <f t="shared" si="16"/>
        <v>35637.21212121212</v>
      </c>
      <c r="M202" s="12">
        <f>SUMIFS(Admin!$D:$D,Admin!$A:$A,$A202, Admin!$B:$B,"Med B")</f>
        <v>20</v>
      </c>
      <c r="N202" s="12">
        <f>COUNTIFS(Admin!$A:$A,$A202, Admin!$B:$B,"Med B")</f>
        <v>3</v>
      </c>
      <c r="O202" s="12">
        <f t="shared" si="10"/>
        <v>6.666666666666667</v>
      </c>
      <c r="P202" s="12">
        <f>IF(D202="", "Never took B",
   SUMIFS(Admin!$D:$D,
          Admin!$A:$A,$A202,
          Admin!$B:$B,"Med B",
          Admin!$C:$C,D202)
)</f>
        <v>6</v>
      </c>
      <c r="Q202" s="20">
        <f t="shared" si="17"/>
        <v>41183</v>
      </c>
      <c r="R202" s="12">
        <f>IF(Q202="","",
   SUMIFS(Admin!$D:$D,
          Admin!$A:$A,$A202,
          Admin!$B:$B,"Med B",
          Admin!$C:$C,"&gt;="&amp;Q202,
          Admin!$C:$C,"&lt;"&amp;EDATE(Q202,1))
)</f>
        <v>6</v>
      </c>
      <c r="S202" s="12" t="str">
        <f t="shared" si="18"/>
        <v>Same</v>
      </c>
      <c r="T202" s="12">
        <f>IFERROR(
   AVERAGEIFS(
      Labs!$D:$D,
      Labs!$A:$A,$A202,
      Labs!$C:$C,"LAB B",
      Labs!$B:$B,"&lt;"&amp;$D202
   ),
   ""
)</f>
        <v>11</v>
      </c>
      <c r="U202" s="12">
        <f>IFERROR(
   AVERAGEIFS(
      Labs!$D:$D,
      Labs!$A:$A,$A202,
      Labs!$C:$C,"LAB B",
      Labs!$B:$B,"&gt;="&amp;$D202
   ),
   ""
)</f>
        <v>11.02</v>
      </c>
    </row>
    <row r="203" spans="1:21" ht="18.600000000000001" x14ac:dyDescent="0.25">
      <c r="A203" s="19">
        <v>88</v>
      </c>
      <c r="B203" s="20"/>
      <c r="C203" s="20"/>
      <c r="D203" s="20">
        <v>41167</v>
      </c>
      <c r="E203" s="20">
        <v>41193</v>
      </c>
      <c r="F203" s="12" t="str">
        <f t="shared" si="11"/>
        <v>No</v>
      </c>
      <c r="G203" s="12" t="str">
        <f t="shared" si="12"/>
        <v>Yes</v>
      </c>
      <c r="H203" s="12" t="str">
        <f t="shared" si="13"/>
        <v>Sep 2012</v>
      </c>
      <c r="I203" s="12" t="str">
        <f t="shared" si="14"/>
        <v/>
      </c>
      <c r="J203" s="12" t="str">
        <f t="shared" si="15"/>
        <v/>
      </c>
      <c r="K203" s="12">
        <f>SUMIFS(
  Admin!$D:$D,
  Admin!$A:$A, $A203,
  Admin!$B:$B, "Med A",
  Admin!$C:$C, "&gt;=" &amp; $B203,
  Admin!$C:$C, "&lt;=" &amp; $C203
)</f>
        <v>0</v>
      </c>
      <c r="L203" s="12" t="str">
        <f t="shared" si="16"/>
        <v>Never took A</v>
      </c>
      <c r="M203" s="12">
        <f>SUMIFS(Admin!$D:$D,Admin!$A:$A,$A203, Admin!$B:$B,"Med B")</f>
        <v>10</v>
      </c>
      <c r="N203" s="12">
        <f>COUNTIFS(Admin!$A:$A,$A203, Admin!$B:$B,"Med B")</f>
        <v>2</v>
      </c>
      <c r="O203" s="12">
        <f t="shared" si="10"/>
        <v>5</v>
      </c>
      <c r="P203" s="12">
        <f>IF(D203="", "Never took B",
   SUMIFS(Admin!$D:$D,
          Admin!$A:$A,$A203,
          Admin!$B:$B,"Med B",
          Admin!$C:$C,D203)
)</f>
        <v>5</v>
      </c>
      <c r="Q203" s="20">
        <f t="shared" si="17"/>
        <v>41183</v>
      </c>
      <c r="R203" s="12">
        <f>IF(Q203="","",
   SUMIFS(Admin!$D:$D,
          Admin!$A:$A,$A203,
          Admin!$B:$B,"Med B",
          Admin!$C:$C,"&gt;="&amp;Q203,
          Admin!$C:$C,"&lt;"&amp;EDATE(Q203,1))
)</f>
        <v>5</v>
      </c>
      <c r="S203" s="12" t="str">
        <f t="shared" si="18"/>
        <v>Same</v>
      </c>
      <c r="T203" s="12">
        <f>IFERROR(
   AVERAGEIFS(
      Labs!$D:$D,
      Labs!$A:$A,$A203,
      Labs!$C:$C,"LAB B",
      Labs!$B:$B,"&lt;"&amp;$D203
   ),
   ""
)</f>
        <v>8.8833333333333329</v>
      </c>
      <c r="U203" s="12">
        <f>IFERROR(
   AVERAGEIFS(
      Labs!$D:$D,
      Labs!$A:$A,$A203,
      Labs!$C:$C,"LAB B",
      Labs!$B:$B,"&gt;="&amp;$D203
   ),
   ""
)</f>
        <v>10.45</v>
      </c>
    </row>
    <row r="204" spans="1:21" ht="18.600000000000001" x14ac:dyDescent="0.25">
      <c r="A204" s="19">
        <v>89</v>
      </c>
      <c r="B204" s="20">
        <v>41141</v>
      </c>
      <c r="C204" s="20">
        <v>41157</v>
      </c>
      <c r="D204" s="20"/>
      <c r="E204" s="20"/>
      <c r="F204" s="12" t="str">
        <f t="shared" si="11"/>
        <v>No</v>
      </c>
      <c r="G204" s="12" t="str">
        <f t="shared" si="12"/>
        <v>No</v>
      </c>
      <c r="H204" s="12" t="str">
        <f t="shared" si="13"/>
        <v>Never Started B</v>
      </c>
      <c r="I204" s="12">
        <f t="shared" si="14"/>
        <v>2.4285714285714284</v>
      </c>
      <c r="J204" s="12">
        <f t="shared" si="15"/>
        <v>0.56087099967007581</v>
      </c>
      <c r="K204" s="12">
        <f>SUMIFS(
  Admin!$D:$D,
  Admin!$A:$A, $A204,
  Admin!$B:$B, "Med A",
  Admin!$C:$C, "&gt;=" &amp; $B204,
  Admin!$C:$C, "&lt;=" &amp; $C204
)</f>
        <v>17600</v>
      </c>
      <c r="L204" s="12">
        <f t="shared" si="16"/>
        <v>31379.764705882357</v>
      </c>
      <c r="M204" s="12">
        <f>SUMIFS(Admin!$D:$D,Admin!$A:$A,$A204, Admin!$B:$B,"Med B")</f>
        <v>0</v>
      </c>
      <c r="N204" s="12">
        <f>COUNTIFS(Admin!$A:$A,$A204, Admin!$B:$B,"Med B")</f>
        <v>0</v>
      </c>
      <c r="O204" s="12" t="str">
        <f t="shared" si="10"/>
        <v>Never took B</v>
      </c>
      <c r="P204" s="12" t="str">
        <f>IF(D204="", "Never took B",
   SUMIFS(Admin!$D:$D,
          Admin!$A:$A,$A204,
          Admin!$B:$B,"Med B",
          Admin!$C:$C,D204)
)</f>
        <v>Never took B</v>
      </c>
      <c r="Q204" s="20" t="str">
        <f t="shared" si="17"/>
        <v/>
      </c>
      <c r="R204" s="12" t="str">
        <f>IF(Q204="","",
   SUMIFS(Admin!$D:$D,
          Admin!$A:$A,$A204,
          Admin!$B:$B,"Med B",
          Admin!$C:$C,"&gt;="&amp;Q204,
          Admin!$C:$C,"&lt;"&amp;EDATE(Q204,1))
)</f>
        <v/>
      </c>
      <c r="S204" s="12" t="str">
        <f t="shared" si="18"/>
        <v>Never took B</v>
      </c>
      <c r="T204" s="12" t="str">
        <f>IFERROR(
   AVERAGEIFS(
      Labs!$D:$D,
      Labs!$A:$A,$A204,
      Labs!$C:$C,"LAB B",
      Labs!$B:$B,"&lt;"&amp;$D204
   ),
   ""
)</f>
        <v/>
      </c>
      <c r="U204" s="12" t="str">
        <f>IFERROR(
   AVERAGEIFS(
      Labs!$D:$D,
      Labs!$A:$A,$A204,
      Labs!$C:$C,"LAB B",
      Labs!$B:$B,"&gt;="&amp;$D204
   ),
   ""
)</f>
        <v/>
      </c>
    </row>
    <row r="205" spans="1:21" ht="18.600000000000001" x14ac:dyDescent="0.25">
      <c r="A205" s="19">
        <v>90</v>
      </c>
      <c r="B205" s="20">
        <v>41093</v>
      </c>
      <c r="C205" s="20">
        <v>41158</v>
      </c>
      <c r="D205" s="20">
        <v>41165</v>
      </c>
      <c r="E205" s="20">
        <v>41228</v>
      </c>
      <c r="F205" s="12" t="str">
        <f t="shared" si="11"/>
        <v>Yes</v>
      </c>
      <c r="G205" s="12" t="str">
        <f t="shared" si="12"/>
        <v>No</v>
      </c>
      <c r="H205" s="12" t="str">
        <f t="shared" si="13"/>
        <v>Sep 2012</v>
      </c>
      <c r="I205" s="12">
        <f t="shared" si="14"/>
        <v>9.4285714285714288</v>
      </c>
      <c r="J205" s="12">
        <f t="shared" si="15"/>
        <v>2.1774991751897064</v>
      </c>
      <c r="K205" s="12">
        <f>SUMIFS(
  Admin!$D:$D,
  Admin!$A:$A, $A205,
  Admin!$B:$B, "Med A",
  Admin!$C:$C, "&gt;=" &amp; $B205,
  Admin!$C:$C, "&lt;=" &amp; $C205
)</f>
        <v>20000</v>
      </c>
      <c r="L205" s="12">
        <f t="shared" si="16"/>
        <v>9184.8484848484841</v>
      </c>
      <c r="M205" s="12">
        <f>SUMIFS(Admin!$D:$D,Admin!$A:$A,$A205, Admin!$B:$B,"Med B")</f>
        <v>7</v>
      </c>
      <c r="N205" s="12">
        <f>COUNTIFS(Admin!$A:$A,$A205, Admin!$B:$B,"Med B")</f>
        <v>2</v>
      </c>
      <c r="O205" s="12">
        <f t="shared" si="10"/>
        <v>3.5</v>
      </c>
      <c r="P205" s="12">
        <f>IF(D205="", "Never took B",
   SUMIFS(Admin!$D:$D,
          Admin!$A:$A,$A205,
          Admin!$B:$B,"Med B",
          Admin!$C:$C,D205)
)</f>
        <v>3</v>
      </c>
      <c r="Q205" s="20">
        <f t="shared" si="17"/>
        <v>41183</v>
      </c>
      <c r="R205" s="12">
        <f>IF(Q205="","",
   SUMIFS(Admin!$D:$D,
          Admin!$A:$A,$A205,
          Admin!$B:$B,"Med B",
          Admin!$C:$C,"&gt;="&amp;Q205,
          Admin!$C:$C,"&lt;"&amp;EDATE(Q205,1))
)</f>
        <v>0</v>
      </c>
      <c r="S205" s="12" t="str">
        <f t="shared" si="18"/>
        <v>Lower</v>
      </c>
      <c r="T205" s="12">
        <f>IFERROR(
   AVERAGEIFS(
      Labs!$D:$D,
      Labs!$A:$A,$A205,
      Labs!$C:$C,"LAB B",
      Labs!$B:$B,"&lt;"&amp;$D205
   ),
   ""
)</f>
        <v>11.299999999999999</v>
      </c>
      <c r="U205" s="12">
        <f>IFERROR(
   AVERAGEIFS(
      Labs!$D:$D,
      Labs!$A:$A,$A205,
      Labs!$C:$C,"LAB B",
      Labs!$B:$B,"&gt;="&amp;$D205
   ),
   ""
)</f>
        <v>10.719999999999999</v>
      </c>
    </row>
    <row r="206" spans="1:21" ht="18.600000000000001" x14ac:dyDescent="0.25">
      <c r="A206" s="19">
        <v>91</v>
      </c>
      <c r="B206" s="20">
        <v>41093</v>
      </c>
      <c r="C206" s="20">
        <v>41156</v>
      </c>
      <c r="D206" s="20">
        <v>41165</v>
      </c>
      <c r="E206" s="20">
        <v>41208</v>
      </c>
      <c r="F206" s="12" t="str">
        <f t="shared" si="11"/>
        <v>Yes</v>
      </c>
      <c r="G206" s="12" t="str">
        <f t="shared" si="12"/>
        <v>No</v>
      </c>
      <c r="H206" s="12" t="str">
        <f t="shared" si="13"/>
        <v>Sep 2012</v>
      </c>
      <c r="I206" s="12">
        <f t="shared" si="14"/>
        <v>9.1428571428571423</v>
      </c>
      <c r="J206" s="12">
        <f t="shared" si="15"/>
        <v>2.1115143516991091</v>
      </c>
      <c r="K206" s="12">
        <f>SUMIFS(
  Admin!$D:$D,
  Admin!$A:$A, $A206,
  Admin!$B:$B, "Med A",
  Admin!$C:$C, "&gt;=" &amp; $B206,
  Admin!$C:$C, "&lt;=" &amp; $C206
)</f>
        <v>800</v>
      </c>
      <c r="L206" s="12">
        <f t="shared" si="16"/>
        <v>378.875</v>
      </c>
      <c r="M206" s="12">
        <f>SUMIFS(Admin!$D:$D,Admin!$A:$A,$A206, Admin!$B:$B,"Med B")</f>
        <v>2</v>
      </c>
      <c r="N206" s="12">
        <f>COUNTIFS(Admin!$A:$A,$A206, Admin!$B:$B,"Med B")</f>
        <v>2</v>
      </c>
      <c r="O206" s="12">
        <f t="shared" si="10"/>
        <v>1</v>
      </c>
      <c r="P206" s="12">
        <f>IF(D206="", "Never took B",
   SUMIFS(Admin!$D:$D,
          Admin!$A:$A,$A206,
          Admin!$B:$B,"Med B",
          Admin!$C:$C,D206)
)</f>
        <v>1</v>
      </c>
      <c r="Q206" s="20">
        <f t="shared" si="17"/>
        <v>41183</v>
      </c>
      <c r="R206" s="12">
        <f>IF(Q206="","",
   SUMIFS(Admin!$D:$D,
          Admin!$A:$A,$A206,
          Admin!$B:$B,"Med B",
          Admin!$C:$C,"&gt;="&amp;Q206,
          Admin!$C:$C,"&lt;"&amp;EDATE(Q206,1))
)</f>
        <v>1</v>
      </c>
      <c r="S206" s="12" t="str">
        <f t="shared" si="18"/>
        <v>Same</v>
      </c>
      <c r="T206" s="12">
        <f>IFERROR(
   AVERAGEIFS(
      Labs!$D:$D,
      Labs!$A:$A,$A206,
      Labs!$C:$C,"LAB B",
      Labs!$B:$B,"&lt;"&amp;$D206
   ),
   ""
)</f>
        <v>10.950000000000001</v>
      </c>
      <c r="U206" s="12">
        <f>IFERROR(
   AVERAGEIFS(
      Labs!$D:$D,
      Labs!$A:$A,$A206,
      Labs!$C:$C,"LAB B",
      Labs!$B:$B,"&gt;="&amp;$D206
   ),
   ""
)</f>
        <v>11.366666666666667</v>
      </c>
    </row>
    <row r="207" spans="1:21" ht="18.600000000000001" x14ac:dyDescent="0.25">
      <c r="A207" s="19">
        <v>92</v>
      </c>
      <c r="B207" s="20">
        <v>41092</v>
      </c>
      <c r="C207" s="20">
        <v>41157</v>
      </c>
      <c r="D207" s="20">
        <v>41164</v>
      </c>
      <c r="E207" s="20">
        <v>41227</v>
      </c>
      <c r="F207" s="12" t="str">
        <f t="shared" si="11"/>
        <v>Yes</v>
      </c>
      <c r="G207" s="12" t="str">
        <f t="shared" si="12"/>
        <v>No</v>
      </c>
      <c r="H207" s="12" t="str">
        <f t="shared" si="13"/>
        <v>Sep 2012</v>
      </c>
      <c r="I207" s="12">
        <f t="shared" si="14"/>
        <v>9.4285714285714288</v>
      </c>
      <c r="J207" s="12">
        <f t="shared" si="15"/>
        <v>2.1774991751897064</v>
      </c>
      <c r="K207" s="12">
        <f>SUMIFS(
  Admin!$D:$D,
  Admin!$A:$A, $A207,
  Admin!$B:$B, "Med A",
  Admin!$C:$C, "&gt;=" &amp; $B207,
  Admin!$C:$C, "&lt;=" &amp; $C207
)</f>
        <v>20100</v>
      </c>
      <c r="L207" s="12">
        <f t="shared" si="16"/>
        <v>9230.7727272727279</v>
      </c>
      <c r="M207" s="12">
        <f>SUMIFS(Admin!$D:$D,Admin!$A:$A,$A207, Admin!$B:$B,"Med B")</f>
        <v>8</v>
      </c>
      <c r="N207" s="12">
        <f>COUNTIFS(Admin!$A:$A,$A207, Admin!$B:$B,"Med B")</f>
        <v>3</v>
      </c>
      <c r="O207" s="12">
        <f t="shared" si="10"/>
        <v>2.6666666666666665</v>
      </c>
      <c r="P207" s="12">
        <f>IF(D207="", "Never took B",
   SUMIFS(Admin!$D:$D,
          Admin!$A:$A,$A207,
          Admin!$B:$B,"Med B",
          Admin!$C:$C,D207)
)</f>
        <v>2</v>
      </c>
      <c r="Q207" s="20">
        <f t="shared" si="17"/>
        <v>41183</v>
      </c>
      <c r="R207" s="12">
        <f>IF(Q207="","",
   SUMIFS(Admin!$D:$D,
          Admin!$A:$A,$A207,
          Admin!$B:$B,"Med B",
          Admin!$C:$C,"&gt;="&amp;Q207,
          Admin!$C:$C,"&lt;"&amp;EDATE(Q207,1))
)</f>
        <v>3</v>
      </c>
      <c r="S207" s="12" t="str">
        <f t="shared" si="18"/>
        <v>Higher</v>
      </c>
      <c r="T207" s="12">
        <f>IFERROR(
   AVERAGEIFS(
      Labs!$D:$D,
      Labs!$A:$A,$A207,
      Labs!$C:$C,"LAB B",
      Labs!$B:$B,"&lt;"&amp;$D207
   ),
   ""
)</f>
        <v>10.68</v>
      </c>
      <c r="U207" s="12">
        <f>IFERROR(
   AVERAGEIFS(
      Labs!$D:$D,
      Labs!$A:$A,$A207,
      Labs!$C:$C,"LAB B",
      Labs!$B:$B,"&gt;="&amp;$D207
   ),
   ""
)</f>
        <v>10.933333333333332</v>
      </c>
    </row>
    <row r="208" spans="1:21" ht="18.600000000000001" x14ac:dyDescent="0.25">
      <c r="A208" s="19">
        <v>93</v>
      </c>
      <c r="B208" s="20">
        <v>41092</v>
      </c>
      <c r="C208" s="20">
        <v>41150</v>
      </c>
      <c r="D208" s="20"/>
      <c r="E208" s="20"/>
      <c r="F208" s="12" t="str">
        <f t="shared" si="11"/>
        <v>No</v>
      </c>
      <c r="G208" s="12" t="str">
        <f t="shared" si="12"/>
        <v>No</v>
      </c>
      <c r="H208" s="12" t="str">
        <f t="shared" si="13"/>
        <v>Never Started B</v>
      </c>
      <c r="I208" s="12">
        <f t="shared" si="14"/>
        <v>8.4285714285714288</v>
      </c>
      <c r="J208" s="12">
        <f t="shared" si="15"/>
        <v>1.9465522929726162</v>
      </c>
      <c r="K208" s="12">
        <f>SUMIFS(
  Admin!$D:$D,
  Admin!$A:$A, $A208,
  Admin!$B:$B, "Med A",
  Admin!$C:$C, "&gt;=" &amp; $B208,
  Admin!$C:$C, "&lt;=" &amp; $C208
)</f>
        <v>120000</v>
      </c>
      <c r="L208" s="12">
        <f t="shared" si="16"/>
        <v>61647.457627118645</v>
      </c>
      <c r="M208" s="12">
        <f>SUMIFS(Admin!$D:$D,Admin!$A:$A,$A208, Admin!$B:$B,"Med B")</f>
        <v>0</v>
      </c>
      <c r="N208" s="12">
        <f>COUNTIFS(Admin!$A:$A,$A208, Admin!$B:$B,"Med B")</f>
        <v>0</v>
      </c>
      <c r="O208" s="12" t="str">
        <f t="shared" si="10"/>
        <v>Never took B</v>
      </c>
      <c r="P208" s="12" t="str">
        <f>IF(D208="", "Never took B",
   SUMIFS(Admin!$D:$D,
          Admin!$A:$A,$A208,
          Admin!$B:$B,"Med B",
          Admin!$C:$C,D208)
)</f>
        <v>Never took B</v>
      </c>
      <c r="Q208" s="20" t="str">
        <f t="shared" si="17"/>
        <v/>
      </c>
      <c r="R208" s="12" t="str">
        <f>IF(Q208="","",
   SUMIFS(Admin!$D:$D,
          Admin!$A:$A,$A208,
          Admin!$B:$B,"Med B",
          Admin!$C:$C,"&gt;="&amp;Q208,
          Admin!$C:$C,"&lt;"&amp;EDATE(Q208,1))
)</f>
        <v/>
      </c>
      <c r="S208" s="12" t="str">
        <f t="shared" si="18"/>
        <v>Never took B</v>
      </c>
      <c r="T208" s="12" t="str">
        <f>IFERROR(
   AVERAGEIFS(
      Labs!$D:$D,
      Labs!$A:$A,$A208,
      Labs!$C:$C,"LAB B",
      Labs!$B:$B,"&lt;"&amp;$D208
   ),
   ""
)</f>
        <v/>
      </c>
      <c r="U208" s="12" t="str">
        <f>IFERROR(
   AVERAGEIFS(
      Labs!$D:$D,
      Labs!$A:$A,$A208,
      Labs!$C:$C,"LAB B",
      Labs!$B:$B,"&gt;="&amp;$D208
   ),
   ""
)</f>
        <v/>
      </c>
    </row>
    <row r="209" spans="1:21" ht="18.600000000000001" x14ac:dyDescent="0.25">
      <c r="A209" s="19">
        <v>94</v>
      </c>
      <c r="B209" s="20">
        <v>41092</v>
      </c>
      <c r="C209" s="20">
        <v>41157</v>
      </c>
      <c r="D209" s="20">
        <v>41164</v>
      </c>
      <c r="E209" s="20">
        <v>41227</v>
      </c>
      <c r="F209" s="12" t="str">
        <f t="shared" si="11"/>
        <v>Yes</v>
      </c>
      <c r="G209" s="12" t="str">
        <f t="shared" si="12"/>
        <v>No</v>
      </c>
      <c r="H209" s="12" t="str">
        <f t="shared" si="13"/>
        <v>Sep 2012</v>
      </c>
      <c r="I209" s="12">
        <f t="shared" si="14"/>
        <v>9.4285714285714288</v>
      </c>
      <c r="J209" s="12">
        <f t="shared" si="15"/>
        <v>2.1774991751897064</v>
      </c>
      <c r="K209" s="12">
        <f>SUMIFS(
  Admin!$D:$D,
  Admin!$A:$A, $A209,
  Admin!$B:$B, "Med A",
  Admin!$C:$C, "&gt;=" &amp; $B209,
  Admin!$C:$C, "&lt;=" &amp; $C209
)</f>
        <v>158400</v>
      </c>
      <c r="L209" s="12">
        <f t="shared" si="16"/>
        <v>72744</v>
      </c>
      <c r="M209" s="12">
        <f>SUMIFS(Admin!$D:$D,Admin!$A:$A,$A209, Admin!$B:$B,"Med B")</f>
        <v>11</v>
      </c>
      <c r="N209" s="12">
        <f>COUNTIFS(Admin!$A:$A,$A209, Admin!$B:$B,"Med B")</f>
        <v>2</v>
      </c>
      <c r="O209" s="12">
        <f t="shared" si="10"/>
        <v>5.5</v>
      </c>
      <c r="P209" s="12">
        <f>IF(D209="", "Never took B",
   SUMIFS(Admin!$D:$D,
          Admin!$A:$A,$A209,
          Admin!$B:$B,"Med B",
          Admin!$C:$C,D209)
)</f>
        <v>10</v>
      </c>
      <c r="Q209" s="20">
        <f t="shared" si="17"/>
        <v>41183</v>
      </c>
      <c r="R209" s="12">
        <f>IF(Q209="","",
   SUMIFS(Admin!$D:$D,
          Admin!$A:$A,$A209,
          Admin!$B:$B,"Med B",
          Admin!$C:$C,"&gt;="&amp;Q209,
          Admin!$C:$C,"&lt;"&amp;EDATE(Q209,1))
)</f>
        <v>0</v>
      </c>
      <c r="S209" s="12" t="str">
        <f t="shared" si="18"/>
        <v>Lower</v>
      </c>
      <c r="T209" s="12">
        <f>IFERROR(
   AVERAGEIFS(
      Labs!$D:$D,
      Labs!$A:$A,$A209,
      Labs!$C:$C,"LAB B",
      Labs!$B:$B,"&lt;"&amp;$D209
   ),
   ""
)</f>
        <v>9.64</v>
      </c>
      <c r="U209" s="12">
        <f>IFERROR(
   AVERAGEIFS(
      Labs!$D:$D,
      Labs!$A:$A,$A209,
      Labs!$C:$C,"LAB B",
      Labs!$B:$B,"&gt;="&amp;$D209
   ),
   ""
)</f>
        <v>11.866666666666665</v>
      </c>
    </row>
    <row r="210" spans="1:21" ht="18.600000000000001" x14ac:dyDescent="0.25">
      <c r="A210" s="19">
        <v>95</v>
      </c>
      <c r="B210" s="20">
        <v>41125</v>
      </c>
      <c r="C210" s="20">
        <v>41144</v>
      </c>
      <c r="D210" s="20"/>
      <c r="E210" s="20"/>
      <c r="F210" s="12" t="str">
        <f t="shared" si="11"/>
        <v>No</v>
      </c>
      <c r="G210" s="12" t="str">
        <f t="shared" si="12"/>
        <v>No</v>
      </c>
      <c r="H210" s="12" t="str">
        <f t="shared" si="13"/>
        <v>Never Started B</v>
      </c>
      <c r="I210" s="12">
        <f t="shared" si="14"/>
        <v>2.8571428571428572</v>
      </c>
      <c r="J210" s="12">
        <f t="shared" si="15"/>
        <v>0.65984823490597166</v>
      </c>
      <c r="K210" s="12">
        <f>SUMIFS(
  Admin!$D:$D,
  Admin!$A:$A, $A210,
  Admin!$B:$B, "Med A",
  Admin!$C:$C, "&gt;=" &amp; $B210,
  Admin!$C:$C, "&lt;=" &amp; $C210
)</f>
        <v>28800</v>
      </c>
      <c r="L210" s="12">
        <f t="shared" si="16"/>
        <v>43646.399999999994</v>
      </c>
      <c r="M210" s="12">
        <f>SUMIFS(Admin!$D:$D,Admin!$A:$A,$A210, Admin!$B:$B,"Med B")</f>
        <v>0</v>
      </c>
      <c r="N210" s="12">
        <f>COUNTIFS(Admin!$A:$A,$A210, Admin!$B:$B,"Med B")</f>
        <v>0</v>
      </c>
      <c r="O210" s="12" t="str">
        <f t="shared" si="10"/>
        <v>Never took B</v>
      </c>
      <c r="P210" s="12" t="str">
        <f>IF(D210="", "Never took B",
   SUMIFS(Admin!$D:$D,
          Admin!$A:$A,$A210,
          Admin!$B:$B,"Med B",
          Admin!$C:$C,D210)
)</f>
        <v>Never took B</v>
      </c>
      <c r="Q210" s="20" t="str">
        <f t="shared" si="17"/>
        <v/>
      </c>
      <c r="R210" s="12" t="str">
        <f>IF(Q210="","",
   SUMIFS(Admin!$D:$D,
          Admin!$A:$A,$A210,
          Admin!$B:$B,"Med B",
          Admin!$C:$C,"&gt;="&amp;Q210,
          Admin!$C:$C,"&lt;"&amp;EDATE(Q210,1))
)</f>
        <v/>
      </c>
      <c r="S210" s="12" t="str">
        <f t="shared" si="18"/>
        <v>Never took B</v>
      </c>
      <c r="T210" s="12" t="str">
        <f>IFERROR(
   AVERAGEIFS(
      Labs!$D:$D,
      Labs!$A:$A,$A210,
      Labs!$C:$C,"LAB B",
      Labs!$B:$B,"&lt;"&amp;$D210
   ),
   ""
)</f>
        <v/>
      </c>
      <c r="U210" s="12" t="str">
        <f>IFERROR(
   AVERAGEIFS(
      Labs!$D:$D,
      Labs!$A:$A,$A210,
      Labs!$C:$C,"LAB B",
      Labs!$B:$B,"&gt;="&amp;$D210
   ),
   ""
)</f>
        <v/>
      </c>
    </row>
    <row r="211" spans="1:21" ht="18.600000000000001" x14ac:dyDescent="0.25">
      <c r="A211" s="19">
        <v>96</v>
      </c>
      <c r="B211" s="20">
        <v>41097</v>
      </c>
      <c r="C211" s="20">
        <v>41158</v>
      </c>
      <c r="D211" s="20">
        <v>41165</v>
      </c>
      <c r="E211" s="20">
        <v>41228</v>
      </c>
      <c r="F211" s="12" t="str">
        <f t="shared" si="11"/>
        <v>Yes</v>
      </c>
      <c r="G211" s="12" t="str">
        <f t="shared" si="12"/>
        <v>No</v>
      </c>
      <c r="H211" s="12" t="str">
        <f t="shared" si="13"/>
        <v>Sep 2012</v>
      </c>
      <c r="I211" s="12">
        <f t="shared" si="14"/>
        <v>8.8571428571428577</v>
      </c>
      <c r="J211" s="12">
        <f t="shared" si="15"/>
        <v>2.0455295282085122</v>
      </c>
      <c r="K211" s="12">
        <f>SUMIFS(
  Admin!$D:$D,
  Admin!$A:$A, $A211,
  Admin!$B:$B, "Med A",
  Admin!$C:$C, "&gt;=" &amp; $B211,
  Admin!$C:$C, "&lt;=" &amp; $C211
)</f>
        <v>36900</v>
      </c>
      <c r="L211" s="12">
        <f t="shared" si="16"/>
        <v>18039.338709677417</v>
      </c>
      <c r="M211" s="12">
        <f>SUMIFS(Admin!$D:$D,Admin!$A:$A,$A211, Admin!$B:$B,"Med B")</f>
        <v>6</v>
      </c>
      <c r="N211" s="12">
        <f>COUNTIFS(Admin!$A:$A,$A211, Admin!$B:$B,"Med B")</f>
        <v>3</v>
      </c>
      <c r="O211" s="12">
        <f t="shared" si="10"/>
        <v>2</v>
      </c>
      <c r="P211" s="12">
        <f>IF(D211="", "Never took B",
   SUMIFS(Admin!$D:$D,
          Admin!$A:$A,$A211,
          Admin!$B:$B,"Med B",
          Admin!$C:$C,D211)
)</f>
        <v>4</v>
      </c>
      <c r="Q211" s="20">
        <f t="shared" si="17"/>
        <v>41183</v>
      </c>
      <c r="R211" s="12">
        <f>IF(Q211="","",
   SUMIFS(Admin!$D:$D,
          Admin!$A:$A,$A211,
          Admin!$B:$B,"Med B",
          Admin!$C:$C,"&gt;="&amp;Q211,
          Admin!$C:$C,"&lt;"&amp;EDATE(Q211,1))
)</f>
        <v>0</v>
      </c>
      <c r="S211" s="12" t="str">
        <f t="shared" si="18"/>
        <v>Lower</v>
      </c>
      <c r="T211" s="12">
        <f>IFERROR(
   AVERAGEIFS(
      Labs!$D:$D,
      Labs!$A:$A,$A211,
      Labs!$C:$C,"LAB B",
      Labs!$B:$B,"&lt;"&amp;$D211
   ),
   ""
)</f>
        <v>10.86</v>
      </c>
      <c r="U211" s="12">
        <f>IFERROR(
   AVERAGEIFS(
      Labs!$D:$D,
      Labs!$A:$A,$A211,
      Labs!$C:$C,"LAB B",
      Labs!$B:$B,"&gt;="&amp;$D211
   ),
   ""
)</f>
        <v>11.783333333333333</v>
      </c>
    </row>
    <row r="212" spans="1:21" ht="18.600000000000001" x14ac:dyDescent="0.25">
      <c r="A212" s="19">
        <v>97</v>
      </c>
      <c r="B212" s="20">
        <v>41124</v>
      </c>
      <c r="C212" s="20">
        <v>41157</v>
      </c>
      <c r="D212" s="20">
        <v>41164</v>
      </c>
      <c r="E212" s="20">
        <v>41192</v>
      </c>
      <c r="F212" s="12" t="str">
        <f t="shared" si="11"/>
        <v>Yes</v>
      </c>
      <c r="G212" s="12" t="str">
        <f t="shared" si="12"/>
        <v>No</v>
      </c>
      <c r="H212" s="12" t="str">
        <f t="shared" si="13"/>
        <v>Sep 2012</v>
      </c>
      <c r="I212" s="12">
        <f t="shared" si="14"/>
        <v>4.8571428571428568</v>
      </c>
      <c r="J212" s="12">
        <f t="shared" si="15"/>
        <v>1.1217419993401516</v>
      </c>
      <c r="K212" s="12">
        <f>SUMIFS(
  Admin!$D:$D,
  Admin!$A:$A, $A212,
  Admin!$B:$B, "Med A",
  Admin!$C:$C, "&gt;=" &amp; $B212,
  Admin!$C:$C, "&lt;=" &amp; $C212
)</f>
        <v>7200</v>
      </c>
      <c r="L212" s="12">
        <f t="shared" si="16"/>
        <v>6418.5882352941189</v>
      </c>
      <c r="M212" s="12">
        <f>SUMIFS(Admin!$D:$D,Admin!$A:$A,$A212, Admin!$B:$B,"Med B")</f>
        <v>6</v>
      </c>
      <c r="N212" s="12">
        <f>COUNTIFS(Admin!$A:$A,$A212, Admin!$B:$B,"Med B")</f>
        <v>2</v>
      </c>
      <c r="O212" s="12">
        <f t="shared" ref="O212:O243" si="19">IF(N212=0,"Never took B",M212/N212)</f>
        <v>3</v>
      </c>
      <c r="P212" s="12">
        <f>IF(D212="", "Never took B",
   SUMIFS(Admin!$D:$D,
          Admin!$A:$A,$A212,
          Admin!$B:$B,"Med B",
          Admin!$C:$C,D212)
)</f>
        <v>3</v>
      </c>
      <c r="Q212" s="20">
        <f t="shared" si="17"/>
        <v>41183</v>
      </c>
      <c r="R212" s="12">
        <f>IF(Q212="","",
   SUMIFS(Admin!$D:$D,
          Admin!$A:$A,$A212,
          Admin!$B:$B,"Med B",
          Admin!$C:$C,"&gt;="&amp;Q212,
          Admin!$C:$C,"&lt;"&amp;EDATE(Q212,1))
)</f>
        <v>3</v>
      </c>
      <c r="S212" s="12" t="str">
        <f t="shared" si="18"/>
        <v>Same</v>
      </c>
      <c r="T212" s="12">
        <f>IFERROR(
   AVERAGEIFS(
      Labs!$D:$D,
      Labs!$A:$A,$A212,
      Labs!$C:$C,"LAB B",
      Labs!$B:$B,"&lt;"&amp;$D212
   ),
   ""
)</f>
        <v>11.333333333333334</v>
      </c>
      <c r="U212" s="12">
        <f>IFERROR(
   AVERAGEIFS(
      Labs!$D:$D,
      Labs!$A:$A,$A212,
      Labs!$C:$C,"LAB B",
      Labs!$B:$B,"&gt;="&amp;$D212
   ),
   ""
)</f>
        <v>10.45</v>
      </c>
    </row>
    <row r="213" spans="1:21" ht="18.600000000000001" x14ac:dyDescent="0.25">
      <c r="A213" s="19">
        <v>98</v>
      </c>
      <c r="B213" s="20">
        <v>41095</v>
      </c>
      <c r="C213" s="20">
        <v>41158</v>
      </c>
      <c r="D213" s="20">
        <v>41179</v>
      </c>
      <c r="E213" s="20">
        <v>41228</v>
      </c>
      <c r="F213" s="12" t="str">
        <f t="shared" si="11"/>
        <v>Yes</v>
      </c>
      <c r="G213" s="12" t="str">
        <f t="shared" si="12"/>
        <v>No</v>
      </c>
      <c r="H213" s="12" t="str">
        <f t="shared" si="13"/>
        <v>Sep 2012</v>
      </c>
      <c r="I213" s="12">
        <f t="shared" si="14"/>
        <v>9.1428571428571423</v>
      </c>
      <c r="J213" s="12">
        <f t="shared" si="15"/>
        <v>2.1115143516991091</v>
      </c>
      <c r="K213" s="12">
        <f>SUMIFS(
  Admin!$D:$D,
  Admin!$A:$A, $A213,
  Admin!$B:$B, "Med A",
  Admin!$C:$C, "&gt;=" &amp; $B213,
  Admin!$C:$C, "&lt;=" &amp; $C213
)</f>
        <v>452000</v>
      </c>
      <c r="L213" s="12">
        <f t="shared" si="16"/>
        <v>214064.37500000003</v>
      </c>
      <c r="M213" s="12">
        <f>SUMIFS(Admin!$D:$D,Admin!$A:$A,$A213, Admin!$B:$B,"Med B")</f>
        <v>11</v>
      </c>
      <c r="N213" s="12">
        <f>COUNTIFS(Admin!$A:$A,$A213, Admin!$B:$B,"Med B")</f>
        <v>3</v>
      </c>
      <c r="O213" s="12">
        <f t="shared" si="19"/>
        <v>3.6666666666666665</v>
      </c>
      <c r="P213" s="12">
        <f>IF(D213="", "Never took B",
   SUMIFS(Admin!$D:$D,
          Admin!$A:$A,$A213,
          Admin!$B:$B,"Med B",
          Admin!$C:$C,D213)
)</f>
        <v>3</v>
      </c>
      <c r="Q213" s="20">
        <f t="shared" si="17"/>
        <v>41183</v>
      </c>
      <c r="R213" s="12">
        <f>IF(Q213="","",
   SUMIFS(Admin!$D:$D,
          Admin!$A:$A,$A213,
          Admin!$B:$B,"Med B",
          Admin!$C:$C,"&gt;="&amp;Q213,
          Admin!$C:$C,"&lt;"&amp;EDATE(Q213,1))
)</f>
        <v>3</v>
      </c>
      <c r="S213" s="12" t="str">
        <f t="shared" si="18"/>
        <v>Same</v>
      </c>
      <c r="T213" s="12">
        <f>IFERROR(
   AVERAGEIFS(
      Labs!$D:$D,
      Labs!$A:$A,$A213,
      Labs!$C:$C,"LAB B",
      Labs!$B:$B,"&lt;"&amp;$D213
   ),
   ""
)</f>
        <v>10.783333333333333</v>
      </c>
      <c r="U213" s="12">
        <f>IFERROR(
   AVERAGEIFS(
      Labs!$D:$D,
      Labs!$A:$A,$A213,
      Labs!$C:$C,"LAB B",
      Labs!$B:$B,"&gt;="&amp;$D213
   ),
   ""
)</f>
        <v>9.0599999999999987</v>
      </c>
    </row>
    <row r="214" spans="1:21" ht="18.600000000000001" x14ac:dyDescent="0.25">
      <c r="A214" s="19">
        <v>99</v>
      </c>
      <c r="B214" s="20">
        <v>41092</v>
      </c>
      <c r="C214" s="20">
        <v>41157</v>
      </c>
      <c r="D214" s="20">
        <v>41164</v>
      </c>
      <c r="E214" s="20">
        <v>41192</v>
      </c>
      <c r="F214" s="12" t="str">
        <f t="shared" si="11"/>
        <v>Yes</v>
      </c>
      <c r="G214" s="12" t="str">
        <f t="shared" si="12"/>
        <v>No</v>
      </c>
      <c r="H214" s="12" t="str">
        <f t="shared" si="13"/>
        <v>Sep 2012</v>
      </c>
      <c r="I214" s="12">
        <f t="shared" si="14"/>
        <v>9.4285714285714288</v>
      </c>
      <c r="J214" s="12">
        <f t="shared" si="15"/>
        <v>2.1774991751897064</v>
      </c>
      <c r="K214" s="12">
        <f>SUMIFS(
  Admin!$D:$D,
  Admin!$A:$A, $A214,
  Admin!$B:$B, "Med A",
  Admin!$C:$C, "&gt;=" &amp; $B214,
  Admin!$C:$C, "&lt;=" &amp; $C214
)</f>
        <v>97700</v>
      </c>
      <c r="L214" s="12">
        <f t="shared" si="16"/>
        <v>44867.984848484848</v>
      </c>
      <c r="M214" s="12">
        <f>SUMIFS(Admin!$D:$D,Admin!$A:$A,$A214, Admin!$B:$B,"Med B")</f>
        <v>12</v>
      </c>
      <c r="N214" s="12">
        <f>COUNTIFS(Admin!$A:$A,$A214, Admin!$B:$B,"Med B")</f>
        <v>2</v>
      </c>
      <c r="O214" s="12">
        <f t="shared" si="19"/>
        <v>6</v>
      </c>
      <c r="P214" s="12">
        <f>IF(D214="", "Never took B",
   SUMIFS(Admin!$D:$D,
          Admin!$A:$A,$A214,
          Admin!$B:$B,"Med B",
          Admin!$C:$C,D214)
)</f>
        <v>6</v>
      </c>
      <c r="Q214" s="20">
        <f t="shared" si="17"/>
        <v>41183</v>
      </c>
      <c r="R214" s="12">
        <f>IF(Q214="","",
   SUMIFS(Admin!$D:$D,
          Admin!$A:$A,$A214,
          Admin!$B:$B,"Med B",
          Admin!$C:$C,"&gt;="&amp;Q214,
          Admin!$C:$C,"&lt;"&amp;EDATE(Q214,1))
)</f>
        <v>6</v>
      </c>
      <c r="S214" s="12" t="str">
        <f t="shared" si="18"/>
        <v>Same</v>
      </c>
      <c r="T214" s="12">
        <f>IFERROR(
   AVERAGEIFS(
      Labs!$D:$D,
      Labs!$A:$A,$A214,
      Labs!$C:$C,"LAB B",
      Labs!$B:$B,"&lt;"&amp;$D214
   ),
   ""
)</f>
        <v>10.180000000000001</v>
      </c>
      <c r="U214" s="12">
        <f>IFERROR(
   AVERAGEIFS(
      Labs!$D:$D,
      Labs!$A:$A,$A214,
      Labs!$C:$C,"LAB B",
      Labs!$B:$B,"&gt;="&amp;$D214
   ),
   ""
)</f>
        <v>11.385714285714286</v>
      </c>
    </row>
    <row r="215" spans="1:21" ht="18.600000000000001" x14ac:dyDescent="0.25">
      <c r="A215" s="19">
        <v>100</v>
      </c>
      <c r="B215" s="20">
        <v>41093</v>
      </c>
      <c r="C215" s="20">
        <v>41158</v>
      </c>
      <c r="D215" s="20">
        <v>41165</v>
      </c>
      <c r="E215" s="20">
        <v>41228</v>
      </c>
      <c r="F215" s="12" t="str">
        <f t="shared" si="11"/>
        <v>Yes</v>
      </c>
      <c r="G215" s="12" t="str">
        <f t="shared" si="12"/>
        <v>No</v>
      </c>
      <c r="H215" s="12" t="str">
        <f t="shared" si="13"/>
        <v>Sep 2012</v>
      </c>
      <c r="I215" s="12">
        <f t="shared" si="14"/>
        <v>9.4285714285714288</v>
      </c>
      <c r="J215" s="12">
        <f t="shared" si="15"/>
        <v>2.1774991751897064</v>
      </c>
      <c r="K215" s="12">
        <f>SUMIFS(
  Admin!$D:$D,
  Admin!$A:$A, $A215,
  Admin!$B:$B, "Med A",
  Admin!$C:$C, "&gt;=" &amp; $B215,
  Admin!$C:$C, "&lt;=" &amp; $C215
)</f>
        <v>63200</v>
      </c>
      <c r="L215" s="12">
        <f t="shared" si="16"/>
        <v>29024.121212121212</v>
      </c>
      <c r="M215" s="12">
        <f>SUMIFS(Admin!$D:$D,Admin!$A:$A,$A215, Admin!$B:$B,"Med B")</f>
        <v>17</v>
      </c>
      <c r="N215" s="12">
        <f>COUNTIFS(Admin!$A:$A,$A215, Admin!$B:$B,"Med B")</f>
        <v>3</v>
      </c>
      <c r="O215" s="12">
        <f t="shared" si="19"/>
        <v>5.666666666666667</v>
      </c>
      <c r="P215" s="12">
        <f>IF(D215="", "Never took B",
   SUMIFS(Admin!$D:$D,
          Admin!$A:$A,$A215,
          Admin!$B:$B,"Med B",
          Admin!$C:$C,D215)
)</f>
        <v>6</v>
      </c>
      <c r="Q215" s="20">
        <f t="shared" si="17"/>
        <v>41183</v>
      </c>
      <c r="R215" s="12">
        <f>IF(Q215="","",
   SUMIFS(Admin!$D:$D,
          Admin!$A:$A,$A215,
          Admin!$B:$B,"Med B",
          Admin!$C:$C,"&gt;="&amp;Q215,
          Admin!$C:$C,"&lt;"&amp;EDATE(Q215,1))
)</f>
        <v>6</v>
      </c>
      <c r="S215" s="12" t="str">
        <f t="shared" si="18"/>
        <v>Same</v>
      </c>
      <c r="T215" s="12">
        <f>IFERROR(
   AVERAGEIFS(
      Labs!$D:$D,
      Labs!$A:$A,$A215,
      Labs!$C:$C,"LAB B",
      Labs!$B:$B,"&lt;"&amp;$D215
   ),
   ""
)</f>
        <v>9.7142857142857135</v>
      </c>
      <c r="U215" s="12">
        <f>IFERROR(
   AVERAGEIFS(
      Labs!$D:$D,
      Labs!$A:$A,$A215,
      Labs!$C:$C,"LAB B",
      Labs!$B:$B,"&gt;="&amp;$D215
   ),
   ""
)</f>
        <v>10.02</v>
      </c>
    </row>
    <row r="216" spans="1:21" ht="18.600000000000001" x14ac:dyDescent="0.25">
      <c r="A216" s="19">
        <v>101</v>
      </c>
      <c r="B216" s="20">
        <v>41093</v>
      </c>
      <c r="C216" s="20">
        <v>41156</v>
      </c>
      <c r="D216" s="20">
        <v>41166</v>
      </c>
      <c r="E216" s="20">
        <v>41229</v>
      </c>
      <c r="F216" s="12" t="str">
        <f t="shared" si="11"/>
        <v>Yes</v>
      </c>
      <c r="G216" s="12" t="str">
        <f t="shared" si="12"/>
        <v>No</v>
      </c>
      <c r="H216" s="12" t="str">
        <f t="shared" si="13"/>
        <v>Sep 2012</v>
      </c>
      <c r="I216" s="12">
        <f t="shared" si="14"/>
        <v>9.1428571428571423</v>
      </c>
      <c r="J216" s="12">
        <f t="shared" si="15"/>
        <v>2.1115143516991091</v>
      </c>
      <c r="K216" s="12">
        <f>SUMIFS(
  Admin!$D:$D,
  Admin!$A:$A, $A216,
  Admin!$B:$B, "Med A",
  Admin!$C:$C, "&gt;=" &amp; $B216,
  Admin!$C:$C, "&lt;=" &amp; $C216
)</f>
        <v>20700</v>
      </c>
      <c r="L216" s="12">
        <f t="shared" si="16"/>
        <v>9803.390625</v>
      </c>
      <c r="M216" s="12">
        <f>SUMIFS(Admin!$D:$D,Admin!$A:$A,$A216, Admin!$B:$B,"Med B")</f>
        <v>10</v>
      </c>
      <c r="N216" s="12">
        <f>COUNTIFS(Admin!$A:$A,$A216, Admin!$B:$B,"Med B")</f>
        <v>3</v>
      </c>
      <c r="O216" s="12">
        <f t="shared" si="19"/>
        <v>3.3333333333333335</v>
      </c>
      <c r="P216" s="12">
        <f>IF(D216="", "Never took B",
   SUMIFS(Admin!$D:$D,
          Admin!$A:$A,$A216,
          Admin!$B:$B,"Med B",
          Admin!$C:$C,D216)
)</f>
        <v>4</v>
      </c>
      <c r="Q216" s="20">
        <f t="shared" si="17"/>
        <v>41183</v>
      </c>
      <c r="R216" s="12">
        <f>IF(Q216="","",
   SUMIFS(Admin!$D:$D,
          Admin!$A:$A,$A216,
          Admin!$B:$B,"Med B",
          Admin!$C:$C,"&gt;="&amp;Q216,
          Admin!$C:$C,"&lt;"&amp;EDATE(Q216,1))
)</f>
        <v>3</v>
      </c>
      <c r="S216" s="12" t="str">
        <f t="shared" si="18"/>
        <v>Lower</v>
      </c>
      <c r="T216" s="12">
        <f>IFERROR(
   AVERAGEIFS(
      Labs!$D:$D,
      Labs!$A:$A,$A216,
      Labs!$C:$C,"LAB B",
      Labs!$B:$B,"&lt;"&amp;$D216
   ),
   ""
)</f>
        <v>9.9599999999999991</v>
      </c>
      <c r="U216" s="12">
        <f>IFERROR(
   AVERAGEIFS(
      Labs!$D:$D,
      Labs!$A:$A,$A216,
      Labs!$C:$C,"LAB B",
      Labs!$B:$B,"&gt;="&amp;$D216
   ),
   ""
)</f>
        <v>10.9</v>
      </c>
    </row>
    <row r="217" spans="1:21" ht="18.600000000000001" x14ac:dyDescent="0.25">
      <c r="A217" s="19">
        <v>102</v>
      </c>
      <c r="B217" s="20">
        <v>41243</v>
      </c>
      <c r="C217" s="20">
        <v>41243</v>
      </c>
      <c r="D217" s="20"/>
      <c r="E217" s="20"/>
      <c r="F217" s="12" t="str">
        <f t="shared" si="11"/>
        <v>No</v>
      </c>
      <c r="G217" s="12" t="str">
        <f t="shared" si="12"/>
        <v>No</v>
      </c>
      <c r="H217" s="12" t="str">
        <f t="shared" si="13"/>
        <v>Never Started B</v>
      </c>
      <c r="I217" s="12">
        <f t="shared" si="14"/>
        <v>0.14285714285714285</v>
      </c>
      <c r="J217" s="12">
        <f t="shared" si="15"/>
        <v>3.2992411745298579E-2</v>
      </c>
      <c r="K217" s="12">
        <f>SUMIFS(
  Admin!$D:$D,
  Admin!$A:$A, $A217,
  Admin!$B:$B, "Med A",
  Admin!$C:$C, "&gt;=" &amp; $B217,
  Admin!$C:$C, "&lt;=" &amp; $C217
)</f>
        <v>4900</v>
      </c>
      <c r="L217" s="12">
        <f t="shared" si="16"/>
        <v>4900</v>
      </c>
      <c r="M217" s="12">
        <f>SUMIFS(Admin!$D:$D,Admin!$A:$A,$A217, Admin!$B:$B,"Med B")</f>
        <v>0</v>
      </c>
      <c r="N217" s="12">
        <f>COUNTIFS(Admin!$A:$A,$A217, Admin!$B:$B,"Med B")</f>
        <v>0</v>
      </c>
      <c r="O217" s="12" t="str">
        <f t="shared" si="19"/>
        <v>Never took B</v>
      </c>
      <c r="P217" s="12" t="str">
        <f>IF(D217="", "Never took B",
   SUMIFS(Admin!$D:$D,
          Admin!$A:$A,$A217,
          Admin!$B:$B,"Med B",
          Admin!$C:$C,D217)
)</f>
        <v>Never took B</v>
      </c>
      <c r="Q217" s="20" t="str">
        <f t="shared" si="17"/>
        <v/>
      </c>
      <c r="R217" s="12" t="str">
        <f>IF(Q217="","",
   SUMIFS(Admin!$D:$D,
          Admin!$A:$A,$A217,
          Admin!$B:$B,"Med B",
          Admin!$C:$C,"&gt;="&amp;Q217,
          Admin!$C:$C,"&lt;"&amp;EDATE(Q217,1))
)</f>
        <v/>
      </c>
      <c r="S217" s="12" t="str">
        <f t="shared" si="18"/>
        <v>Never took B</v>
      </c>
      <c r="T217" s="12" t="str">
        <f>IFERROR(
   AVERAGEIFS(
      Labs!$D:$D,
      Labs!$A:$A,$A217,
      Labs!$C:$C,"LAB B",
      Labs!$B:$B,"&lt;"&amp;$D217
   ),
   ""
)</f>
        <v/>
      </c>
      <c r="U217" s="12" t="str">
        <f>IFERROR(
   AVERAGEIFS(
      Labs!$D:$D,
      Labs!$A:$A,$A217,
      Labs!$C:$C,"LAB B",
      Labs!$B:$B,"&gt;="&amp;$D217
   ),
   ""
)</f>
        <v/>
      </c>
    </row>
    <row r="218" spans="1:21" ht="18.600000000000001" x14ac:dyDescent="0.25">
      <c r="A218" s="19">
        <v>103</v>
      </c>
      <c r="B218" s="20">
        <v>41092</v>
      </c>
      <c r="C218" s="20">
        <v>41094</v>
      </c>
      <c r="D218" s="20"/>
      <c r="E218" s="20"/>
      <c r="F218" s="12" t="str">
        <f t="shared" si="11"/>
        <v>No</v>
      </c>
      <c r="G218" s="12" t="str">
        <f t="shared" si="12"/>
        <v>No</v>
      </c>
      <c r="H218" s="12" t="str">
        <f t="shared" si="13"/>
        <v>Never Started B</v>
      </c>
      <c r="I218" s="12">
        <f t="shared" si="14"/>
        <v>0.42857142857142855</v>
      </c>
      <c r="J218" s="12">
        <f t="shared" si="15"/>
        <v>9.897723523589573E-2</v>
      </c>
      <c r="K218" s="12">
        <f>SUMIFS(
  Admin!$D:$D,
  Admin!$A:$A, $A218,
  Admin!$B:$B, "Med A",
  Admin!$C:$C, "&gt;=" &amp; $B218,
  Admin!$C:$C, "&lt;=" &amp; $C218
)</f>
        <v>800</v>
      </c>
      <c r="L218" s="12">
        <f t="shared" si="16"/>
        <v>8082.6666666666679</v>
      </c>
      <c r="M218" s="12">
        <f>SUMIFS(Admin!$D:$D,Admin!$A:$A,$A218, Admin!$B:$B,"Med B")</f>
        <v>0</v>
      </c>
      <c r="N218" s="12">
        <f>COUNTIFS(Admin!$A:$A,$A218, Admin!$B:$B,"Med B")</f>
        <v>0</v>
      </c>
      <c r="O218" s="12" t="str">
        <f t="shared" si="19"/>
        <v>Never took B</v>
      </c>
      <c r="P218" s="12" t="str">
        <f>IF(D218="", "Never took B",
   SUMIFS(Admin!$D:$D,
          Admin!$A:$A,$A218,
          Admin!$B:$B,"Med B",
          Admin!$C:$C,D218)
)</f>
        <v>Never took B</v>
      </c>
      <c r="Q218" s="20" t="str">
        <f t="shared" si="17"/>
        <v/>
      </c>
      <c r="R218" s="12" t="str">
        <f>IF(Q218="","",
   SUMIFS(Admin!$D:$D,
          Admin!$A:$A,$A218,
          Admin!$B:$B,"Med B",
          Admin!$C:$C,"&gt;="&amp;Q218,
          Admin!$C:$C,"&lt;"&amp;EDATE(Q218,1))
)</f>
        <v/>
      </c>
      <c r="S218" s="12" t="str">
        <f t="shared" si="18"/>
        <v>Never took B</v>
      </c>
      <c r="T218" s="12" t="str">
        <f>IFERROR(
   AVERAGEIFS(
      Labs!$D:$D,
      Labs!$A:$A,$A218,
      Labs!$C:$C,"LAB B",
      Labs!$B:$B,"&lt;"&amp;$D218
   ),
   ""
)</f>
        <v/>
      </c>
      <c r="U218" s="12" t="str">
        <f>IFERROR(
   AVERAGEIFS(
      Labs!$D:$D,
      Labs!$A:$A,$A218,
      Labs!$C:$C,"LAB B",
      Labs!$B:$B,"&gt;="&amp;$D218
   ),
   ""
)</f>
        <v/>
      </c>
    </row>
    <row r="219" spans="1:21" ht="18.600000000000001" x14ac:dyDescent="0.25">
      <c r="A219" s="19">
        <v>104</v>
      </c>
      <c r="B219" s="20">
        <v>41093</v>
      </c>
      <c r="C219" s="20">
        <v>41158</v>
      </c>
      <c r="D219" s="20">
        <v>41165</v>
      </c>
      <c r="E219" s="20">
        <v>41193</v>
      </c>
      <c r="F219" s="12" t="str">
        <f t="shared" si="11"/>
        <v>Yes</v>
      </c>
      <c r="G219" s="12" t="str">
        <f t="shared" si="12"/>
        <v>No</v>
      </c>
      <c r="H219" s="12" t="str">
        <f t="shared" si="13"/>
        <v>Sep 2012</v>
      </c>
      <c r="I219" s="12">
        <f t="shared" si="14"/>
        <v>9.4285714285714288</v>
      </c>
      <c r="J219" s="12">
        <f t="shared" si="15"/>
        <v>2.1774991751897064</v>
      </c>
      <c r="K219" s="12">
        <f>SUMIFS(
  Admin!$D:$D,
  Admin!$A:$A, $A219,
  Admin!$B:$B, "Med A",
  Admin!$C:$C, "&gt;=" &amp; $B219,
  Admin!$C:$C, "&lt;=" &amp; $C219
)</f>
        <v>23200</v>
      </c>
      <c r="L219" s="12">
        <f t="shared" si="16"/>
        <v>10654.424242424242</v>
      </c>
      <c r="M219" s="12">
        <f>SUMIFS(Admin!$D:$D,Admin!$A:$A,$A219, Admin!$B:$B,"Med B")</f>
        <v>5</v>
      </c>
      <c r="N219" s="12">
        <f>COUNTIFS(Admin!$A:$A,$A219, Admin!$B:$B,"Med B")</f>
        <v>2</v>
      </c>
      <c r="O219" s="12">
        <f t="shared" si="19"/>
        <v>2.5</v>
      </c>
      <c r="P219" s="12">
        <f>IF(D219="", "Never took B",
   SUMIFS(Admin!$D:$D,
          Admin!$A:$A,$A219,
          Admin!$B:$B,"Med B",
          Admin!$C:$C,D219)
)</f>
        <v>3</v>
      </c>
      <c r="Q219" s="20">
        <f t="shared" si="17"/>
        <v>41183</v>
      </c>
      <c r="R219" s="12">
        <f>IF(Q219="","",
   SUMIFS(Admin!$D:$D,
          Admin!$A:$A,$A219,
          Admin!$B:$B,"Med B",
          Admin!$C:$C,"&gt;="&amp;Q219,
          Admin!$C:$C,"&lt;"&amp;EDATE(Q219,1))
)</f>
        <v>2</v>
      </c>
      <c r="S219" s="12" t="str">
        <f t="shared" si="18"/>
        <v>Lower</v>
      </c>
      <c r="T219" s="12">
        <f>IFERROR(
   AVERAGEIFS(
      Labs!$D:$D,
      Labs!$A:$A,$A219,
      Labs!$C:$C,"LAB B",
      Labs!$B:$B,"&lt;"&amp;$D219
   ),
   ""
)</f>
        <v>10.983333333333334</v>
      </c>
      <c r="U219" s="12">
        <f>IFERROR(
   AVERAGEIFS(
      Labs!$D:$D,
      Labs!$A:$A,$A219,
      Labs!$C:$C,"LAB B",
      Labs!$B:$B,"&gt;="&amp;$D219
   ),
   ""
)</f>
        <v>11.066666666666668</v>
      </c>
    </row>
    <row r="220" spans="1:21" ht="18.600000000000001" x14ac:dyDescent="0.25">
      <c r="A220" s="19">
        <v>105</v>
      </c>
      <c r="B220" s="20">
        <v>41127</v>
      </c>
      <c r="C220" s="20">
        <v>41157</v>
      </c>
      <c r="D220" s="20">
        <v>41164</v>
      </c>
      <c r="E220" s="20">
        <v>41228</v>
      </c>
      <c r="F220" s="12" t="str">
        <f t="shared" si="11"/>
        <v>Yes</v>
      </c>
      <c r="G220" s="12" t="str">
        <f t="shared" si="12"/>
        <v>No</v>
      </c>
      <c r="H220" s="12" t="str">
        <f t="shared" si="13"/>
        <v>Sep 2012</v>
      </c>
      <c r="I220" s="12">
        <f t="shared" si="14"/>
        <v>4.4285714285714288</v>
      </c>
      <c r="J220" s="12">
        <f t="shared" si="15"/>
        <v>1.0227647641042561</v>
      </c>
      <c r="K220" s="12">
        <f>SUMIFS(
  Admin!$D:$D,
  Admin!$A:$A, $A220,
  Admin!$B:$B, "Med A",
  Admin!$C:$C, "&gt;=" &amp; $B220,
  Admin!$C:$C, "&lt;=" &amp; $C220
)</f>
        <v>65700</v>
      </c>
      <c r="L220" s="12">
        <f t="shared" si="16"/>
        <v>64237.645161290318</v>
      </c>
      <c r="M220" s="12">
        <f>SUMIFS(Admin!$D:$D,Admin!$A:$A,$A220, Admin!$B:$B,"Med B")</f>
        <v>36</v>
      </c>
      <c r="N220" s="12">
        <f>COUNTIFS(Admin!$A:$A,$A220, Admin!$B:$B,"Med B")</f>
        <v>3</v>
      </c>
      <c r="O220" s="12">
        <f t="shared" si="19"/>
        <v>12</v>
      </c>
      <c r="P220" s="12">
        <f>IF(D220="", "Never took B",
   SUMIFS(Admin!$D:$D,
          Admin!$A:$A,$A220,
          Admin!$B:$B,"Med B",
          Admin!$C:$C,D220)
)</f>
        <v>10</v>
      </c>
      <c r="Q220" s="20">
        <f t="shared" si="17"/>
        <v>41183</v>
      </c>
      <c r="R220" s="12">
        <f>IF(Q220="","",
   SUMIFS(Admin!$D:$D,
          Admin!$A:$A,$A220,
          Admin!$B:$B,"Med B",
          Admin!$C:$C,"&gt;="&amp;Q220,
          Admin!$C:$C,"&lt;"&amp;EDATE(Q220,1))
)</f>
        <v>0</v>
      </c>
      <c r="S220" s="12" t="str">
        <f t="shared" si="18"/>
        <v>Lower</v>
      </c>
      <c r="T220" s="12">
        <f>IFERROR(
   AVERAGEIFS(
      Labs!$D:$D,
      Labs!$A:$A,$A220,
      Labs!$C:$C,"LAB B",
      Labs!$B:$B,"&lt;"&amp;$D220
   ),
   ""
)</f>
        <v>10.585714285714287</v>
      </c>
      <c r="U220" s="12">
        <f>IFERROR(
   AVERAGEIFS(
      Labs!$D:$D,
      Labs!$A:$A,$A220,
      Labs!$C:$C,"LAB B",
      Labs!$B:$B,"&gt;="&amp;$D220
   ),
   ""
)</f>
        <v>10.028571428571428</v>
      </c>
    </row>
    <row r="221" spans="1:21" ht="18.600000000000001" x14ac:dyDescent="0.25">
      <c r="A221" s="19">
        <v>106</v>
      </c>
      <c r="B221" s="20">
        <v>41092</v>
      </c>
      <c r="C221" s="20">
        <v>41158</v>
      </c>
      <c r="D221" s="20">
        <v>41165</v>
      </c>
      <c r="E221" s="20">
        <v>41228</v>
      </c>
      <c r="F221" s="12" t="str">
        <f t="shared" si="11"/>
        <v>Yes</v>
      </c>
      <c r="G221" s="12" t="str">
        <f t="shared" si="12"/>
        <v>No</v>
      </c>
      <c r="H221" s="12" t="str">
        <f t="shared" si="13"/>
        <v>Sep 2012</v>
      </c>
      <c r="I221" s="12">
        <f t="shared" si="14"/>
        <v>9.5714285714285712</v>
      </c>
      <c r="J221" s="12">
        <f t="shared" si="15"/>
        <v>2.2104915869350048</v>
      </c>
      <c r="K221" s="12">
        <f>SUMIFS(
  Admin!$D:$D,
  Admin!$A:$A, $A221,
  Admin!$B:$B, "Med A",
  Admin!$C:$C, "&gt;=" &amp; $B221,
  Admin!$C:$C, "&lt;=" &amp; $C221
)</f>
        <v>188200</v>
      </c>
      <c r="L221" s="12">
        <f t="shared" si="16"/>
        <v>85139.432835820902</v>
      </c>
      <c r="M221" s="12">
        <f>SUMIFS(Admin!$D:$D,Admin!$A:$A,$A221, Admin!$B:$B,"Med B")</f>
        <v>39</v>
      </c>
      <c r="N221" s="12">
        <f>COUNTIFS(Admin!$A:$A,$A221, Admin!$B:$B,"Med B")</f>
        <v>3</v>
      </c>
      <c r="O221" s="12">
        <f t="shared" si="19"/>
        <v>13</v>
      </c>
      <c r="P221" s="12">
        <f>IF(D221="", "Never took B",
   SUMIFS(Admin!$D:$D,
          Admin!$A:$A,$A221,
          Admin!$B:$B,"Med B",
          Admin!$C:$C,D221)
)</f>
        <v>13</v>
      </c>
      <c r="Q221" s="20">
        <f t="shared" si="17"/>
        <v>41183</v>
      </c>
      <c r="R221" s="12">
        <f>IF(Q221="","",
   SUMIFS(Admin!$D:$D,
          Admin!$A:$A,$A221,
          Admin!$B:$B,"Med B",
          Admin!$C:$C,"&gt;="&amp;Q221,
          Admin!$C:$C,"&lt;"&amp;EDATE(Q221,1))
)</f>
        <v>13</v>
      </c>
      <c r="S221" s="12" t="str">
        <f t="shared" si="18"/>
        <v>Same</v>
      </c>
      <c r="T221" s="12">
        <f>IFERROR(
   AVERAGEIFS(
      Labs!$D:$D,
      Labs!$A:$A,$A221,
      Labs!$C:$C,"LAB B",
      Labs!$B:$B,"&lt;"&amp;$D221
   ),
   ""
)</f>
        <v>8.66</v>
      </c>
      <c r="U221" s="12">
        <f>IFERROR(
   AVERAGEIFS(
      Labs!$D:$D,
      Labs!$A:$A,$A221,
      Labs!$C:$C,"LAB B",
      Labs!$B:$B,"&gt;="&amp;$D221
   ),
   ""
)</f>
        <v>9.64</v>
      </c>
    </row>
    <row r="222" spans="1:21" ht="18.600000000000001" x14ac:dyDescent="0.25">
      <c r="A222" s="19">
        <v>107</v>
      </c>
      <c r="B222" s="20">
        <v>41097</v>
      </c>
      <c r="C222" s="20">
        <v>41097</v>
      </c>
      <c r="D222" s="20"/>
      <c r="E222" s="20"/>
      <c r="F222" s="12" t="str">
        <f t="shared" si="11"/>
        <v>No</v>
      </c>
      <c r="G222" s="12" t="str">
        <f t="shared" si="12"/>
        <v>No</v>
      </c>
      <c r="H222" s="12" t="str">
        <f t="shared" si="13"/>
        <v>Never Started B</v>
      </c>
      <c r="I222" s="12">
        <f t="shared" si="14"/>
        <v>0.14285714285714285</v>
      </c>
      <c r="J222" s="12">
        <f t="shared" si="15"/>
        <v>3.2992411745298579E-2</v>
      </c>
      <c r="K222" s="12">
        <f>SUMIFS(
  Admin!$D:$D,
  Admin!$A:$A, $A222,
  Admin!$B:$B, "Med A",
  Admin!$C:$C, "&gt;=" &amp; $B222,
  Admin!$C:$C, "&lt;=" &amp; $C222
)</f>
        <v>4400</v>
      </c>
      <c r="L222" s="12">
        <f t="shared" si="16"/>
        <v>4400</v>
      </c>
      <c r="M222" s="12">
        <f>SUMIFS(Admin!$D:$D,Admin!$A:$A,$A222, Admin!$B:$B,"Med B")</f>
        <v>0</v>
      </c>
      <c r="N222" s="12">
        <f>COUNTIFS(Admin!$A:$A,$A222, Admin!$B:$B,"Med B")</f>
        <v>0</v>
      </c>
      <c r="O222" s="12" t="str">
        <f t="shared" si="19"/>
        <v>Never took B</v>
      </c>
      <c r="P222" s="12" t="str">
        <f>IF(D222="", "Never took B",
   SUMIFS(Admin!$D:$D,
          Admin!$A:$A,$A222,
          Admin!$B:$B,"Med B",
          Admin!$C:$C,D222)
)</f>
        <v>Never took B</v>
      </c>
      <c r="Q222" s="20" t="str">
        <f t="shared" si="17"/>
        <v/>
      </c>
      <c r="R222" s="12" t="str">
        <f>IF(Q222="","",
   SUMIFS(Admin!$D:$D,
          Admin!$A:$A,$A222,
          Admin!$B:$B,"Med B",
          Admin!$C:$C,"&gt;="&amp;Q222,
          Admin!$C:$C,"&lt;"&amp;EDATE(Q222,1))
)</f>
        <v/>
      </c>
      <c r="S222" s="12" t="str">
        <f t="shared" si="18"/>
        <v>Never took B</v>
      </c>
      <c r="T222" s="12" t="str">
        <f>IFERROR(
   AVERAGEIFS(
      Labs!$D:$D,
      Labs!$A:$A,$A222,
      Labs!$C:$C,"LAB B",
      Labs!$B:$B,"&lt;"&amp;$D222
   ),
   ""
)</f>
        <v/>
      </c>
      <c r="U222" s="12" t="str">
        <f>IFERROR(
   AVERAGEIFS(
      Labs!$D:$D,
      Labs!$A:$A,$A222,
      Labs!$C:$C,"LAB B",
      Labs!$B:$B,"&gt;="&amp;$D222
   ),
   ""
)</f>
        <v/>
      </c>
    </row>
    <row r="223" spans="1:21" ht="18.600000000000001" x14ac:dyDescent="0.25">
      <c r="A223" s="19">
        <v>108</v>
      </c>
      <c r="B223" s="20">
        <v>41093</v>
      </c>
      <c r="C223" s="20">
        <v>41144</v>
      </c>
      <c r="D223" s="20">
        <v>41193</v>
      </c>
      <c r="E223" s="20">
        <v>41244</v>
      </c>
      <c r="F223" s="12" t="str">
        <f t="shared" si="11"/>
        <v>Yes</v>
      </c>
      <c r="G223" s="12" t="str">
        <f t="shared" si="12"/>
        <v>No</v>
      </c>
      <c r="H223" s="12" t="str">
        <f t="shared" si="13"/>
        <v>Oct 2012</v>
      </c>
      <c r="I223" s="12">
        <f t="shared" si="14"/>
        <v>7.4285714285714288</v>
      </c>
      <c r="J223" s="12">
        <f t="shared" si="15"/>
        <v>1.7156054107555263</v>
      </c>
      <c r="K223" s="12">
        <f>SUMIFS(
  Admin!$D:$D,
  Admin!$A:$A, $A223,
  Admin!$B:$B, "Med A",
  Admin!$C:$C, "&gt;=" &amp; $B223,
  Admin!$C:$C, "&lt;=" &amp; $C223
)</f>
        <v>67400</v>
      </c>
      <c r="L223" s="12">
        <f t="shared" si="16"/>
        <v>39286.423076923078</v>
      </c>
      <c r="M223" s="12">
        <f>SUMIFS(Admin!$D:$D,Admin!$A:$A,$A223, Admin!$B:$B,"Med B")</f>
        <v>2</v>
      </c>
      <c r="N223" s="12">
        <f>COUNTIFS(Admin!$A:$A,$A223, Admin!$B:$B,"Med B")</f>
        <v>2</v>
      </c>
      <c r="O223" s="12">
        <f t="shared" si="19"/>
        <v>1</v>
      </c>
      <c r="P223" s="12">
        <f>IF(D223="", "Never took B",
   SUMIFS(Admin!$D:$D,
          Admin!$A:$A,$A223,
          Admin!$B:$B,"Med B",
          Admin!$C:$C,D223)
)</f>
        <v>1</v>
      </c>
      <c r="Q223" s="20">
        <f t="shared" si="17"/>
        <v>41214</v>
      </c>
      <c r="R223" s="12">
        <f>IF(Q223="","",
   SUMIFS(Admin!$D:$D,
          Admin!$A:$A,$A223,
          Admin!$B:$B,"Med B",
          Admin!$C:$C,"&gt;="&amp;Q223,
          Admin!$C:$C,"&lt;"&amp;EDATE(Q223,1))
)</f>
        <v>0</v>
      </c>
      <c r="S223" s="12" t="str">
        <f t="shared" si="18"/>
        <v>Lower</v>
      </c>
      <c r="T223" s="12">
        <f>IFERROR(
   AVERAGEIFS(
      Labs!$D:$D,
      Labs!$A:$A,$A223,
      Labs!$C:$C,"LAB B",
      Labs!$B:$B,"&lt;"&amp;$D223
   ),
   ""
)</f>
        <v>11.049999999999999</v>
      </c>
      <c r="U223" s="12">
        <f>IFERROR(
   AVERAGEIFS(
      Labs!$D:$D,
      Labs!$A:$A,$A223,
      Labs!$C:$C,"LAB B",
      Labs!$B:$B,"&gt;="&amp;$D223
   ),
   ""
)</f>
        <v>10.100000000000001</v>
      </c>
    </row>
    <row r="224" spans="1:21" ht="18.600000000000001" x14ac:dyDescent="0.25">
      <c r="A224" s="19">
        <v>109</v>
      </c>
      <c r="B224" s="20">
        <v>41092</v>
      </c>
      <c r="C224" s="20">
        <v>41094</v>
      </c>
      <c r="D224" s="20">
        <v>41178</v>
      </c>
      <c r="E224" s="20">
        <v>41227</v>
      </c>
      <c r="F224" s="12" t="str">
        <f t="shared" si="11"/>
        <v>Yes</v>
      </c>
      <c r="G224" s="12" t="str">
        <f t="shared" si="12"/>
        <v>No</v>
      </c>
      <c r="H224" s="12" t="str">
        <f t="shared" si="13"/>
        <v>Sep 2012</v>
      </c>
      <c r="I224" s="12">
        <f t="shared" si="14"/>
        <v>0.42857142857142855</v>
      </c>
      <c r="J224" s="12">
        <f t="shared" si="15"/>
        <v>9.897723523589573E-2</v>
      </c>
      <c r="K224" s="12">
        <f>SUMIFS(
  Admin!$D:$D,
  Admin!$A:$A, $A224,
  Admin!$B:$B, "Med A",
  Admin!$C:$C, "&gt;=" &amp; $B224,
  Admin!$C:$C, "&lt;=" &amp; $C224
)</f>
        <v>400</v>
      </c>
      <c r="L224" s="12">
        <f t="shared" si="16"/>
        <v>4041.3333333333339</v>
      </c>
      <c r="M224" s="12">
        <f>SUMIFS(Admin!$D:$D,Admin!$A:$A,$A224, Admin!$B:$B,"Med B")</f>
        <v>6</v>
      </c>
      <c r="N224" s="12">
        <f>COUNTIFS(Admin!$A:$A,$A224, Admin!$B:$B,"Med B")</f>
        <v>3</v>
      </c>
      <c r="O224" s="12">
        <f t="shared" si="19"/>
        <v>2</v>
      </c>
      <c r="P224" s="12">
        <f>IF(D224="", "Never took B",
   SUMIFS(Admin!$D:$D,
          Admin!$A:$A,$A224,
          Admin!$B:$B,"Med B",
          Admin!$C:$C,D224)
)</f>
        <v>1</v>
      </c>
      <c r="Q224" s="20">
        <f t="shared" si="17"/>
        <v>41183</v>
      </c>
      <c r="R224" s="12">
        <f>IF(Q224="","",
   SUMIFS(Admin!$D:$D,
          Admin!$A:$A,$A224,
          Admin!$B:$B,"Med B",
          Admin!$C:$C,"&gt;="&amp;Q224,
          Admin!$C:$C,"&lt;"&amp;EDATE(Q224,1))
)</f>
        <v>2</v>
      </c>
      <c r="S224" s="12" t="str">
        <f t="shared" si="18"/>
        <v>Higher</v>
      </c>
      <c r="T224" s="12">
        <f>IFERROR(
   AVERAGEIFS(
      Labs!$D:$D,
      Labs!$A:$A,$A224,
      Labs!$C:$C,"LAB B",
      Labs!$B:$B,"&lt;"&amp;$D224
   ),
   ""
)</f>
        <v>12.411111111111111</v>
      </c>
      <c r="U224" s="12">
        <f>IFERROR(
   AVERAGEIFS(
      Labs!$D:$D,
      Labs!$A:$A,$A224,
      Labs!$C:$C,"LAB B",
      Labs!$B:$B,"&gt;="&amp;$D224
   ),
   ""
)</f>
        <v>10.34</v>
      </c>
    </row>
    <row r="225" spans="1:21" ht="18.600000000000001" x14ac:dyDescent="0.25">
      <c r="A225" s="19">
        <v>110</v>
      </c>
      <c r="B225" s="20">
        <v>41093</v>
      </c>
      <c r="C225" s="20">
        <v>41158</v>
      </c>
      <c r="D225" s="20">
        <v>41165</v>
      </c>
      <c r="E225" s="20">
        <v>41234</v>
      </c>
      <c r="F225" s="12" t="str">
        <f t="shared" si="11"/>
        <v>Yes</v>
      </c>
      <c r="G225" s="12" t="str">
        <f t="shared" si="12"/>
        <v>No</v>
      </c>
      <c r="H225" s="12" t="str">
        <f t="shared" si="13"/>
        <v>Sep 2012</v>
      </c>
      <c r="I225" s="12">
        <f t="shared" si="14"/>
        <v>9.4285714285714288</v>
      </c>
      <c r="J225" s="12">
        <f t="shared" si="15"/>
        <v>2.1774991751897064</v>
      </c>
      <c r="K225" s="12">
        <f>SUMIFS(
  Admin!$D:$D,
  Admin!$A:$A, $A225,
  Admin!$B:$B, "Med A",
  Admin!$C:$C, "&gt;=" &amp; $B225,
  Admin!$C:$C, "&lt;=" &amp; $C225
)</f>
        <v>149600</v>
      </c>
      <c r="L225" s="12">
        <f t="shared" si="16"/>
        <v>68702.666666666672</v>
      </c>
      <c r="M225" s="12">
        <f>SUMIFS(Admin!$D:$D,Admin!$A:$A,$A225, Admin!$B:$B,"Med B")</f>
        <v>26</v>
      </c>
      <c r="N225" s="12">
        <f>COUNTIFS(Admin!$A:$A,$A225, Admin!$B:$B,"Med B")</f>
        <v>3</v>
      </c>
      <c r="O225" s="12">
        <f t="shared" si="19"/>
        <v>8.6666666666666661</v>
      </c>
      <c r="P225" s="12">
        <f>IF(D225="", "Never took B",
   SUMIFS(Admin!$D:$D,
          Admin!$A:$A,$A225,
          Admin!$B:$B,"Med B",
          Admin!$C:$C,D225)
)</f>
        <v>8</v>
      </c>
      <c r="Q225" s="20">
        <f t="shared" si="17"/>
        <v>41183</v>
      </c>
      <c r="R225" s="12">
        <f>IF(Q225="","",
   SUMIFS(Admin!$D:$D,
          Admin!$A:$A,$A225,
          Admin!$B:$B,"Med B",
          Admin!$C:$C,"&gt;="&amp;Q225,
          Admin!$C:$C,"&lt;"&amp;EDATE(Q225,1))
)</f>
        <v>8</v>
      </c>
      <c r="S225" s="12" t="str">
        <f t="shared" si="18"/>
        <v>Same</v>
      </c>
      <c r="T225" s="12">
        <f>IFERROR(
   AVERAGEIFS(
      Labs!$D:$D,
      Labs!$A:$A,$A225,
      Labs!$C:$C,"LAB B",
      Labs!$B:$B,"&lt;"&amp;$D225
   ),
   ""
)</f>
        <v>10.459999999999999</v>
      </c>
      <c r="U225" s="12">
        <f>IFERROR(
   AVERAGEIFS(
      Labs!$D:$D,
      Labs!$A:$A,$A225,
      Labs!$C:$C,"LAB B",
      Labs!$B:$B,"&gt;="&amp;$D225
   ),
   ""
)</f>
        <v>10.25</v>
      </c>
    </row>
    <row r="226" spans="1:21" ht="18.600000000000001" x14ac:dyDescent="0.25">
      <c r="A226" s="19">
        <v>111</v>
      </c>
      <c r="B226" s="20">
        <v>41093</v>
      </c>
      <c r="C226" s="20">
        <v>41158</v>
      </c>
      <c r="D226" s="20">
        <v>41193</v>
      </c>
      <c r="E226" s="20">
        <v>41228</v>
      </c>
      <c r="F226" s="12" t="str">
        <f t="shared" si="11"/>
        <v>Yes</v>
      </c>
      <c r="G226" s="12" t="str">
        <f t="shared" si="12"/>
        <v>No</v>
      </c>
      <c r="H226" s="12" t="str">
        <f t="shared" si="13"/>
        <v>Oct 2012</v>
      </c>
      <c r="I226" s="12">
        <f t="shared" si="14"/>
        <v>9.4285714285714288</v>
      </c>
      <c r="J226" s="12">
        <f t="shared" si="15"/>
        <v>2.1774991751897064</v>
      </c>
      <c r="K226" s="12">
        <f>SUMIFS(
  Admin!$D:$D,
  Admin!$A:$A, $A226,
  Admin!$B:$B, "Med A",
  Admin!$C:$C, "&gt;=" &amp; $B226,
  Admin!$C:$C, "&lt;=" &amp; $C226
)</f>
        <v>12100</v>
      </c>
      <c r="L226" s="12">
        <f t="shared" si="16"/>
        <v>5556.833333333333</v>
      </c>
      <c r="M226" s="12">
        <f>SUMIFS(Admin!$D:$D,Admin!$A:$A,$A226, Admin!$B:$B,"Med B")</f>
        <v>7</v>
      </c>
      <c r="N226" s="12">
        <f>COUNTIFS(Admin!$A:$A,$A226, Admin!$B:$B,"Med B")</f>
        <v>2</v>
      </c>
      <c r="O226" s="12">
        <f t="shared" si="19"/>
        <v>3.5</v>
      </c>
      <c r="P226" s="12">
        <f>IF(D226="", "Never took B",
   SUMIFS(Admin!$D:$D,
          Admin!$A:$A,$A226,
          Admin!$B:$B,"Med B",
          Admin!$C:$C,D226)
)</f>
        <v>4</v>
      </c>
      <c r="Q226" s="20">
        <f t="shared" si="17"/>
        <v>41214</v>
      </c>
      <c r="R226" s="12">
        <f>IF(Q226="","",
   SUMIFS(Admin!$D:$D,
          Admin!$A:$A,$A226,
          Admin!$B:$B,"Med B",
          Admin!$C:$C,"&gt;="&amp;Q226,
          Admin!$C:$C,"&lt;"&amp;EDATE(Q226,1))
)</f>
        <v>3</v>
      </c>
      <c r="S226" s="12" t="str">
        <f t="shared" si="18"/>
        <v>Lower</v>
      </c>
      <c r="T226" s="12">
        <f>IFERROR(
   AVERAGEIFS(
      Labs!$D:$D,
      Labs!$A:$A,$A226,
      Labs!$C:$C,"LAB B",
      Labs!$B:$B,"&lt;"&amp;$D226
   ),
   ""
)</f>
        <v>11.174999999999997</v>
      </c>
      <c r="U226" s="12">
        <f>IFERROR(
   AVERAGEIFS(
      Labs!$D:$D,
      Labs!$A:$A,$A226,
      Labs!$C:$C,"LAB B",
      Labs!$B:$B,"&gt;="&amp;$D226
   ),
   ""
)</f>
        <v>10.833333333333334</v>
      </c>
    </row>
    <row r="227" spans="1:21" ht="18.600000000000001" x14ac:dyDescent="0.25">
      <c r="A227" s="19">
        <v>112</v>
      </c>
      <c r="B227" s="20">
        <v>41092</v>
      </c>
      <c r="C227" s="20">
        <v>41157</v>
      </c>
      <c r="D227" s="20">
        <v>41164</v>
      </c>
      <c r="E227" s="20">
        <v>41227</v>
      </c>
      <c r="F227" s="12" t="str">
        <f t="shared" si="11"/>
        <v>Yes</v>
      </c>
      <c r="G227" s="12" t="str">
        <f t="shared" si="12"/>
        <v>No</v>
      </c>
      <c r="H227" s="12" t="str">
        <f t="shared" si="13"/>
        <v>Sep 2012</v>
      </c>
      <c r="I227" s="12">
        <f t="shared" si="14"/>
        <v>9.4285714285714288</v>
      </c>
      <c r="J227" s="12">
        <f t="shared" si="15"/>
        <v>2.1774991751897064</v>
      </c>
      <c r="K227" s="12">
        <f>SUMIFS(
  Admin!$D:$D,
  Admin!$A:$A, $A227,
  Admin!$B:$B, "Med A",
  Admin!$C:$C, "&gt;=" &amp; $B227,
  Admin!$C:$C, "&lt;=" &amp; $C227
)</f>
        <v>69000</v>
      </c>
      <c r="L227" s="12">
        <f t="shared" si="16"/>
        <v>31687.727272727272</v>
      </c>
      <c r="M227" s="12">
        <f>SUMIFS(Admin!$D:$D,Admin!$A:$A,$A227, Admin!$B:$B,"Med B")</f>
        <v>7</v>
      </c>
      <c r="N227" s="12">
        <f>COUNTIFS(Admin!$A:$A,$A227, Admin!$B:$B,"Med B")</f>
        <v>2</v>
      </c>
      <c r="O227" s="12">
        <f t="shared" si="19"/>
        <v>3.5</v>
      </c>
      <c r="P227" s="12">
        <f>IF(D227="", "Never took B",
   SUMIFS(Admin!$D:$D,
          Admin!$A:$A,$A227,
          Admin!$B:$B,"Med B",
          Admin!$C:$C,D227)
)</f>
        <v>5</v>
      </c>
      <c r="Q227" s="20">
        <f t="shared" si="17"/>
        <v>41183</v>
      </c>
      <c r="R227" s="12">
        <f>IF(Q227="","",
   SUMIFS(Admin!$D:$D,
          Admin!$A:$A,$A227,
          Admin!$B:$B,"Med B",
          Admin!$C:$C,"&gt;="&amp;Q227,
          Admin!$C:$C,"&lt;"&amp;EDATE(Q227,1))
)</f>
        <v>0</v>
      </c>
      <c r="S227" s="12" t="str">
        <f t="shared" si="18"/>
        <v>Lower</v>
      </c>
      <c r="T227" s="12">
        <f>IFERROR(
   AVERAGEIFS(
      Labs!$D:$D,
      Labs!$A:$A,$A227,
      Labs!$C:$C,"LAB B",
      Labs!$B:$B,"&lt;"&amp;$D227
   ),
   ""
)</f>
        <v>11.233333333333334</v>
      </c>
      <c r="U227" s="12">
        <f>IFERROR(
   AVERAGEIFS(
      Labs!$D:$D,
      Labs!$A:$A,$A227,
      Labs!$C:$C,"LAB B",
      Labs!$B:$B,"&gt;="&amp;$D227
   ),
   ""
)</f>
        <v>10.916666666666666</v>
      </c>
    </row>
    <row r="228" spans="1:21" ht="18.600000000000001" x14ac:dyDescent="0.25">
      <c r="A228" s="19">
        <v>113</v>
      </c>
      <c r="B228" s="20">
        <v>41097</v>
      </c>
      <c r="C228" s="20">
        <v>41158</v>
      </c>
      <c r="D228" s="20">
        <v>41165</v>
      </c>
      <c r="E228" s="20">
        <v>41228</v>
      </c>
      <c r="F228" s="12" t="str">
        <f t="shared" si="11"/>
        <v>Yes</v>
      </c>
      <c r="G228" s="12" t="str">
        <f t="shared" si="12"/>
        <v>No</v>
      </c>
      <c r="H228" s="12" t="str">
        <f t="shared" si="13"/>
        <v>Sep 2012</v>
      </c>
      <c r="I228" s="12">
        <f t="shared" si="14"/>
        <v>8.8571428571428577</v>
      </c>
      <c r="J228" s="12">
        <f t="shared" si="15"/>
        <v>2.0455295282085122</v>
      </c>
      <c r="K228" s="12">
        <f>SUMIFS(
  Admin!$D:$D,
  Admin!$A:$A, $A228,
  Admin!$B:$B, "Med A",
  Admin!$C:$C, "&gt;=" &amp; $B228,
  Admin!$C:$C, "&lt;=" &amp; $C228
)</f>
        <v>230400</v>
      </c>
      <c r="L228" s="12">
        <f t="shared" si="16"/>
        <v>112635.87096774192</v>
      </c>
      <c r="M228" s="12">
        <f>SUMIFS(Admin!$D:$D,Admin!$A:$A,$A228, Admin!$B:$B,"Med B")</f>
        <v>30</v>
      </c>
      <c r="N228" s="12">
        <f>COUNTIFS(Admin!$A:$A,$A228, Admin!$B:$B,"Med B")</f>
        <v>3</v>
      </c>
      <c r="O228" s="12">
        <f t="shared" si="19"/>
        <v>10</v>
      </c>
      <c r="P228" s="12">
        <f>IF(D228="", "Never took B",
   SUMIFS(Admin!$D:$D,
          Admin!$A:$A,$A228,
          Admin!$B:$B,"Med B",
          Admin!$C:$C,D228)
)</f>
        <v>10</v>
      </c>
      <c r="Q228" s="20">
        <f t="shared" si="17"/>
        <v>41183</v>
      </c>
      <c r="R228" s="12">
        <f>IF(Q228="","",
   SUMIFS(Admin!$D:$D,
          Admin!$A:$A,$A228,
          Admin!$B:$B,"Med B",
          Admin!$C:$C,"&gt;="&amp;Q228,
          Admin!$C:$C,"&lt;"&amp;EDATE(Q228,1))
)</f>
        <v>10</v>
      </c>
      <c r="S228" s="12" t="str">
        <f t="shared" si="18"/>
        <v>Same</v>
      </c>
      <c r="T228" s="12">
        <f>IFERROR(
   AVERAGEIFS(
      Labs!$D:$D,
      Labs!$A:$A,$A228,
      Labs!$C:$C,"LAB B",
      Labs!$B:$B,"&lt;"&amp;$D228
   ),
   ""
)</f>
        <v>10.540000000000001</v>
      </c>
      <c r="U228" s="12">
        <f>IFERROR(
   AVERAGEIFS(
      Labs!$D:$D,
      Labs!$A:$A,$A228,
      Labs!$C:$C,"LAB B",
      Labs!$B:$B,"&gt;="&amp;$D228
   ),
   ""
)</f>
        <v>9.5</v>
      </c>
    </row>
    <row r="229" spans="1:21" ht="18.600000000000001" x14ac:dyDescent="0.25">
      <c r="A229" s="19">
        <v>114</v>
      </c>
      <c r="B229" s="20">
        <v>41093</v>
      </c>
      <c r="C229" s="20">
        <v>41158</v>
      </c>
      <c r="D229" s="20">
        <v>41166</v>
      </c>
      <c r="E229" s="20">
        <v>41228</v>
      </c>
      <c r="F229" s="12" t="str">
        <f t="shared" si="11"/>
        <v>Yes</v>
      </c>
      <c r="G229" s="12" t="str">
        <f t="shared" si="12"/>
        <v>No</v>
      </c>
      <c r="H229" s="12" t="str">
        <f t="shared" si="13"/>
        <v>Sep 2012</v>
      </c>
      <c r="I229" s="12">
        <f t="shared" si="14"/>
        <v>9.4285714285714288</v>
      </c>
      <c r="J229" s="12">
        <f t="shared" si="15"/>
        <v>2.1774991751897064</v>
      </c>
      <c r="K229" s="12">
        <f>SUMIFS(
  Admin!$D:$D,
  Admin!$A:$A, $A229,
  Admin!$B:$B, "Med A",
  Admin!$C:$C, "&gt;=" &amp; $B229,
  Admin!$C:$C, "&lt;=" &amp; $C229
)</f>
        <v>111300</v>
      </c>
      <c r="L229" s="12">
        <f t="shared" si="16"/>
        <v>51113.681818181816</v>
      </c>
      <c r="M229" s="12">
        <f>SUMIFS(Admin!$D:$D,Admin!$A:$A,$A229, Admin!$B:$B,"Med B")</f>
        <v>24</v>
      </c>
      <c r="N229" s="12">
        <f>COUNTIFS(Admin!$A:$A,$A229, Admin!$B:$B,"Med B")</f>
        <v>3</v>
      </c>
      <c r="O229" s="12">
        <f t="shared" si="19"/>
        <v>8</v>
      </c>
      <c r="P229" s="12">
        <f>IF(D229="", "Never took B",
   SUMIFS(Admin!$D:$D,
          Admin!$A:$A,$A229,
          Admin!$B:$B,"Med B",
          Admin!$C:$C,D229)
)</f>
        <v>8</v>
      </c>
      <c r="Q229" s="20">
        <f t="shared" si="17"/>
        <v>41183</v>
      </c>
      <c r="R229" s="12">
        <f>IF(Q229="","",
   SUMIFS(Admin!$D:$D,
          Admin!$A:$A,$A229,
          Admin!$B:$B,"Med B",
          Admin!$C:$C,"&gt;="&amp;Q229,
          Admin!$C:$C,"&lt;"&amp;EDATE(Q229,1))
)</f>
        <v>8</v>
      </c>
      <c r="S229" s="12" t="str">
        <f t="shared" si="18"/>
        <v>Same</v>
      </c>
      <c r="T229" s="12">
        <f>IFERROR(
   AVERAGEIFS(
      Labs!$D:$D,
      Labs!$A:$A,$A229,
      Labs!$C:$C,"LAB B",
      Labs!$B:$B,"&lt;"&amp;$D229
   ),
   ""
)</f>
        <v>10.420000000000002</v>
      </c>
      <c r="U229" s="12">
        <f>IFERROR(
   AVERAGEIFS(
      Labs!$D:$D,
      Labs!$A:$A,$A229,
      Labs!$C:$C,"LAB B",
      Labs!$B:$B,"&gt;="&amp;$D229
   ),
   ""
)</f>
        <v>10.366666666666667</v>
      </c>
    </row>
    <row r="230" spans="1:21" ht="18.600000000000001" x14ac:dyDescent="0.25">
      <c r="A230" s="19">
        <v>115</v>
      </c>
      <c r="B230" s="20">
        <v>41092</v>
      </c>
      <c r="C230" s="20">
        <v>41103</v>
      </c>
      <c r="D230" s="20"/>
      <c r="E230" s="20"/>
      <c r="F230" s="12" t="str">
        <f t="shared" si="11"/>
        <v>No</v>
      </c>
      <c r="G230" s="12" t="str">
        <f t="shared" si="12"/>
        <v>No</v>
      </c>
      <c r="H230" s="12" t="str">
        <f t="shared" si="13"/>
        <v>Never Started B</v>
      </c>
      <c r="I230" s="12">
        <f t="shared" si="14"/>
        <v>1.7142857142857142</v>
      </c>
      <c r="J230" s="12">
        <f t="shared" si="15"/>
        <v>0.39590894094358292</v>
      </c>
      <c r="K230" s="12">
        <f>SUMIFS(
  Admin!$D:$D,
  Admin!$A:$A, $A230,
  Admin!$B:$B, "Med A",
  Admin!$C:$C, "&gt;=" &amp; $B230,
  Admin!$C:$C, "&lt;=" &amp; $C230
)</f>
        <v>34800</v>
      </c>
      <c r="L230" s="12">
        <f t="shared" si="16"/>
        <v>87899.000000000015</v>
      </c>
      <c r="M230" s="12">
        <f>SUMIFS(Admin!$D:$D,Admin!$A:$A,$A230, Admin!$B:$B,"Med B")</f>
        <v>0</v>
      </c>
      <c r="N230" s="12">
        <f>COUNTIFS(Admin!$A:$A,$A230, Admin!$B:$B,"Med B")</f>
        <v>0</v>
      </c>
      <c r="O230" s="12" t="str">
        <f t="shared" si="19"/>
        <v>Never took B</v>
      </c>
      <c r="P230" s="12" t="str">
        <f>IF(D230="", "Never took B",
   SUMIFS(Admin!$D:$D,
          Admin!$A:$A,$A230,
          Admin!$B:$B,"Med B",
          Admin!$C:$C,D230)
)</f>
        <v>Never took B</v>
      </c>
      <c r="Q230" s="20" t="str">
        <f t="shared" si="17"/>
        <v/>
      </c>
      <c r="R230" s="12" t="str">
        <f>IF(Q230="","",
   SUMIFS(Admin!$D:$D,
          Admin!$A:$A,$A230,
          Admin!$B:$B,"Med B",
          Admin!$C:$C,"&gt;="&amp;Q230,
          Admin!$C:$C,"&lt;"&amp;EDATE(Q230,1))
)</f>
        <v/>
      </c>
      <c r="S230" s="12" t="str">
        <f t="shared" si="18"/>
        <v>Never took B</v>
      </c>
      <c r="T230" s="12" t="str">
        <f>IFERROR(
   AVERAGEIFS(
      Labs!$D:$D,
      Labs!$A:$A,$A230,
      Labs!$C:$C,"LAB B",
      Labs!$B:$B,"&lt;"&amp;$D230
   ),
   ""
)</f>
        <v/>
      </c>
      <c r="U230" s="12" t="str">
        <f>IFERROR(
   AVERAGEIFS(
      Labs!$D:$D,
      Labs!$A:$A,$A230,
      Labs!$C:$C,"LAB B",
      Labs!$B:$B,"&gt;="&amp;$D230
   ),
   ""
)</f>
        <v/>
      </c>
    </row>
    <row r="231" spans="1:21" ht="18.600000000000001" x14ac:dyDescent="0.25">
      <c r="A231" s="19">
        <v>116</v>
      </c>
      <c r="B231" s="20">
        <v>41092</v>
      </c>
      <c r="C231" s="20">
        <v>41155</v>
      </c>
      <c r="D231" s="20">
        <v>41164</v>
      </c>
      <c r="E231" s="20">
        <v>41227</v>
      </c>
      <c r="F231" s="12" t="str">
        <f t="shared" si="11"/>
        <v>Yes</v>
      </c>
      <c r="G231" s="12" t="str">
        <f t="shared" si="12"/>
        <v>No</v>
      </c>
      <c r="H231" s="12" t="str">
        <f t="shared" si="13"/>
        <v>Sep 2012</v>
      </c>
      <c r="I231" s="12">
        <f t="shared" si="14"/>
        <v>9.1428571428571423</v>
      </c>
      <c r="J231" s="12">
        <f t="shared" si="15"/>
        <v>2.1115143516991091</v>
      </c>
      <c r="K231" s="12">
        <f>SUMIFS(
  Admin!$D:$D,
  Admin!$A:$A, $A231,
  Admin!$B:$B, "Med A",
  Admin!$C:$C, "&gt;=" &amp; $B231,
  Admin!$C:$C, "&lt;=" &amp; $C231
)</f>
        <v>58100</v>
      </c>
      <c r="L231" s="12">
        <f t="shared" si="16"/>
        <v>27515.796875000004</v>
      </c>
      <c r="M231" s="12">
        <f>SUMIFS(Admin!$D:$D,Admin!$A:$A,$A231, Admin!$B:$B,"Med B")</f>
        <v>13</v>
      </c>
      <c r="N231" s="12">
        <f>COUNTIFS(Admin!$A:$A,$A231, Admin!$B:$B,"Med B")</f>
        <v>2</v>
      </c>
      <c r="O231" s="12">
        <f t="shared" si="19"/>
        <v>6.5</v>
      </c>
      <c r="P231" s="12">
        <f>IF(D231="", "Never took B",
   SUMIFS(Admin!$D:$D,
          Admin!$A:$A,$A231,
          Admin!$B:$B,"Med B",
          Admin!$C:$C,D231)
)</f>
        <v>5</v>
      </c>
      <c r="Q231" s="20">
        <f t="shared" si="17"/>
        <v>41183</v>
      </c>
      <c r="R231" s="12">
        <f>IF(Q231="","",
   SUMIFS(Admin!$D:$D,
          Admin!$A:$A,$A231,
          Admin!$B:$B,"Med B",
          Admin!$C:$C,"&gt;="&amp;Q231,
          Admin!$C:$C,"&lt;"&amp;EDATE(Q231,1))
)</f>
        <v>0</v>
      </c>
      <c r="S231" s="12" t="str">
        <f t="shared" si="18"/>
        <v>Lower</v>
      </c>
      <c r="T231" s="12">
        <f>IFERROR(
   AVERAGEIFS(
      Labs!$D:$D,
      Labs!$A:$A,$A231,
      Labs!$C:$C,"LAB B",
      Labs!$B:$B,"&lt;"&amp;$D231
   ),
   ""
)</f>
        <v>10.75</v>
      </c>
      <c r="U231" s="12">
        <f>IFERROR(
   AVERAGEIFS(
      Labs!$D:$D,
      Labs!$A:$A,$A231,
      Labs!$C:$C,"LAB B",
      Labs!$B:$B,"&gt;="&amp;$D231
   ),
   ""
)</f>
        <v>10.316666666666668</v>
      </c>
    </row>
    <row r="232" spans="1:21" ht="18.600000000000001" x14ac:dyDescent="0.25">
      <c r="A232" s="19">
        <v>117</v>
      </c>
      <c r="B232" s="20">
        <v>41092</v>
      </c>
      <c r="C232" s="20">
        <v>41157</v>
      </c>
      <c r="D232" s="20">
        <v>41164</v>
      </c>
      <c r="E232" s="20">
        <v>41241</v>
      </c>
      <c r="F232" s="12" t="str">
        <f t="shared" si="11"/>
        <v>Yes</v>
      </c>
      <c r="G232" s="12" t="str">
        <f t="shared" si="12"/>
        <v>No</v>
      </c>
      <c r="H232" s="12" t="str">
        <f t="shared" si="13"/>
        <v>Sep 2012</v>
      </c>
      <c r="I232" s="12">
        <f t="shared" si="14"/>
        <v>9.4285714285714288</v>
      </c>
      <c r="J232" s="12">
        <f t="shared" si="15"/>
        <v>2.1774991751897064</v>
      </c>
      <c r="K232" s="12">
        <f>SUMIFS(
  Admin!$D:$D,
  Admin!$A:$A, $A232,
  Admin!$B:$B, "Med A",
  Admin!$C:$C, "&gt;=" &amp; $B232,
  Admin!$C:$C, "&lt;=" &amp; $C232
)</f>
        <v>429300</v>
      </c>
      <c r="L232" s="12">
        <f t="shared" si="16"/>
        <v>197152.77272727274</v>
      </c>
      <c r="M232" s="12">
        <f>SUMIFS(Admin!$D:$D,Admin!$A:$A,$A232, Admin!$B:$B,"Med B")</f>
        <v>23</v>
      </c>
      <c r="N232" s="12">
        <f>COUNTIFS(Admin!$A:$A,$A232, Admin!$B:$B,"Med B")</f>
        <v>2</v>
      </c>
      <c r="O232" s="12">
        <f t="shared" si="19"/>
        <v>11.5</v>
      </c>
      <c r="P232" s="12">
        <f>IF(D232="", "Never took B",
   SUMIFS(Admin!$D:$D,
          Admin!$A:$A,$A232,
          Admin!$B:$B,"Med B",
          Admin!$C:$C,D232)
)</f>
        <v>20</v>
      </c>
      <c r="Q232" s="20">
        <f t="shared" si="17"/>
        <v>41183</v>
      </c>
      <c r="R232" s="12">
        <f>IF(Q232="","",
   SUMIFS(Admin!$D:$D,
          Admin!$A:$A,$A232,
          Admin!$B:$B,"Med B",
          Admin!$C:$C,"&gt;="&amp;Q232,
          Admin!$C:$C,"&lt;"&amp;EDATE(Q232,1))
)</f>
        <v>0</v>
      </c>
      <c r="S232" s="12" t="str">
        <f t="shared" si="18"/>
        <v>Lower</v>
      </c>
      <c r="T232" s="12">
        <f>IFERROR(
   AVERAGEIFS(
      Labs!$D:$D,
      Labs!$A:$A,$A232,
      Labs!$C:$C,"LAB B",
      Labs!$B:$B,"&lt;"&amp;$D232
   ),
   ""
)</f>
        <v>8.15</v>
      </c>
      <c r="U232" s="12">
        <f>IFERROR(
   AVERAGEIFS(
      Labs!$D:$D,
      Labs!$A:$A,$A232,
      Labs!$C:$C,"LAB B",
      Labs!$B:$B,"&gt;="&amp;$D232
   ),
   ""
)</f>
        <v>10.488888888888889</v>
      </c>
    </row>
    <row r="233" spans="1:21" ht="18.600000000000001" x14ac:dyDescent="0.25">
      <c r="A233" s="19">
        <v>118</v>
      </c>
      <c r="B233" s="20">
        <v>41093</v>
      </c>
      <c r="C233" s="20">
        <v>41158</v>
      </c>
      <c r="D233" s="20">
        <v>41165</v>
      </c>
      <c r="E233" s="20">
        <v>41165</v>
      </c>
      <c r="F233" s="12" t="str">
        <f t="shared" si="11"/>
        <v>Yes</v>
      </c>
      <c r="G233" s="12" t="str">
        <f t="shared" si="12"/>
        <v>No</v>
      </c>
      <c r="H233" s="12" t="str">
        <f t="shared" si="13"/>
        <v>Sep 2012</v>
      </c>
      <c r="I233" s="12">
        <f t="shared" si="14"/>
        <v>9.4285714285714288</v>
      </c>
      <c r="J233" s="12">
        <f t="shared" si="15"/>
        <v>2.1774991751897064</v>
      </c>
      <c r="K233" s="12">
        <f>SUMIFS(
  Admin!$D:$D,
  Admin!$A:$A, $A233,
  Admin!$B:$B, "Med A",
  Admin!$C:$C, "&gt;=" &amp; $B233,
  Admin!$C:$C, "&lt;=" &amp; $C233
)</f>
        <v>14800</v>
      </c>
      <c r="L233" s="12">
        <f t="shared" si="16"/>
        <v>6796.787878787879</v>
      </c>
      <c r="M233" s="12">
        <f>SUMIFS(Admin!$D:$D,Admin!$A:$A,$A233, Admin!$B:$B,"Med B")</f>
        <v>2</v>
      </c>
      <c r="N233" s="12">
        <f>COUNTIFS(Admin!$A:$A,$A233, Admin!$B:$B,"Med B")</f>
        <v>1</v>
      </c>
      <c r="O233" s="12">
        <f t="shared" si="19"/>
        <v>2</v>
      </c>
      <c r="P233" s="12">
        <f>IF(D233="", "Never took B",
   SUMIFS(Admin!$D:$D,
          Admin!$A:$A,$A233,
          Admin!$B:$B,"Med B",
          Admin!$C:$C,D233)
)</f>
        <v>2</v>
      </c>
      <c r="Q233" s="20">
        <f t="shared" si="17"/>
        <v>41183</v>
      </c>
      <c r="R233" s="12">
        <f>IF(Q233="","",
   SUMIFS(Admin!$D:$D,
          Admin!$A:$A,$A233,
          Admin!$B:$B,"Med B",
          Admin!$C:$C,"&gt;="&amp;Q233,
          Admin!$C:$C,"&lt;"&amp;EDATE(Q233,1))
)</f>
        <v>0</v>
      </c>
      <c r="S233" s="12" t="str">
        <f t="shared" si="18"/>
        <v>Lower</v>
      </c>
      <c r="T233" s="12">
        <f>IFERROR(
   AVERAGEIFS(
      Labs!$D:$D,
      Labs!$A:$A,$A233,
      Labs!$C:$C,"LAB B",
      Labs!$B:$B,"&lt;"&amp;$D233
   ),
   ""
)</f>
        <v>11.516666666666666</v>
      </c>
      <c r="U233" s="12" t="str">
        <f>IFERROR(
   AVERAGEIFS(
      Labs!$D:$D,
      Labs!$A:$A,$A233,
      Labs!$C:$C,"LAB B",
      Labs!$B:$B,"&gt;="&amp;$D233
   ),
   ""
)</f>
        <v/>
      </c>
    </row>
    <row r="234" spans="1:21" ht="18.600000000000001" x14ac:dyDescent="0.25">
      <c r="A234" s="19">
        <v>119</v>
      </c>
      <c r="B234" s="20">
        <v>41093</v>
      </c>
      <c r="C234" s="20">
        <v>41158</v>
      </c>
      <c r="D234" s="20">
        <v>41165</v>
      </c>
      <c r="E234" s="20">
        <v>41242</v>
      </c>
      <c r="F234" s="12" t="str">
        <f t="shared" si="11"/>
        <v>Yes</v>
      </c>
      <c r="G234" s="12" t="str">
        <f t="shared" si="12"/>
        <v>No</v>
      </c>
      <c r="H234" s="12" t="str">
        <f t="shared" si="13"/>
        <v>Sep 2012</v>
      </c>
      <c r="I234" s="12">
        <f t="shared" si="14"/>
        <v>9.4285714285714288</v>
      </c>
      <c r="J234" s="12">
        <f t="shared" si="15"/>
        <v>2.1774991751897064</v>
      </c>
      <c r="K234" s="12">
        <f>SUMIFS(
  Admin!$D:$D,
  Admin!$A:$A, $A234,
  Admin!$B:$B, "Med A",
  Admin!$C:$C, "&gt;=" &amp; $B234,
  Admin!$C:$C, "&lt;=" &amp; $C234
)</f>
        <v>82900</v>
      </c>
      <c r="L234" s="12">
        <f t="shared" si="16"/>
        <v>38071.196969696968</v>
      </c>
      <c r="M234" s="12">
        <f>SUMIFS(Admin!$D:$D,Admin!$A:$A,$A234, Admin!$B:$B,"Med B")</f>
        <v>20</v>
      </c>
      <c r="N234" s="12">
        <f>COUNTIFS(Admin!$A:$A,$A234, Admin!$B:$B,"Med B")</f>
        <v>3</v>
      </c>
      <c r="O234" s="12">
        <f t="shared" si="19"/>
        <v>6.666666666666667</v>
      </c>
      <c r="P234" s="12">
        <f>IF(D234="", "Never took B",
   SUMIFS(Admin!$D:$D,
          Admin!$A:$A,$A234,
          Admin!$B:$B,"Med B",
          Admin!$C:$C,D234)
)</f>
        <v>8</v>
      </c>
      <c r="Q234" s="20">
        <f t="shared" si="17"/>
        <v>41183</v>
      </c>
      <c r="R234" s="12">
        <f>IF(Q234="","",
   SUMIFS(Admin!$D:$D,
          Admin!$A:$A,$A234,
          Admin!$B:$B,"Med B",
          Admin!$C:$C,"&gt;="&amp;Q234,
          Admin!$C:$C,"&lt;"&amp;EDATE(Q234,1))
)</f>
        <v>8</v>
      </c>
      <c r="S234" s="12" t="str">
        <f t="shared" si="18"/>
        <v>Same</v>
      </c>
      <c r="T234" s="12">
        <f>IFERROR(
   AVERAGEIFS(
      Labs!$D:$D,
      Labs!$A:$A,$A234,
      Labs!$C:$C,"LAB B",
      Labs!$B:$B,"&lt;"&amp;$D234
   ),
   ""
)</f>
        <v>9.4599999999999991</v>
      </c>
      <c r="U234" s="12">
        <f>IFERROR(
   AVERAGEIFS(
      Labs!$D:$D,
      Labs!$A:$A,$A234,
      Labs!$C:$C,"LAB B",
      Labs!$B:$B,"&gt;="&amp;$D234
   ),
   ""
)</f>
        <v>10.283333333333333</v>
      </c>
    </row>
    <row r="235" spans="1:21" ht="18.600000000000001" x14ac:dyDescent="0.25">
      <c r="A235" s="19">
        <v>120</v>
      </c>
      <c r="B235" s="20"/>
      <c r="C235" s="20"/>
      <c r="D235" s="20">
        <v>41192</v>
      </c>
      <c r="E235" s="20">
        <v>41241</v>
      </c>
      <c r="F235" s="12" t="str">
        <f t="shared" si="11"/>
        <v>No</v>
      </c>
      <c r="G235" s="12" t="str">
        <f t="shared" si="12"/>
        <v>Yes</v>
      </c>
      <c r="H235" s="12" t="str">
        <f t="shared" si="13"/>
        <v>Oct 2012</v>
      </c>
      <c r="I235" s="12" t="str">
        <f t="shared" si="14"/>
        <v/>
      </c>
      <c r="J235" s="12" t="str">
        <f t="shared" si="15"/>
        <v/>
      </c>
      <c r="K235" s="12">
        <f>SUMIFS(
  Admin!$D:$D,
  Admin!$A:$A, $A235,
  Admin!$B:$B, "Med A",
  Admin!$C:$C, "&gt;=" &amp; $B235,
  Admin!$C:$C, "&lt;=" &amp; $C235
)</f>
        <v>0</v>
      </c>
      <c r="L235" s="12" t="str">
        <f t="shared" si="16"/>
        <v>Never took A</v>
      </c>
      <c r="M235" s="12">
        <f>SUMIFS(Admin!$D:$D,Admin!$A:$A,$A235, Admin!$B:$B,"Med B")</f>
        <v>14</v>
      </c>
      <c r="N235" s="12">
        <f>COUNTIFS(Admin!$A:$A,$A235, Admin!$B:$B,"Med B")</f>
        <v>2</v>
      </c>
      <c r="O235" s="12">
        <f t="shared" si="19"/>
        <v>7</v>
      </c>
      <c r="P235" s="12">
        <f>IF(D235="", "Never took B",
   SUMIFS(Admin!$D:$D,
          Admin!$A:$A,$A235,
          Admin!$B:$B,"Med B",
          Admin!$C:$C,D235)
)</f>
        <v>6</v>
      </c>
      <c r="Q235" s="20">
        <f t="shared" si="17"/>
        <v>41214</v>
      </c>
      <c r="R235" s="12">
        <f>IF(Q235="","",
   SUMIFS(Admin!$D:$D,
          Admin!$A:$A,$A235,
          Admin!$B:$B,"Med B",
          Admin!$C:$C,"&gt;="&amp;Q235,
          Admin!$C:$C,"&lt;"&amp;EDATE(Q235,1))
)</f>
        <v>8</v>
      </c>
      <c r="S235" s="12" t="str">
        <f t="shared" si="18"/>
        <v>Higher</v>
      </c>
      <c r="T235" s="12">
        <f>IFERROR(
   AVERAGEIFS(
      Labs!$D:$D,
      Labs!$A:$A,$A235,
      Labs!$C:$C,"LAB B",
      Labs!$B:$B,"&lt;"&amp;$D235
   ),
   ""
)</f>
        <v>10.033333333333333</v>
      </c>
      <c r="U235" s="12">
        <f>IFERROR(
   AVERAGEIFS(
      Labs!$D:$D,
      Labs!$A:$A,$A235,
      Labs!$C:$C,"LAB B",
      Labs!$B:$B,"&gt;="&amp;$D235
   ),
   ""
)</f>
        <v>9.5</v>
      </c>
    </row>
    <row r="236" spans="1:21" ht="18.600000000000001" x14ac:dyDescent="0.25">
      <c r="A236" s="19">
        <v>121</v>
      </c>
      <c r="B236" s="20">
        <v>41096</v>
      </c>
      <c r="C236" s="20">
        <v>41125</v>
      </c>
      <c r="D236" s="20">
        <v>41194</v>
      </c>
      <c r="E236" s="20">
        <v>41194</v>
      </c>
      <c r="F236" s="12" t="str">
        <f t="shared" si="11"/>
        <v>Yes</v>
      </c>
      <c r="G236" s="12" t="str">
        <f t="shared" si="12"/>
        <v>No</v>
      </c>
      <c r="H236" s="12" t="str">
        <f t="shared" si="13"/>
        <v>Oct 2012</v>
      </c>
      <c r="I236" s="12">
        <f t="shared" si="14"/>
        <v>4.2857142857142856</v>
      </c>
      <c r="J236" s="12">
        <f t="shared" si="15"/>
        <v>0.98977235235895744</v>
      </c>
      <c r="K236" s="12">
        <f>SUMIFS(
  Admin!$D:$D,
  Admin!$A:$A, $A236,
  Admin!$B:$B, "Med A",
  Admin!$C:$C, "&gt;=" &amp; $B236,
  Admin!$C:$C, "&lt;=" &amp; $C236
)</f>
        <v>38500</v>
      </c>
      <c r="L236" s="12">
        <f t="shared" si="16"/>
        <v>38897.833333333336</v>
      </c>
      <c r="M236" s="12">
        <f>SUMIFS(Admin!$D:$D,Admin!$A:$A,$A236, Admin!$B:$B,"Med B")</f>
        <v>5</v>
      </c>
      <c r="N236" s="12">
        <f>COUNTIFS(Admin!$A:$A,$A236, Admin!$B:$B,"Med B")</f>
        <v>1</v>
      </c>
      <c r="O236" s="12">
        <f t="shared" si="19"/>
        <v>5</v>
      </c>
      <c r="P236" s="12">
        <f>IF(D236="", "Never took B",
   SUMIFS(Admin!$D:$D,
          Admin!$A:$A,$A236,
          Admin!$B:$B,"Med B",
          Admin!$C:$C,D236)
)</f>
        <v>5</v>
      </c>
      <c r="Q236" s="20">
        <f t="shared" si="17"/>
        <v>41214</v>
      </c>
      <c r="R236" s="12">
        <f>IF(Q236="","",
   SUMIFS(Admin!$D:$D,
          Admin!$A:$A,$A236,
          Admin!$B:$B,"Med B",
          Admin!$C:$C,"&gt;="&amp;Q236,
          Admin!$C:$C,"&lt;"&amp;EDATE(Q236,1))
)</f>
        <v>0</v>
      </c>
      <c r="S236" s="12" t="str">
        <f t="shared" si="18"/>
        <v>Lower</v>
      </c>
      <c r="T236" s="12">
        <f>IFERROR(
   AVERAGEIFS(
      Labs!$D:$D,
      Labs!$A:$A,$A236,
      Labs!$C:$C,"LAB B",
      Labs!$B:$B,"&lt;"&amp;$D236
   ),
   ""
)</f>
        <v>12.022222222222224</v>
      </c>
      <c r="U236" s="12">
        <f>IFERROR(
   AVERAGEIFS(
      Labs!$D:$D,
      Labs!$A:$A,$A236,
      Labs!$C:$C,"LAB B",
      Labs!$B:$B,"&gt;="&amp;$D236
   ),
   ""
)</f>
        <v>11.774999999999999</v>
      </c>
    </row>
    <row r="237" spans="1:21" ht="18.600000000000001" x14ac:dyDescent="0.25">
      <c r="A237" s="19">
        <v>122</v>
      </c>
      <c r="B237" s="20">
        <v>41101</v>
      </c>
      <c r="C237" s="20">
        <v>41157</v>
      </c>
      <c r="D237" s="20">
        <v>41164</v>
      </c>
      <c r="E237" s="20">
        <v>41227</v>
      </c>
      <c r="F237" s="12" t="str">
        <f t="shared" si="11"/>
        <v>Yes</v>
      </c>
      <c r="G237" s="12" t="str">
        <f t="shared" si="12"/>
        <v>No</v>
      </c>
      <c r="H237" s="12" t="str">
        <f t="shared" si="13"/>
        <v>Sep 2012</v>
      </c>
      <c r="I237" s="12">
        <f t="shared" si="14"/>
        <v>8.1428571428571423</v>
      </c>
      <c r="J237" s="12">
        <f t="shared" si="15"/>
        <v>1.8805674694820189</v>
      </c>
      <c r="K237" s="12">
        <f>SUMIFS(
  Admin!$D:$D,
  Admin!$A:$A, $A237,
  Admin!$B:$B, "Med A",
  Admin!$C:$C, "&gt;=" &amp; $B237,
  Admin!$C:$C, "&lt;=" &amp; $C237
)</f>
        <v>218000</v>
      </c>
      <c r="L237" s="12">
        <f t="shared" si="16"/>
        <v>115922.45614035089</v>
      </c>
      <c r="M237" s="12">
        <f>SUMIFS(Admin!$D:$D,Admin!$A:$A,$A237, Admin!$B:$B,"Med B")</f>
        <v>17</v>
      </c>
      <c r="N237" s="12">
        <f>COUNTIFS(Admin!$A:$A,$A237, Admin!$B:$B,"Med B")</f>
        <v>2</v>
      </c>
      <c r="O237" s="12">
        <f t="shared" si="19"/>
        <v>8.5</v>
      </c>
      <c r="P237" s="12">
        <f>IF(D237="", "Never took B",
   SUMIFS(Admin!$D:$D,
          Admin!$A:$A,$A237,
          Admin!$B:$B,"Med B",
          Admin!$C:$C,D237)
)</f>
        <v>16</v>
      </c>
      <c r="Q237" s="20">
        <f t="shared" si="17"/>
        <v>41183</v>
      </c>
      <c r="R237" s="12">
        <f>IF(Q237="","",
   SUMIFS(Admin!$D:$D,
          Admin!$A:$A,$A237,
          Admin!$B:$B,"Med B",
          Admin!$C:$C,"&gt;="&amp;Q237,
          Admin!$C:$C,"&lt;"&amp;EDATE(Q237,1))
)</f>
        <v>0</v>
      </c>
      <c r="S237" s="12" t="str">
        <f t="shared" si="18"/>
        <v>Lower</v>
      </c>
      <c r="T237" s="12">
        <f>IFERROR(
   AVERAGEIFS(
      Labs!$D:$D,
      Labs!$A:$A,$A237,
      Labs!$C:$C,"LAB B",
      Labs!$B:$B,"&lt;"&amp;$D237
   ),
   ""
)</f>
        <v>11.416666666666666</v>
      </c>
      <c r="U237" s="12">
        <f>IFERROR(
   AVERAGEIFS(
      Labs!$D:$D,
      Labs!$A:$A,$A237,
      Labs!$C:$C,"LAB B",
      Labs!$B:$B,"&gt;="&amp;$D237
   ),
   ""
)</f>
        <v>11.885714285714286</v>
      </c>
    </row>
    <row r="238" spans="1:21" ht="18.600000000000001" x14ac:dyDescent="0.25">
      <c r="A238" s="19">
        <v>123</v>
      </c>
      <c r="B238" s="20"/>
      <c r="C238" s="20"/>
      <c r="D238" s="20">
        <v>41170</v>
      </c>
      <c r="E238" s="20">
        <v>41228</v>
      </c>
      <c r="F238" s="12" t="str">
        <f t="shared" si="11"/>
        <v>No</v>
      </c>
      <c r="G238" s="12" t="str">
        <f t="shared" si="12"/>
        <v>Yes</v>
      </c>
      <c r="H238" s="12" t="str">
        <f t="shared" si="13"/>
        <v>Sep 2012</v>
      </c>
      <c r="I238" s="12" t="str">
        <f t="shared" si="14"/>
        <v/>
      </c>
      <c r="J238" s="12" t="str">
        <f t="shared" si="15"/>
        <v/>
      </c>
      <c r="K238" s="12">
        <f>SUMIFS(
  Admin!$D:$D,
  Admin!$A:$A, $A238,
  Admin!$B:$B, "Med A",
  Admin!$C:$C, "&gt;=" &amp; $B238,
  Admin!$C:$C, "&lt;=" &amp; $C238
)</f>
        <v>0</v>
      </c>
      <c r="L238" s="12" t="str">
        <f t="shared" si="16"/>
        <v>Never took A</v>
      </c>
      <c r="M238" s="12">
        <f>SUMIFS(Admin!$D:$D,Admin!$A:$A,$A238, Admin!$B:$B,"Med B")</f>
        <v>6</v>
      </c>
      <c r="N238" s="12">
        <f>COUNTIFS(Admin!$A:$A,$A238, Admin!$B:$B,"Med B")</f>
        <v>3</v>
      </c>
      <c r="O238" s="12">
        <f t="shared" si="19"/>
        <v>2</v>
      </c>
      <c r="P238" s="12">
        <f>IF(D238="", "Never took B",
   SUMIFS(Admin!$D:$D,
          Admin!$A:$A,$A238,
          Admin!$B:$B,"Med B",
          Admin!$C:$C,D238)
)</f>
        <v>4</v>
      </c>
      <c r="Q238" s="20">
        <f t="shared" si="17"/>
        <v>41183</v>
      </c>
      <c r="R238" s="12">
        <f>IF(Q238="","",
   SUMIFS(Admin!$D:$D,
          Admin!$A:$A,$A238,
          Admin!$B:$B,"Med B",
          Admin!$C:$C,"&gt;="&amp;Q238,
          Admin!$C:$C,"&lt;"&amp;EDATE(Q238,1))
)</f>
        <v>0</v>
      </c>
      <c r="S238" s="12" t="str">
        <f t="shared" si="18"/>
        <v>Lower</v>
      </c>
      <c r="T238" s="12">
        <f>IFERROR(
   AVERAGEIFS(
      Labs!$D:$D,
      Labs!$A:$A,$A238,
      Labs!$C:$C,"LAB B",
      Labs!$B:$B,"&lt;"&amp;$D238
   ),
   ""
)</f>
        <v>9.8000000000000007</v>
      </c>
      <c r="U238" s="12">
        <f>IFERROR(
   AVERAGEIFS(
      Labs!$D:$D,
      Labs!$A:$A,$A238,
      Labs!$C:$C,"LAB B",
      Labs!$B:$B,"&gt;="&amp;$D238
   ),
   ""
)</f>
        <v>10.98</v>
      </c>
    </row>
    <row r="239" spans="1:21" ht="18.600000000000001" x14ac:dyDescent="0.25">
      <c r="A239" s="19">
        <v>124</v>
      </c>
      <c r="B239" s="20">
        <v>41121</v>
      </c>
      <c r="C239" s="20">
        <v>41121</v>
      </c>
      <c r="D239" s="20"/>
      <c r="E239" s="20"/>
      <c r="F239" s="12" t="str">
        <f t="shared" si="11"/>
        <v>No</v>
      </c>
      <c r="G239" s="12" t="str">
        <f t="shared" si="12"/>
        <v>No</v>
      </c>
      <c r="H239" s="12" t="str">
        <f t="shared" si="13"/>
        <v>Never Started B</v>
      </c>
      <c r="I239" s="12">
        <f t="shared" si="14"/>
        <v>0.14285714285714285</v>
      </c>
      <c r="J239" s="12">
        <f t="shared" si="15"/>
        <v>3.2992411745298579E-2</v>
      </c>
      <c r="K239" s="12">
        <f>SUMIFS(
  Admin!$D:$D,
  Admin!$A:$A, $A239,
  Admin!$B:$B, "Med A",
  Admin!$C:$C, "&gt;=" &amp; $B239,
  Admin!$C:$C, "&lt;=" &amp; $C239
)</f>
        <v>6000</v>
      </c>
      <c r="L239" s="12">
        <f t="shared" si="16"/>
        <v>6000</v>
      </c>
      <c r="M239" s="12">
        <f>SUMIFS(Admin!$D:$D,Admin!$A:$A,$A239, Admin!$B:$B,"Med B")</f>
        <v>0</v>
      </c>
      <c r="N239" s="12">
        <f>COUNTIFS(Admin!$A:$A,$A239, Admin!$B:$B,"Med B")</f>
        <v>0</v>
      </c>
      <c r="O239" s="12" t="str">
        <f t="shared" si="19"/>
        <v>Never took B</v>
      </c>
      <c r="P239" s="12" t="str">
        <f>IF(D239="", "Never took B",
   SUMIFS(Admin!$D:$D,
          Admin!$A:$A,$A239,
          Admin!$B:$B,"Med B",
          Admin!$C:$C,D239)
)</f>
        <v>Never took B</v>
      </c>
      <c r="Q239" s="20" t="str">
        <f t="shared" si="17"/>
        <v/>
      </c>
      <c r="R239" s="12" t="str">
        <f>IF(Q239="","",
   SUMIFS(Admin!$D:$D,
          Admin!$A:$A,$A239,
          Admin!$B:$B,"Med B",
          Admin!$C:$C,"&gt;="&amp;Q239,
          Admin!$C:$C,"&lt;"&amp;EDATE(Q239,1))
)</f>
        <v/>
      </c>
      <c r="S239" s="12" t="str">
        <f t="shared" si="18"/>
        <v>Never took B</v>
      </c>
      <c r="T239" s="12" t="str">
        <f>IFERROR(
   AVERAGEIFS(
      Labs!$D:$D,
      Labs!$A:$A,$A239,
      Labs!$C:$C,"LAB B",
      Labs!$B:$B,"&lt;"&amp;$D239
   ),
   ""
)</f>
        <v/>
      </c>
      <c r="U239" s="12" t="str">
        <f>IFERROR(
   AVERAGEIFS(
      Labs!$D:$D,
      Labs!$A:$A,$A239,
      Labs!$C:$C,"LAB B",
      Labs!$B:$B,"&gt;="&amp;$D239
   ),
   ""
)</f>
        <v/>
      </c>
    </row>
    <row r="240" spans="1:21" ht="18.600000000000001" x14ac:dyDescent="0.25">
      <c r="A240" s="19">
        <v>125</v>
      </c>
      <c r="B240" s="20">
        <v>41093</v>
      </c>
      <c r="C240" s="20">
        <v>41158</v>
      </c>
      <c r="D240" s="20">
        <v>41165</v>
      </c>
      <c r="E240" s="20">
        <v>41228</v>
      </c>
      <c r="F240" s="12" t="str">
        <f t="shared" si="11"/>
        <v>Yes</v>
      </c>
      <c r="G240" s="12" t="str">
        <f t="shared" si="12"/>
        <v>No</v>
      </c>
      <c r="H240" s="12" t="str">
        <f t="shared" si="13"/>
        <v>Sep 2012</v>
      </c>
      <c r="I240" s="12">
        <f t="shared" si="14"/>
        <v>9.4285714285714288</v>
      </c>
      <c r="J240" s="12">
        <f t="shared" si="15"/>
        <v>2.1774991751897064</v>
      </c>
      <c r="K240" s="12">
        <f>SUMIFS(
  Admin!$D:$D,
  Admin!$A:$A, $A240,
  Admin!$B:$B, "Med A",
  Admin!$C:$C, "&gt;=" &amp; $B240,
  Admin!$C:$C, "&lt;=" &amp; $C240
)</f>
        <v>160200</v>
      </c>
      <c r="L240" s="12">
        <f t="shared" si="16"/>
        <v>73570.636363636368</v>
      </c>
      <c r="M240" s="12">
        <f>SUMIFS(Admin!$D:$D,Admin!$A:$A,$A240, Admin!$B:$B,"Med B")</f>
        <v>36</v>
      </c>
      <c r="N240" s="12">
        <f>COUNTIFS(Admin!$A:$A,$A240, Admin!$B:$B,"Med B")</f>
        <v>3</v>
      </c>
      <c r="O240" s="12">
        <f t="shared" si="19"/>
        <v>12</v>
      </c>
      <c r="P240" s="12">
        <f>IF(D240="", "Never took B",
   SUMIFS(Admin!$D:$D,
          Admin!$A:$A,$A240,
          Admin!$B:$B,"Med B",
          Admin!$C:$C,D240)
)</f>
        <v>10</v>
      </c>
      <c r="Q240" s="20">
        <f t="shared" si="17"/>
        <v>41183</v>
      </c>
      <c r="R240" s="12">
        <f>IF(Q240="","",
   SUMIFS(Admin!$D:$D,
          Admin!$A:$A,$A240,
          Admin!$B:$B,"Med B",
          Admin!$C:$C,"&gt;="&amp;Q240,
          Admin!$C:$C,"&lt;"&amp;EDATE(Q240,1))
)</f>
        <v>13</v>
      </c>
      <c r="S240" s="12" t="str">
        <f t="shared" si="18"/>
        <v>Higher</v>
      </c>
      <c r="T240" s="12">
        <f>IFERROR(
   AVERAGEIFS(
      Labs!$D:$D,
      Labs!$A:$A,$A240,
      Labs!$C:$C,"LAB B",
      Labs!$B:$B,"&lt;"&amp;$D240
   ),
   ""
)</f>
        <v>8.9333333333333336</v>
      </c>
      <c r="U240" s="12">
        <f>IFERROR(
   AVERAGEIFS(
      Labs!$D:$D,
      Labs!$A:$A,$A240,
      Labs!$C:$C,"LAB B",
      Labs!$B:$B,"&gt;="&amp;$D240
   ),
   ""
)</f>
        <v>8.0749999999999993</v>
      </c>
    </row>
    <row r="241" spans="1:21" ht="18.600000000000001" x14ac:dyDescent="0.25">
      <c r="A241" s="19">
        <v>126</v>
      </c>
      <c r="B241" s="20">
        <v>41096</v>
      </c>
      <c r="C241" s="20">
        <v>41157</v>
      </c>
      <c r="D241" s="20">
        <v>41164</v>
      </c>
      <c r="E241" s="20">
        <v>41227</v>
      </c>
      <c r="F241" s="12" t="str">
        <f t="shared" si="11"/>
        <v>Yes</v>
      </c>
      <c r="G241" s="12" t="str">
        <f t="shared" si="12"/>
        <v>No</v>
      </c>
      <c r="H241" s="12" t="str">
        <f t="shared" si="13"/>
        <v>Sep 2012</v>
      </c>
      <c r="I241" s="12">
        <f t="shared" si="14"/>
        <v>8.8571428571428577</v>
      </c>
      <c r="J241" s="12">
        <f t="shared" si="15"/>
        <v>2.0455295282085122</v>
      </c>
      <c r="K241" s="12">
        <f>SUMIFS(
  Admin!$D:$D,
  Admin!$A:$A, $A241,
  Admin!$B:$B, "Med A",
  Admin!$C:$C, "&gt;=" &amp; $B241,
  Admin!$C:$C, "&lt;=" &amp; $C241
)</f>
        <v>148600</v>
      </c>
      <c r="L241" s="12">
        <f t="shared" si="16"/>
        <v>72646.225806451606</v>
      </c>
      <c r="M241" s="12">
        <f>SUMIFS(Admin!$D:$D,Admin!$A:$A,$A241, Admin!$B:$B,"Med B")</f>
        <v>12</v>
      </c>
      <c r="N241" s="12">
        <f>COUNTIFS(Admin!$A:$A,$A241, Admin!$B:$B,"Med B")</f>
        <v>2</v>
      </c>
      <c r="O241" s="12">
        <f t="shared" si="19"/>
        <v>6</v>
      </c>
      <c r="P241" s="12">
        <f>IF(D241="", "Never took B",
   SUMIFS(Admin!$D:$D,
          Admin!$A:$A,$A241,
          Admin!$B:$B,"Med B",
          Admin!$C:$C,D241)
)</f>
        <v>10</v>
      </c>
      <c r="Q241" s="20">
        <f t="shared" si="17"/>
        <v>41183</v>
      </c>
      <c r="R241" s="12">
        <f>IF(Q241="","",
   SUMIFS(Admin!$D:$D,
          Admin!$A:$A,$A241,
          Admin!$B:$B,"Med B",
          Admin!$C:$C,"&gt;="&amp;Q241,
          Admin!$C:$C,"&lt;"&amp;EDATE(Q241,1))
)</f>
        <v>0</v>
      </c>
      <c r="S241" s="12" t="str">
        <f t="shared" si="18"/>
        <v>Lower</v>
      </c>
      <c r="T241" s="12">
        <f>IFERROR(
   AVERAGEIFS(
      Labs!$D:$D,
      Labs!$A:$A,$A241,
      Labs!$C:$C,"LAB B",
      Labs!$B:$B,"&lt;"&amp;$D241
   ),
   ""
)</f>
        <v>11.266666666666667</v>
      </c>
      <c r="U241" s="12">
        <f>IFERROR(
   AVERAGEIFS(
      Labs!$D:$D,
      Labs!$A:$A,$A241,
      Labs!$C:$C,"LAB B",
      Labs!$B:$B,"&gt;="&amp;$D241
   ),
   ""
)</f>
        <v>11.600000000000001</v>
      </c>
    </row>
    <row r="242" spans="1:21" ht="18.600000000000001" x14ac:dyDescent="0.25">
      <c r="A242" s="19">
        <v>127</v>
      </c>
      <c r="B242" s="20"/>
      <c r="C242" s="20"/>
      <c r="D242" s="20">
        <v>41236</v>
      </c>
      <c r="E242" s="20">
        <v>41236</v>
      </c>
      <c r="F242" s="12" t="str">
        <f t="shared" si="11"/>
        <v>No</v>
      </c>
      <c r="G242" s="12" t="str">
        <f t="shared" si="12"/>
        <v>Yes</v>
      </c>
      <c r="H242" s="12" t="str">
        <f t="shared" si="13"/>
        <v>Nov 2012</v>
      </c>
      <c r="I242" s="12" t="str">
        <f t="shared" si="14"/>
        <v/>
      </c>
      <c r="J242" s="12" t="str">
        <f t="shared" si="15"/>
        <v/>
      </c>
      <c r="K242" s="12">
        <f>SUMIFS(
  Admin!$D:$D,
  Admin!$A:$A, $A242,
  Admin!$B:$B, "Med A",
  Admin!$C:$C, "&gt;=" &amp; $B242,
  Admin!$C:$C, "&lt;=" &amp; $C242
)</f>
        <v>0</v>
      </c>
      <c r="L242" s="12" t="str">
        <f t="shared" si="16"/>
        <v>Never took A</v>
      </c>
      <c r="M242" s="12">
        <f>SUMIFS(Admin!$D:$D,Admin!$A:$A,$A242, Admin!$B:$B,"Med B")</f>
        <v>5</v>
      </c>
      <c r="N242" s="12">
        <f>COUNTIFS(Admin!$A:$A,$A242, Admin!$B:$B,"Med B")</f>
        <v>1</v>
      </c>
      <c r="O242" s="12">
        <f t="shared" si="19"/>
        <v>5</v>
      </c>
      <c r="P242" s="12">
        <f>IF(D242="", "Never took B",
   SUMIFS(Admin!$D:$D,
          Admin!$A:$A,$A242,
          Admin!$B:$B,"Med B",
          Admin!$C:$C,D242)
)</f>
        <v>5</v>
      </c>
      <c r="Q242" s="20">
        <f t="shared" si="17"/>
        <v>41244</v>
      </c>
      <c r="R242" s="12">
        <f>IF(Q242="","",
   SUMIFS(Admin!$D:$D,
          Admin!$A:$A,$A242,
          Admin!$B:$B,"Med B",
          Admin!$C:$C,"&gt;="&amp;Q242,
          Admin!$C:$C,"&lt;"&amp;EDATE(Q242,1))
)</f>
        <v>0</v>
      </c>
      <c r="S242" s="12" t="str">
        <f t="shared" si="18"/>
        <v>Lower</v>
      </c>
      <c r="T242" s="12">
        <f>IFERROR(
   AVERAGEIFS(
      Labs!$D:$D,
      Labs!$A:$A,$A242,
      Labs!$C:$C,"LAB B",
      Labs!$B:$B,"&lt;"&amp;$D242
   ),
   ""
)</f>
        <v>9.2000000000000011</v>
      </c>
      <c r="U242" s="12">
        <f>IFERROR(
   AVERAGEIFS(
      Labs!$D:$D,
      Labs!$A:$A,$A242,
      Labs!$C:$C,"LAB B",
      Labs!$B:$B,"&gt;="&amp;$D242
   ),
   ""
)</f>
        <v>9.8000000000000007</v>
      </c>
    </row>
    <row r="243" spans="1:21" ht="18.600000000000001" x14ac:dyDescent="0.25">
      <c r="A243" s="19">
        <v>128</v>
      </c>
      <c r="B243" s="20">
        <v>41093</v>
      </c>
      <c r="C243" s="20">
        <v>41156</v>
      </c>
      <c r="D243" s="20">
        <v>41177</v>
      </c>
      <c r="E243" s="20">
        <v>41228</v>
      </c>
      <c r="F243" s="12" t="str">
        <f t="shared" si="11"/>
        <v>Yes</v>
      </c>
      <c r="G243" s="12" t="str">
        <f t="shared" si="12"/>
        <v>No</v>
      </c>
      <c r="H243" s="12" t="str">
        <f t="shared" si="13"/>
        <v>Sep 2012</v>
      </c>
      <c r="I243" s="12">
        <f t="shared" si="14"/>
        <v>9.1428571428571423</v>
      </c>
      <c r="J243" s="12">
        <f t="shared" si="15"/>
        <v>2.1115143516991091</v>
      </c>
      <c r="K243" s="12">
        <f>SUMIFS(
  Admin!$D:$D,
  Admin!$A:$A, $A243,
  Admin!$B:$B, "Med A",
  Admin!$C:$C, "&gt;=" &amp; $B243,
  Admin!$C:$C, "&lt;=" &amp; $C243
)</f>
        <v>55700</v>
      </c>
      <c r="L243" s="12">
        <f t="shared" si="16"/>
        <v>26379.171875</v>
      </c>
      <c r="M243" s="12">
        <f>SUMIFS(Admin!$D:$D,Admin!$A:$A,$A243, Admin!$B:$B,"Med B")</f>
        <v>4</v>
      </c>
      <c r="N243" s="12">
        <f>COUNTIFS(Admin!$A:$A,$A243, Admin!$B:$B,"Med B")</f>
        <v>3</v>
      </c>
      <c r="O243" s="12">
        <f t="shared" si="19"/>
        <v>1.3333333333333333</v>
      </c>
      <c r="P243" s="12">
        <f>IF(D243="", "Never took B",
   SUMIFS(Admin!$D:$D,
          Admin!$A:$A,$A243,
          Admin!$B:$B,"Med B",
          Admin!$C:$C,D243)
)</f>
        <v>1</v>
      </c>
      <c r="Q243" s="20">
        <f t="shared" si="17"/>
        <v>41183</v>
      </c>
      <c r="R243" s="12">
        <f>IF(Q243="","",
   SUMIFS(Admin!$D:$D,
          Admin!$A:$A,$A243,
          Admin!$B:$B,"Med B",
          Admin!$C:$C,"&gt;="&amp;Q243,
          Admin!$C:$C,"&lt;"&amp;EDATE(Q243,1))
)</f>
        <v>1</v>
      </c>
      <c r="S243" s="12" t="str">
        <f t="shared" si="18"/>
        <v>Same</v>
      </c>
      <c r="T243" s="12">
        <f>IFERROR(
   AVERAGEIFS(
      Labs!$D:$D,
      Labs!$A:$A,$A243,
      Labs!$C:$C,"LAB B",
      Labs!$B:$B,"&lt;"&amp;$D243
   ),
   ""
)</f>
        <v>11.137499999999999</v>
      </c>
      <c r="U243" s="12">
        <f>IFERROR(
   AVERAGEIFS(
      Labs!$D:$D,
      Labs!$A:$A,$A243,
      Labs!$C:$C,"LAB B",
      Labs!$B:$B,"&gt;="&amp;$D243
   ),
   ""
)</f>
        <v>10.375</v>
      </c>
    </row>
    <row r="244" spans="1:21" ht="18.600000000000001" x14ac:dyDescent="0.25">
      <c r="A244" s="19">
        <v>129</v>
      </c>
      <c r="B244" s="20">
        <v>41093</v>
      </c>
      <c r="C244" s="20">
        <v>41158</v>
      </c>
      <c r="D244" s="20">
        <v>41165</v>
      </c>
      <c r="E244" s="20">
        <v>41165</v>
      </c>
      <c r="F244" s="12" t="str">
        <f t="shared" si="11"/>
        <v>Yes</v>
      </c>
      <c r="G244" s="12" t="str">
        <f t="shared" si="12"/>
        <v>No</v>
      </c>
      <c r="H244" s="12" t="str">
        <f t="shared" si="13"/>
        <v>Sep 2012</v>
      </c>
      <c r="I244" s="12">
        <f t="shared" si="14"/>
        <v>9.4285714285714288</v>
      </c>
      <c r="J244" s="12">
        <f t="shared" si="15"/>
        <v>2.1774991751897064</v>
      </c>
      <c r="K244" s="12">
        <f>SUMIFS(
  Admin!$D:$D,
  Admin!$A:$A, $A244,
  Admin!$B:$B, "Med A",
  Admin!$C:$C, "&gt;=" &amp; $B244,
  Admin!$C:$C, "&lt;=" &amp; $C244
)</f>
        <v>50900</v>
      </c>
      <c r="L244" s="12">
        <f t="shared" si="16"/>
        <v>23375.439393939392</v>
      </c>
      <c r="M244" s="12">
        <f>SUMIFS(Admin!$D:$D,Admin!$A:$A,$A244, Admin!$B:$B,"Med B")</f>
        <v>10</v>
      </c>
      <c r="N244" s="12">
        <f>COUNTIFS(Admin!$A:$A,$A244, Admin!$B:$B,"Med B")</f>
        <v>1</v>
      </c>
      <c r="O244" s="12">
        <f t="shared" ref="O244:O275" si="20">IF(N244=0,"Never took B",M244/N244)</f>
        <v>10</v>
      </c>
      <c r="P244" s="12">
        <f>IF(D244="", "Never took B",
   SUMIFS(Admin!$D:$D,
          Admin!$A:$A,$A244,
          Admin!$B:$B,"Med B",
          Admin!$C:$C,D244)
)</f>
        <v>10</v>
      </c>
      <c r="Q244" s="20">
        <f t="shared" si="17"/>
        <v>41183</v>
      </c>
      <c r="R244" s="12">
        <f>IF(Q244="","",
   SUMIFS(Admin!$D:$D,
          Admin!$A:$A,$A244,
          Admin!$B:$B,"Med B",
          Admin!$C:$C,"&gt;="&amp;Q244,
          Admin!$C:$C,"&lt;"&amp;EDATE(Q244,1))
)</f>
        <v>0</v>
      </c>
      <c r="S244" s="12" t="str">
        <f t="shared" si="18"/>
        <v>Lower</v>
      </c>
      <c r="T244" s="12">
        <f>IFERROR(
   AVERAGEIFS(
      Labs!$D:$D,
      Labs!$A:$A,$A244,
      Labs!$C:$C,"LAB B",
      Labs!$B:$B,"&lt;"&amp;$D244
   ),
   ""
)</f>
        <v>10.385714285714286</v>
      </c>
      <c r="U244" s="12" t="str">
        <f>IFERROR(
   AVERAGEIFS(
      Labs!$D:$D,
      Labs!$A:$A,$A244,
      Labs!$C:$C,"LAB B",
      Labs!$B:$B,"&gt;="&amp;$D244
   ),
   ""
)</f>
        <v/>
      </c>
    </row>
    <row r="247" spans="1:21" ht="19.2" x14ac:dyDescent="0.25">
      <c r="A247" s="14"/>
    </row>
    <row r="249" spans="1:21" ht="19.2" x14ac:dyDescent="0.25">
      <c r="A249" s="14" t="s">
        <v>66</v>
      </c>
      <c r="B249" s="14"/>
    </row>
    <row r="250" spans="1:21" ht="18.600000000000001" x14ac:dyDescent="0.25">
      <c r="A250" s="12" t="s">
        <v>31</v>
      </c>
      <c r="B250" s="12" t="s">
        <v>69</v>
      </c>
      <c r="C250" s="12" t="s">
        <v>70</v>
      </c>
    </row>
    <row r="251" spans="1:21" ht="18.600000000000001" x14ac:dyDescent="0.25">
      <c r="A251" s="12" t="s">
        <v>67</v>
      </c>
      <c r="B251" s="12">
        <f>COUNTIFS(F116:F244,"Yes",H116:H244,"Sep 2012")</f>
        <v>71</v>
      </c>
      <c r="C251" s="12">
        <f>COUNTIFS(G116:G244,"Yes",H116:H244,"Sep 2012")</f>
        <v>5</v>
      </c>
    </row>
    <row r="252" spans="1:21" ht="18.600000000000001" x14ac:dyDescent="0.25">
      <c r="A252" s="12" t="s">
        <v>21</v>
      </c>
      <c r="B252" s="12">
        <f>COUNTIFS(F117:F245,"Yes",H117:H245,"Oct2012")</f>
        <v>10</v>
      </c>
      <c r="C252" s="12">
        <f>COUNTIFS(G117:G245,"Yes",H117:H245,"Oct 2012")</f>
        <v>5</v>
      </c>
    </row>
    <row r="253" spans="1:21" ht="18.600000000000001" x14ac:dyDescent="0.25">
      <c r="A253" s="12" t="s">
        <v>22</v>
      </c>
      <c r="B253" s="12">
        <f>COUNTIFS(F118:F246,"Yes",H118:H246,"Nov 2012")</f>
        <v>0</v>
      </c>
      <c r="C253" s="12">
        <f>COUNTIFS(G118:G246,"Yes",H118:H246,"Nov 2012")</f>
        <v>6</v>
      </c>
    </row>
    <row r="254" spans="1:21" ht="18.600000000000001" x14ac:dyDescent="0.25">
      <c r="A254" s="12" t="s">
        <v>68</v>
      </c>
      <c r="B254" s="12">
        <f>SUM(B251:B253)</f>
        <v>81</v>
      </c>
      <c r="C254" s="12">
        <f>SUM(C251:C253)</f>
        <v>16</v>
      </c>
    </row>
    <row r="282" spans="1:3" ht="19.2" x14ac:dyDescent="0.25">
      <c r="A282" s="14" t="s">
        <v>71</v>
      </c>
      <c r="B282" s="14"/>
    </row>
    <row r="283" spans="1:3" ht="18.600000000000001" x14ac:dyDescent="0.25">
      <c r="A283" s="12" t="s">
        <v>31</v>
      </c>
      <c r="B283" s="12" t="s">
        <v>73</v>
      </c>
      <c r="C283" s="12" t="s">
        <v>72</v>
      </c>
    </row>
    <row r="284" spans="1:3" ht="18.600000000000001" x14ac:dyDescent="0.25">
      <c r="A284" s="12" t="s">
        <v>67</v>
      </c>
      <c r="B284" s="12">
        <f>ROUND(AVERAGEIFS(I116:I244,F116:F244,"Yes",H116:H244,"Sep 2012"),1)</f>
        <v>7.9</v>
      </c>
      <c r="C284" s="12">
        <f>COUNTIFS(F116:F244,"Yes",H116:H244,"Sep 2012")</f>
        <v>71</v>
      </c>
    </row>
    <row r="285" spans="1:3" ht="18.600000000000001" x14ac:dyDescent="0.25">
      <c r="A285" s="12" t="s">
        <v>21</v>
      </c>
      <c r="B285" s="12">
        <f>ROUND(AVERAGEIFS(I116:I244,F116:F244,"Yes",H116:H244,"Oct 2012"),1)</f>
        <v>7.2</v>
      </c>
      <c r="C285" s="12">
        <f>COUNTIFS(F116:F244,"Yes",H116:H244,"Oct 2012")</f>
        <v>10</v>
      </c>
    </row>
    <row r="286" spans="1:3" ht="18.600000000000001" x14ac:dyDescent="0.25">
      <c r="A286" s="12" t="s">
        <v>22</v>
      </c>
      <c r="B286" s="12" t="str">
        <f>IFERROR(ROUND(AVERAGEIFS(I116:I244,F116:F244,"Yes",H116:H244,"Nov 2012"),1),"No one switched this month")</f>
        <v>No one switched this month</v>
      </c>
      <c r="C286" s="12">
        <f>COUNTIFS(F116:F244,"Yes",H116:H244,"Nov 2012")</f>
        <v>0</v>
      </c>
    </row>
    <row r="287" spans="1:3" ht="18.600000000000001" x14ac:dyDescent="0.25">
      <c r="A287" s="12" t="s">
        <v>68</v>
      </c>
      <c r="B287" s="12">
        <f>ROUND(SUMPRODUCT(B284:B285,C284:C285)/SUM(C284:C285),1)</f>
        <v>7.8</v>
      </c>
      <c r="C287" s="12">
        <f>SUM(C284:C286)</f>
        <v>81</v>
      </c>
    </row>
    <row r="314" spans="1:4" ht="19.2" x14ac:dyDescent="0.25">
      <c r="A314" s="14" t="s">
        <v>74</v>
      </c>
      <c r="B314" s="14"/>
    </row>
    <row r="315" spans="1:4" ht="18.600000000000001" x14ac:dyDescent="0.25">
      <c r="A315" s="12" t="s">
        <v>75</v>
      </c>
      <c r="B315" s="12" t="s">
        <v>77</v>
      </c>
      <c r="C315" s="12" t="s">
        <v>78</v>
      </c>
      <c r="D315" s="12" t="s">
        <v>79</v>
      </c>
    </row>
    <row r="316" spans="1:4" ht="18.600000000000001" x14ac:dyDescent="0.25">
      <c r="A316" s="12" t="s">
        <v>76</v>
      </c>
      <c r="B316" s="12">
        <f>COUNTIF(F116:F244,"Yes")</f>
        <v>81</v>
      </c>
      <c r="C316" s="12">
        <f>ROUND(AVERAGEIFS(L116:L244,F116:F244,"Yes"),2)</f>
        <v>58312.28</v>
      </c>
      <c r="D316" s="12">
        <f>ROUND(AVERAGEIFS(O116:O244,F116:F244,"Yes"),2)</f>
        <v>6.33</v>
      </c>
    </row>
    <row r="324" spans="1:3" ht="19.2" x14ac:dyDescent="0.25">
      <c r="A324" s="14" t="s">
        <v>80</v>
      </c>
      <c r="B324" s="14"/>
    </row>
    <row r="325" spans="1:3" ht="18.600000000000001" x14ac:dyDescent="0.25">
      <c r="A325" s="12" t="s">
        <v>96</v>
      </c>
      <c r="B325" s="12" t="s">
        <v>97</v>
      </c>
    </row>
    <row r="326" spans="1:3" ht="18.600000000000001" x14ac:dyDescent="0.25">
      <c r="A326" s="12" t="s">
        <v>81</v>
      </c>
      <c r="B326" s="12">
        <f>ROUND(0.01*Table4[Average Monthly A dose]/Table4[Average Monthly B dose],2)</f>
        <v>92.12</v>
      </c>
    </row>
    <row r="332" spans="1:3" ht="19.2" x14ac:dyDescent="0.25">
      <c r="A332" s="14" t="s">
        <v>84</v>
      </c>
      <c r="B332" s="14"/>
    </row>
    <row r="333" spans="1:3" ht="18.600000000000001" x14ac:dyDescent="0.25">
      <c r="A333" s="12" t="s">
        <v>31</v>
      </c>
      <c r="B333" s="12" t="s">
        <v>82</v>
      </c>
      <c r="C333" s="12" t="s">
        <v>83</v>
      </c>
    </row>
    <row r="334" spans="1:3" ht="18.600000000000001" x14ac:dyDescent="0.25">
      <c r="A334" s="12" t="s">
        <v>67</v>
      </c>
      <c r="B334" s="12">
        <f>AVERAGEIFS(L116:L244,F116:F244,"Yes",H116:H244,"Sep 2012")</f>
        <v>59021.21197597812</v>
      </c>
      <c r="C334" s="12">
        <f>AVERAGEIFS(O116:O244,F116:F244,"Yes",H116:H244,"Sep 2012")</f>
        <v>6.7582159624413158</v>
      </c>
    </row>
    <row r="335" spans="1:3" ht="18.600000000000001" x14ac:dyDescent="0.25">
      <c r="A335" s="12" t="s">
        <v>21</v>
      </c>
      <c r="B335" s="12">
        <f>AVERAGEIFS(L116:L244,F116:F244,"Yes",H116:H244,"Oct 2012")</f>
        <v>53278.874814828894</v>
      </c>
      <c r="C335" s="12">
        <f>AVERAGEIFS(O116:O244,F116:F244,"Yes",H116:H244,"Oct 2012")</f>
        <v>3.25</v>
      </c>
    </row>
    <row r="336" spans="1:3" ht="18.600000000000001" x14ac:dyDescent="0.25">
      <c r="A336" s="12" t="s">
        <v>22</v>
      </c>
      <c r="B336" s="12" t="str">
        <f>IFERROR(AVERAGEIFS(L116:L244,F116:F244,"Yes",H116:H244,"Nov 2012"),"No patient switched")</f>
        <v>No patient switched</v>
      </c>
      <c r="C336" s="12" t="str">
        <f>IFERROR(AVERAGEIFS(O116:O244,F116:F244,"Yes",H116:H244,"Nov 2012"),"No one switched")</f>
        <v>No one switched</v>
      </c>
    </row>
    <row r="343" spans="1:5" ht="19.2" x14ac:dyDescent="0.25">
      <c r="A343" s="14" t="s">
        <v>89</v>
      </c>
      <c r="B343" s="14"/>
    </row>
    <row r="344" spans="1:5" ht="20.399999999999999" x14ac:dyDescent="0.25">
      <c r="A344" s="21" t="s">
        <v>31</v>
      </c>
      <c r="B344" s="21" t="s">
        <v>87</v>
      </c>
      <c r="C344" s="21" t="s">
        <v>88</v>
      </c>
      <c r="D344" s="21" t="s">
        <v>91</v>
      </c>
      <c r="E344" s="21" t="s">
        <v>92</v>
      </c>
    </row>
    <row r="345" spans="1:5" ht="20.399999999999999" x14ac:dyDescent="0.25">
      <c r="A345" s="21" t="s">
        <v>85</v>
      </c>
      <c r="B345" s="21">
        <f>COUNTIFS(F116:F244,"Yes",H116:H244,"Sep 2012")</f>
        <v>71</v>
      </c>
      <c r="C345" s="21">
        <f>COUNTIFS(F116:F244,"Yes",S116:S244,"Same",H116:H244,"Sep 2012")</f>
        <v>29</v>
      </c>
      <c r="D345" s="21">
        <f>COUNTIFS(F116:F244,"Yes",S116:S244,"Higher",H116:H244,"Sep 2012")</f>
        <v>6</v>
      </c>
      <c r="E345" s="21">
        <f>COUNTIFS(F116:F244,"Yes",S116:S244,"Lower",H116:H244,"Sep 2012")</f>
        <v>36</v>
      </c>
    </row>
    <row r="346" spans="1:5" ht="20.399999999999999" x14ac:dyDescent="0.25">
      <c r="A346" s="21" t="s">
        <v>21</v>
      </c>
      <c r="B346" s="21">
        <f>COUNTIFS(F116:F244,"Yes",H116:H244,"Oct 2012")</f>
        <v>10</v>
      </c>
      <c r="C346" s="21">
        <f>COUNTIFS(F116:F244,"Yes",S116:S244,"Same",H116:H244,"Oct 2012")</f>
        <v>2</v>
      </c>
      <c r="D346" s="21">
        <f>COUNTIFS(F116:F244,"Yes",S116:S244,"Higher",H116:H244,"Oct 2012")</f>
        <v>4</v>
      </c>
      <c r="E346" s="21">
        <f>COUNTIFS(F116:F244,"Yes",S116:S244,"Lower",H116:H244,"Oct 2012")</f>
        <v>4</v>
      </c>
    </row>
    <row r="347" spans="1:5" ht="20.399999999999999" x14ac:dyDescent="0.25">
      <c r="A347" s="21" t="s">
        <v>86</v>
      </c>
      <c r="B347" s="21">
        <f>SUM(B345:B346)</f>
        <v>81</v>
      </c>
      <c r="C347" s="21">
        <f>SUM(C345:C346)</f>
        <v>31</v>
      </c>
      <c r="D347" s="21">
        <f>SUM(D345:D346)</f>
        <v>10</v>
      </c>
      <c r="E347" s="21">
        <f>SUM(E345:E346)</f>
        <v>40</v>
      </c>
    </row>
    <row r="356" spans="1:2" ht="19.2" x14ac:dyDescent="0.25">
      <c r="A356" s="14" t="s">
        <v>93</v>
      </c>
      <c r="B356" s="14"/>
    </row>
    <row r="357" spans="1:2" ht="18.600000000000001" x14ac:dyDescent="0.25">
      <c r="A357" s="12" t="s">
        <v>94</v>
      </c>
      <c r="B357" s="12" t="s">
        <v>95</v>
      </c>
    </row>
    <row r="358" spans="1:2" ht="18.600000000000001" x14ac:dyDescent="0.25">
      <c r="A358" s="12">
        <f>ROUND(AVERAGEIFS($T:$T,$F:$F, "Yes",$T:$T, "&lt;&gt;"),2)</f>
        <v>10.54</v>
      </c>
      <c r="B358" s="12">
        <f>ROUND(AVERAGEIFS($U:$U,$F:$F, "Yes",$U:$U, "&lt;&gt;"),2)</f>
        <v>10.52</v>
      </c>
    </row>
  </sheetData>
  <pageMargins left="0.7" right="0.7" top="0.75" bottom="0.75" header="0.3" footer="0.3"/>
  <pageSetup orientation="portrait" r:id="rId4"/>
  <drawing r:id="rId5"/>
  <tableParts count="8"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023"/>
  <sheetViews>
    <sheetView showOutlineSymbols="0" zoomScale="150" zoomScaleNormal="150" zoomScalePageLayoutView="150" workbookViewId="0">
      <selection activeCell="I1" sqref="I1"/>
    </sheetView>
  </sheetViews>
  <sheetFormatPr defaultColWidth="6.77734375" defaultRowHeight="12.75" customHeight="1" x14ac:dyDescent="0.25"/>
  <cols>
    <col min="1" max="1" width="7.6640625" style="1" customWidth="1"/>
    <col min="2" max="2" width="8.109375" style="1" customWidth="1"/>
    <col min="3" max="3" width="8.6640625" style="1" bestFit="1" customWidth="1"/>
    <col min="4" max="4" width="7.77734375" style="1" bestFit="1" customWidth="1"/>
    <col min="5" max="5" width="24.6640625" style="1" bestFit="1" customWidth="1"/>
    <col min="6" max="16384" width="6.77734375" style="1"/>
  </cols>
  <sheetData>
    <row r="1" spans="1:14" ht="13.8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31</v>
      </c>
      <c r="G1" s="5" t="s">
        <v>14</v>
      </c>
      <c r="H1" s="6"/>
      <c r="I1" s="6"/>
      <c r="J1" s="6"/>
      <c r="K1" s="6"/>
      <c r="L1" s="6"/>
      <c r="M1" s="6"/>
      <c r="N1" s="6"/>
    </row>
    <row r="2" spans="1:14" ht="10.199999999999999" x14ac:dyDescent="0.25">
      <c r="A2" s="1">
        <v>1</v>
      </c>
      <c r="B2" s="1" t="s">
        <v>9</v>
      </c>
      <c r="C2" s="2">
        <v>41092</v>
      </c>
      <c r="D2" s="3">
        <v>1500</v>
      </c>
      <c r="E2" s="1" t="str">
        <f>TEXT(C2,"mmm yyyy")</f>
        <v>Jul 2012</v>
      </c>
    </row>
    <row r="3" spans="1:14" ht="10.199999999999999" x14ac:dyDescent="0.25">
      <c r="A3" s="1">
        <v>1</v>
      </c>
      <c r="B3" s="1" t="s">
        <v>9</v>
      </c>
      <c r="C3" s="2">
        <v>41096</v>
      </c>
      <c r="D3" s="3">
        <v>1500</v>
      </c>
      <c r="E3" s="1" t="str">
        <f t="shared" ref="E3:E66" si="0">TEXT(C3,"mmm yyyy")</f>
        <v>Jul 2012</v>
      </c>
    </row>
    <row r="4" spans="1:14" ht="10.199999999999999" x14ac:dyDescent="0.25">
      <c r="A4" s="1">
        <v>1</v>
      </c>
      <c r="B4" s="1" t="s">
        <v>9</v>
      </c>
      <c r="C4" s="2">
        <v>41099</v>
      </c>
      <c r="D4" s="3">
        <v>1500</v>
      </c>
      <c r="E4" s="1" t="str">
        <f t="shared" si="0"/>
        <v>Jul 2012</v>
      </c>
    </row>
    <row r="5" spans="1:14" ht="10.199999999999999" x14ac:dyDescent="0.25">
      <c r="A5" s="1">
        <v>1</v>
      </c>
      <c r="B5" s="1" t="s">
        <v>9</v>
      </c>
      <c r="C5" s="2">
        <v>41101</v>
      </c>
      <c r="D5" s="3">
        <v>1500</v>
      </c>
      <c r="E5" s="1" t="str">
        <f t="shared" si="0"/>
        <v>Jul 2012</v>
      </c>
    </row>
    <row r="6" spans="1:14" ht="10.199999999999999" x14ac:dyDescent="0.25">
      <c r="A6" s="1">
        <v>1</v>
      </c>
      <c r="B6" s="1" t="s">
        <v>9</v>
      </c>
      <c r="C6" s="2">
        <v>41103</v>
      </c>
      <c r="D6" s="3">
        <v>1500</v>
      </c>
      <c r="E6" s="1" t="str">
        <f t="shared" si="0"/>
        <v>Jul 2012</v>
      </c>
    </row>
    <row r="7" spans="1:14" ht="10.199999999999999" x14ac:dyDescent="0.25">
      <c r="A7" s="1">
        <v>1</v>
      </c>
      <c r="B7" s="1" t="s">
        <v>9</v>
      </c>
      <c r="C7" s="2">
        <v>41106</v>
      </c>
      <c r="D7" s="3">
        <v>1500</v>
      </c>
      <c r="E7" s="1" t="str">
        <f t="shared" si="0"/>
        <v>Jul 2012</v>
      </c>
    </row>
    <row r="8" spans="1:14" ht="10.199999999999999" x14ac:dyDescent="0.25">
      <c r="A8" s="1">
        <v>1</v>
      </c>
      <c r="B8" s="1" t="s">
        <v>9</v>
      </c>
      <c r="C8" s="2">
        <v>41110</v>
      </c>
      <c r="D8" s="3">
        <v>1500</v>
      </c>
      <c r="E8" s="1" t="str">
        <f t="shared" si="0"/>
        <v>Jul 2012</v>
      </c>
    </row>
    <row r="9" spans="1:14" ht="10.199999999999999" x14ac:dyDescent="0.25">
      <c r="A9" s="1">
        <v>1</v>
      </c>
      <c r="B9" s="1" t="s">
        <v>9</v>
      </c>
      <c r="C9" s="2">
        <v>41113</v>
      </c>
      <c r="D9" s="3">
        <v>1500</v>
      </c>
      <c r="E9" s="1" t="str">
        <f t="shared" si="0"/>
        <v>Jul 2012</v>
      </c>
    </row>
    <row r="10" spans="1:14" ht="10.199999999999999" x14ac:dyDescent="0.25">
      <c r="A10" s="1">
        <v>1</v>
      </c>
      <c r="B10" s="1" t="s">
        <v>9</v>
      </c>
      <c r="C10" s="2">
        <v>41115</v>
      </c>
      <c r="D10" s="3">
        <v>1700</v>
      </c>
      <c r="E10" s="1" t="str">
        <f t="shared" si="0"/>
        <v>Jul 2012</v>
      </c>
    </row>
    <row r="11" spans="1:14" ht="10.199999999999999" x14ac:dyDescent="0.25">
      <c r="A11" s="1">
        <v>1</v>
      </c>
      <c r="B11" s="1" t="s">
        <v>9</v>
      </c>
      <c r="C11" s="2">
        <v>41117</v>
      </c>
      <c r="D11" s="3">
        <v>1700</v>
      </c>
      <c r="E11" s="1" t="str">
        <f t="shared" si="0"/>
        <v>Jul 2012</v>
      </c>
    </row>
    <row r="12" spans="1:14" ht="10.199999999999999" x14ac:dyDescent="0.25">
      <c r="A12" s="1">
        <v>1</v>
      </c>
      <c r="B12" s="1" t="s">
        <v>9</v>
      </c>
      <c r="C12" s="2">
        <v>41120</v>
      </c>
      <c r="D12" s="3">
        <v>1700</v>
      </c>
      <c r="E12" s="1" t="str">
        <f t="shared" si="0"/>
        <v>Jul 2012</v>
      </c>
    </row>
    <row r="13" spans="1:14" ht="10.199999999999999" x14ac:dyDescent="0.25">
      <c r="A13" s="1">
        <v>1</v>
      </c>
      <c r="B13" s="1" t="s">
        <v>9</v>
      </c>
      <c r="C13" s="2">
        <v>41122</v>
      </c>
      <c r="D13" s="3">
        <v>1700</v>
      </c>
      <c r="E13" s="1" t="str">
        <f t="shared" si="0"/>
        <v>Aug 2012</v>
      </c>
    </row>
    <row r="14" spans="1:14" ht="10.199999999999999" x14ac:dyDescent="0.25">
      <c r="A14" s="1">
        <v>1</v>
      </c>
      <c r="B14" s="1" t="s">
        <v>9</v>
      </c>
      <c r="C14" s="2">
        <v>41124</v>
      </c>
      <c r="D14" s="3">
        <v>1700</v>
      </c>
      <c r="E14" s="1" t="str">
        <f t="shared" si="0"/>
        <v>Aug 2012</v>
      </c>
    </row>
    <row r="15" spans="1:14" ht="10.199999999999999" x14ac:dyDescent="0.25">
      <c r="A15" s="1">
        <v>1</v>
      </c>
      <c r="B15" s="1" t="s">
        <v>9</v>
      </c>
      <c r="C15" s="2">
        <v>41127</v>
      </c>
      <c r="D15" s="3">
        <v>1700</v>
      </c>
      <c r="E15" s="1" t="str">
        <f t="shared" si="0"/>
        <v>Aug 2012</v>
      </c>
    </row>
    <row r="16" spans="1:14" ht="10.199999999999999" x14ac:dyDescent="0.25">
      <c r="A16" s="1">
        <v>1</v>
      </c>
      <c r="B16" s="1" t="s">
        <v>9</v>
      </c>
      <c r="C16" s="2">
        <v>41129</v>
      </c>
      <c r="D16" s="3">
        <v>1700</v>
      </c>
      <c r="E16" s="1" t="str">
        <f t="shared" si="0"/>
        <v>Aug 2012</v>
      </c>
    </row>
    <row r="17" spans="1:5" ht="10.199999999999999" x14ac:dyDescent="0.25">
      <c r="A17" s="1">
        <v>1</v>
      </c>
      <c r="B17" s="1" t="s">
        <v>9</v>
      </c>
      <c r="C17" s="2">
        <v>41131</v>
      </c>
      <c r="D17" s="3">
        <v>1700</v>
      </c>
      <c r="E17" s="1" t="str">
        <f t="shared" si="0"/>
        <v>Aug 2012</v>
      </c>
    </row>
    <row r="18" spans="1:5" ht="10.199999999999999" x14ac:dyDescent="0.25">
      <c r="A18" s="1">
        <v>1</v>
      </c>
      <c r="B18" s="1" t="s">
        <v>9</v>
      </c>
      <c r="C18" s="2">
        <v>41134</v>
      </c>
      <c r="D18" s="3">
        <v>1700</v>
      </c>
      <c r="E18" s="1" t="str">
        <f t="shared" si="0"/>
        <v>Aug 2012</v>
      </c>
    </row>
    <row r="19" spans="1:5" ht="10.199999999999999" x14ac:dyDescent="0.25">
      <c r="A19" s="1">
        <v>1</v>
      </c>
      <c r="B19" s="1" t="s">
        <v>9</v>
      </c>
      <c r="C19" s="2">
        <v>41138</v>
      </c>
      <c r="D19" s="3">
        <v>1700</v>
      </c>
      <c r="E19" s="1" t="str">
        <f t="shared" si="0"/>
        <v>Aug 2012</v>
      </c>
    </row>
    <row r="20" spans="1:5" ht="10.199999999999999" x14ac:dyDescent="0.25">
      <c r="A20" s="1">
        <v>1</v>
      </c>
      <c r="B20" s="1" t="s">
        <v>9</v>
      </c>
      <c r="C20" s="2">
        <v>41141</v>
      </c>
      <c r="D20" s="3">
        <v>1700</v>
      </c>
      <c r="E20" s="1" t="str">
        <f t="shared" si="0"/>
        <v>Aug 2012</v>
      </c>
    </row>
    <row r="21" spans="1:5" ht="10.199999999999999" x14ac:dyDescent="0.25">
      <c r="A21" s="1">
        <v>1</v>
      </c>
      <c r="B21" s="1" t="s">
        <v>9</v>
      </c>
      <c r="C21" s="2">
        <v>41143</v>
      </c>
      <c r="D21" s="3">
        <v>1700</v>
      </c>
      <c r="E21" s="1" t="str">
        <f t="shared" si="0"/>
        <v>Aug 2012</v>
      </c>
    </row>
    <row r="22" spans="1:5" ht="10.199999999999999" x14ac:dyDescent="0.25">
      <c r="A22" s="1">
        <v>1</v>
      </c>
      <c r="B22" s="1" t="s">
        <v>9</v>
      </c>
      <c r="C22" s="2">
        <v>41145</v>
      </c>
      <c r="D22" s="3">
        <v>1900</v>
      </c>
      <c r="E22" s="1" t="str">
        <f t="shared" si="0"/>
        <v>Aug 2012</v>
      </c>
    </row>
    <row r="23" spans="1:5" ht="10.199999999999999" x14ac:dyDescent="0.25">
      <c r="A23" s="1">
        <v>1</v>
      </c>
      <c r="B23" s="1" t="s">
        <v>9</v>
      </c>
      <c r="C23" s="2">
        <v>41148</v>
      </c>
      <c r="D23" s="3">
        <v>1900</v>
      </c>
      <c r="E23" s="1" t="str">
        <f t="shared" si="0"/>
        <v>Aug 2012</v>
      </c>
    </row>
    <row r="24" spans="1:5" ht="10.199999999999999" x14ac:dyDescent="0.25">
      <c r="A24" s="1">
        <v>1</v>
      </c>
      <c r="B24" s="1" t="s">
        <v>9</v>
      </c>
      <c r="C24" s="2">
        <v>41150</v>
      </c>
      <c r="D24" s="3">
        <v>1900</v>
      </c>
      <c r="E24" s="1" t="str">
        <f t="shared" si="0"/>
        <v>Aug 2012</v>
      </c>
    </row>
    <row r="25" spans="1:5" ht="10.199999999999999" x14ac:dyDescent="0.25">
      <c r="A25" s="1">
        <v>1</v>
      </c>
      <c r="B25" s="1" t="s">
        <v>9</v>
      </c>
      <c r="C25" s="2">
        <v>41152</v>
      </c>
      <c r="D25" s="3">
        <v>1900</v>
      </c>
      <c r="E25" s="1" t="str">
        <f t="shared" si="0"/>
        <v>Aug 2012</v>
      </c>
    </row>
    <row r="26" spans="1:5" ht="10.199999999999999" x14ac:dyDescent="0.25">
      <c r="A26" s="1">
        <v>1</v>
      </c>
      <c r="B26" s="1" t="s">
        <v>9</v>
      </c>
      <c r="C26" s="2">
        <v>41155</v>
      </c>
      <c r="D26" s="3">
        <v>1900</v>
      </c>
      <c r="E26" s="1" t="str">
        <f t="shared" si="0"/>
        <v>Sep 2012</v>
      </c>
    </row>
    <row r="27" spans="1:5" ht="10.199999999999999" x14ac:dyDescent="0.25">
      <c r="A27" s="1">
        <v>1</v>
      </c>
      <c r="B27" s="1" t="s">
        <v>9</v>
      </c>
      <c r="C27" s="2">
        <v>41157</v>
      </c>
      <c r="D27" s="3">
        <v>1900</v>
      </c>
      <c r="E27" s="1" t="str">
        <f t="shared" si="0"/>
        <v>Sep 2012</v>
      </c>
    </row>
    <row r="28" spans="1:5" ht="10.199999999999999" x14ac:dyDescent="0.25">
      <c r="A28" s="1">
        <v>1</v>
      </c>
      <c r="B28" s="1" t="s">
        <v>10</v>
      </c>
      <c r="C28" s="2">
        <v>41164</v>
      </c>
      <c r="D28" s="3">
        <v>4</v>
      </c>
      <c r="E28" s="1" t="str">
        <f t="shared" si="0"/>
        <v>Sep 2012</v>
      </c>
    </row>
    <row r="29" spans="1:5" ht="10.199999999999999" x14ac:dyDescent="0.25">
      <c r="A29" s="1">
        <v>1</v>
      </c>
      <c r="B29" s="1" t="s">
        <v>10</v>
      </c>
      <c r="C29" s="2">
        <v>41199</v>
      </c>
      <c r="D29" s="3">
        <v>3</v>
      </c>
      <c r="E29" s="1" t="str">
        <f t="shared" si="0"/>
        <v>Oct 2012</v>
      </c>
    </row>
    <row r="30" spans="1:5" ht="10.199999999999999" x14ac:dyDescent="0.25">
      <c r="A30" s="1">
        <v>1</v>
      </c>
      <c r="B30" s="1" t="s">
        <v>10</v>
      </c>
      <c r="C30" s="2">
        <v>41241</v>
      </c>
      <c r="D30" s="3">
        <v>1</v>
      </c>
      <c r="E30" s="1" t="str">
        <f t="shared" si="0"/>
        <v>Nov 2012</v>
      </c>
    </row>
    <row r="31" spans="1:5" ht="10.199999999999999" x14ac:dyDescent="0.25">
      <c r="A31" s="1">
        <v>2</v>
      </c>
      <c r="B31" s="1" t="s">
        <v>9</v>
      </c>
      <c r="C31" s="2">
        <v>41093</v>
      </c>
      <c r="D31" s="3">
        <v>1100</v>
      </c>
      <c r="E31" s="1" t="str">
        <f t="shared" si="0"/>
        <v>Jul 2012</v>
      </c>
    </row>
    <row r="32" spans="1:5" ht="10.199999999999999" x14ac:dyDescent="0.25">
      <c r="A32" s="1">
        <v>2</v>
      </c>
      <c r="B32" s="1" t="s">
        <v>9</v>
      </c>
      <c r="C32" s="2">
        <v>41095</v>
      </c>
      <c r="D32" s="3">
        <v>1100</v>
      </c>
      <c r="E32" s="1" t="str">
        <f t="shared" si="0"/>
        <v>Jul 2012</v>
      </c>
    </row>
    <row r="33" spans="1:5" ht="10.199999999999999" x14ac:dyDescent="0.25">
      <c r="A33" s="1">
        <v>2</v>
      </c>
      <c r="B33" s="1" t="s">
        <v>9</v>
      </c>
      <c r="C33" s="2">
        <v>41096</v>
      </c>
      <c r="D33" s="3">
        <v>1300</v>
      </c>
      <c r="E33" s="1" t="str">
        <f t="shared" si="0"/>
        <v>Jul 2012</v>
      </c>
    </row>
    <row r="34" spans="1:5" ht="10.199999999999999" x14ac:dyDescent="0.25">
      <c r="A34" s="1">
        <v>2</v>
      </c>
      <c r="B34" s="1" t="s">
        <v>9</v>
      </c>
      <c r="C34" s="2">
        <v>41097</v>
      </c>
      <c r="D34" s="3">
        <v>1300</v>
      </c>
      <c r="E34" s="1" t="str">
        <f t="shared" si="0"/>
        <v>Jul 2012</v>
      </c>
    </row>
    <row r="35" spans="1:5" ht="10.199999999999999" x14ac:dyDescent="0.25">
      <c r="A35" s="1">
        <v>2</v>
      </c>
      <c r="B35" s="1" t="s">
        <v>9</v>
      </c>
      <c r="C35" s="2">
        <v>41100</v>
      </c>
      <c r="D35" s="3">
        <v>1300</v>
      </c>
      <c r="E35" s="1" t="str">
        <f t="shared" si="0"/>
        <v>Jul 2012</v>
      </c>
    </row>
    <row r="36" spans="1:5" ht="10.199999999999999" x14ac:dyDescent="0.25">
      <c r="A36" s="1">
        <v>2</v>
      </c>
      <c r="B36" s="1" t="s">
        <v>9</v>
      </c>
      <c r="C36" s="2">
        <v>41102</v>
      </c>
      <c r="D36" s="3">
        <v>1300</v>
      </c>
      <c r="E36" s="1" t="str">
        <f t="shared" si="0"/>
        <v>Jul 2012</v>
      </c>
    </row>
    <row r="37" spans="1:5" ht="10.199999999999999" x14ac:dyDescent="0.25">
      <c r="A37" s="1">
        <v>2</v>
      </c>
      <c r="B37" s="1" t="s">
        <v>9</v>
      </c>
      <c r="C37" s="2">
        <v>41104</v>
      </c>
      <c r="D37" s="3">
        <v>1300</v>
      </c>
      <c r="E37" s="1" t="str">
        <f t="shared" si="0"/>
        <v>Jul 2012</v>
      </c>
    </row>
    <row r="38" spans="1:5" ht="10.199999999999999" x14ac:dyDescent="0.25">
      <c r="A38" s="1">
        <v>2</v>
      </c>
      <c r="B38" s="1" t="s">
        <v>9</v>
      </c>
      <c r="C38" s="2">
        <v>41107</v>
      </c>
      <c r="D38" s="3">
        <v>1300</v>
      </c>
      <c r="E38" s="1" t="str">
        <f t="shared" si="0"/>
        <v>Jul 2012</v>
      </c>
    </row>
    <row r="39" spans="1:5" ht="10.199999999999999" x14ac:dyDescent="0.25">
      <c r="A39" s="1">
        <v>2</v>
      </c>
      <c r="B39" s="1" t="s">
        <v>9</v>
      </c>
      <c r="C39" s="2">
        <v>41109</v>
      </c>
      <c r="D39" s="3">
        <v>1300</v>
      </c>
      <c r="E39" s="1" t="str">
        <f t="shared" si="0"/>
        <v>Jul 2012</v>
      </c>
    </row>
    <row r="40" spans="1:5" ht="10.199999999999999" x14ac:dyDescent="0.25">
      <c r="A40" s="1">
        <v>2</v>
      </c>
      <c r="B40" s="1" t="s">
        <v>9</v>
      </c>
      <c r="C40" s="2">
        <v>41111</v>
      </c>
      <c r="D40" s="3">
        <v>1300</v>
      </c>
      <c r="E40" s="1" t="str">
        <f t="shared" si="0"/>
        <v>Jul 2012</v>
      </c>
    </row>
    <row r="41" spans="1:5" ht="10.199999999999999" x14ac:dyDescent="0.25">
      <c r="A41" s="1">
        <v>2</v>
      </c>
      <c r="B41" s="1" t="s">
        <v>9</v>
      </c>
      <c r="C41" s="2">
        <v>41114</v>
      </c>
      <c r="D41" s="3">
        <v>1300</v>
      </c>
      <c r="E41" s="1" t="str">
        <f t="shared" si="0"/>
        <v>Jul 2012</v>
      </c>
    </row>
    <row r="42" spans="1:5" ht="10.199999999999999" x14ac:dyDescent="0.25">
      <c r="A42" s="1">
        <v>2</v>
      </c>
      <c r="B42" s="1" t="s">
        <v>9</v>
      </c>
      <c r="C42" s="2">
        <v>41116</v>
      </c>
      <c r="D42" s="3">
        <v>1300</v>
      </c>
      <c r="E42" s="1" t="str">
        <f t="shared" si="0"/>
        <v>Jul 2012</v>
      </c>
    </row>
    <row r="43" spans="1:5" ht="10.199999999999999" x14ac:dyDescent="0.25">
      <c r="A43" s="1">
        <v>2</v>
      </c>
      <c r="B43" s="1" t="s">
        <v>9</v>
      </c>
      <c r="C43" s="2">
        <v>41118</v>
      </c>
      <c r="D43" s="3">
        <v>1300</v>
      </c>
      <c r="E43" s="1" t="str">
        <f t="shared" si="0"/>
        <v>Jul 2012</v>
      </c>
    </row>
    <row r="44" spans="1:5" ht="10.199999999999999" x14ac:dyDescent="0.25">
      <c r="A44" s="1">
        <v>2</v>
      </c>
      <c r="B44" s="1" t="s">
        <v>9</v>
      </c>
      <c r="C44" s="2">
        <v>41121</v>
      </c>
      <c r="D44" s="3">
        <v>1300</v>
      </c>
      <c r="E44" s="1" t="str">
        <f t="shared" si="0"/>
        <v>Jul 2012</v>
      </c>
    </row>
    <row r="45" spans="1:5" ht="10.199999999999999" x14ac:dyDescent="0.25">
      <c r="A45" s="1">
        <v>2</v>
      </c>
      <c r="B45" s="1" t="s">
        <v>9</v>
      </c>
      <c r="C45" s="2">
        <v>41123</v>
      </c>
      <c r="D45" s="3">
        <v>1300</v>
      </c>
      <c r="E45" s="1" t="str">
        <f t="shared" si="0"/>
        <v>Aug 2012</v>
      </c>
    </row>
    <row r="46" spans="1:5" ht="10.199999999999999" x14ac:dyDescent="0.25">
      <c r="A46" s="1">
        <v>2</v>
      </c>
      <c r="B46" s="1" t="s">
        <v>9</v>
      </c>
      <c r="C46" s="2">
        <v>41125</v>
      </c>
      <c r="D46" s="3">
        <v>1300</v>
      </c>
      <c r="E46" s="1" t="str">
        <f t="shared" si="0"/>
        <v>Aug 2012</v>
      </c>
    </row>
    <row r="47" spans="1:5" ht="10.199999999999999" x14ac:dyDescent="0.25">
      <c r="A47" s="1">
        <v>2</v>
      </c>
      <c r="B47" s="1" t="s">
        <v>9</v>
      </c>
      <c r="C47" s="2">
        <v>41128</v>
      </c>
      <c r="D47" s="3">
        <v>1300</v>
      </c>
      <c r="E47" s="1" t="str">
        <f t="shared" si="0"/>
        <v>Aug 2012</v>
      </c>
    </row>
    <row r="48" spans="1:5" ht="10.199999999999999" x14ac:dyDescent="0.25">
      <c r="A48" s="1">
        <v>2</v>
      </c>
      <c r="B48" s="1" t="s">
        <v>9</v>
      </c>
      <c r="C48" s="2">
        <v>41130</v>
      </c>
      <c r="D48" s="3">
        <v>1300</v>
      </c>
      <c r="E48" s="1" t="str">
        <f t="shared" si="0"/>
        <v>Aug 2012</v>
      </c>
    </row>
    <row r="49" spans="1:5" ht="10.199999999999999" x14ac:dyDescent="0.25">
      <c r="A49" s="1">
        <v>2</v>
      </c>
      <c r="B49" s="1" t="s">
        <v>9</v>
      </c>
      <c r="C49" s="2">
        <v>41131</v>
      </c>
      <c r="D49" s="3">
        <v>1300</v>
      </c>
      <c r="E49" s="1" t="str">
        <f t="shared" si="0"/>
        <v>Aug 2012</v>
      </c>
    </row>
    <row r="50" spans="1:5" ht="10.199999999999999" x14ac:dyDescent="0.25">
      <c r="A50" s="1">
        <v>2</v>
      </c>
      <c r="B50" s="1" t="s">
        <v>9</v>
      </c>
      <c r="C50" s="2">
        <v>41135</v>
      </c>
      <c r="D50" s="3">
        <v>1300</v>
      </c>
      <c r="E50" s="1" t="str">
        <f t="shared" si="0"/>
        <v>Aug 2012</v>
      </c>
    </row>
    <row r="51" spans="1:5" ht="10.199999999999999" x14ac:dyDescent="0.25">
      <c r="A51" s="1">
        <v>2</v>
      </c>
      <c r="B51" s="1" t="s">
        <v>9</v>
      </c>
      <c r="C51" s="2">
        <v>41139</v>
      </c>
      <c r="D51" s="3">
        <v>1300</v>
      </c>
      <c r="E51" s="1" t="str">
        <f t="shared" si="0"/>
        <v>Aug 2012</v>
      </c>
    </row>
    <row r="52" spans="1:5" ht="10.199999999999999" x14ac:dyDescent="0.25">
      <c r="A52" s="1">
        <v>2</v>
      </c>
      <c r="B52" s="1" t="s">
        <v>10</v>
      </c>
      <c r="C52" s="2">
        <v>41165</v>
      </c>
      <c r="D52" s="3">
        <v>3</v>
      </c>
      <c r="E52" s="1" t="str">
        <f t="shared" si="0"/>
        <v>Sep 2012</v>
      </c>
    </row>
    <row r="53" spans="1:5" ht="10.199999999999999" x14ac:dyDescent="0.25">
      <c r="A53" s="1">
        <v>3</v>
      </c>
      <c r="B53" s="1" t="s">
        <v>9</v>
      </c>
      <c r="C53" s="2">
        <v>41092</v>
      </c>
      <c r="D53" s="3">
        <v>100</v>
      </c>
      <c r="E53" s="1" t="str">
        <f t="shared" si="0"/>
        <v>Jul 2012</v>
      </c>
    </row>
    <row r="54" spans="1:5" ht="10.199999999999999" x14ac:dyDescent="0.25">
      <c r="A54" s="1">
        <v>3</v>
      </c>
      <c r="B54" s="1" t="s">
        <v>9</v>
      </c>
      <c r="C54" s="2">
        <v>41094</v>
      </c>
      <c r="D54" s="3">
        <v>100</v>
      </c>
      <c r="E54" s="1" t="str">
        <f t="shared" si="0"/>
        <v>Jul 2012</v>
      </c>
    </row>
    <row r="55" spans="1:5" ht="10.199999999999999" x14ac:dyDescent="0.25">
      <c r="A55" s="1">
        <v>4</v>
      </c>
      <c r="B55" s="1" t="s">
        <v>9</v>
      </c>
      <c r="C55" s="2">
        <v>41092</v>
      </c>
      <c r="D55" s="3">
        <v>1200</v>
      </c>
      <c r="E55" s="1" t="str">
        <f t="shared" si="0"/>
        <v>Jul 2012</v>
      </c>
    </row>
    <row r="56" spans="1:5" ht="10.199999999999999" x14ac:dyDescent="0.25">
      <c r="A56" s="1">
        <v>4</v>
      </c>
      <c r="B56" s="1" t="s">
        <v>9</v>
      </c>
      <c r="C56" s="2">
        <v>41094</v>
      </c>
      <c r="D56" s="3">
        <v>1200</v>
      </c>
      <c r="E56" s="1" t="str">
        <f t="shared" si="0"/>
        <v>Jul 2012</v>
      </c>
    </row>
    <row r="57" spans="1:5" ht="10.199999999999999" x14ac:dyDescent="0.25">
      <c r="A57" s="1">
        <v>4</v>
      </c>
      <c r="B57" s="1" t="s">
        <v>9</v>
      </c>
      <c r="C57" s="2">
        <v>41096</v>
      </c>
      <c r="D57" s="3">
        <v>1200</v>
      </c>
      <c r="E57" s="1" t="str">
        <f t="shared" si="0"/>
        <v>Jul 2012</v>
      </c>
    </row>
    <row r="58" spans="1:5" ht="10.199999999999999" x14ac:dyDescent="0.25">
      <c r="A58" s="1">
        <v>4</v>
      </c>
      <c r="B58" s="1" t="s">
        <v>9</v>
      </c>
      <c r="C58" s="2">
        <v>41099</v>
      </c>
      <c r="D58" s="3">
        <v>1200</v>
      </c>
      <c r="E58" s="1" t="str">
        <f t="shared" si="0"/>
        <v>Jul 2012</v>
      </c>
    </row>
    <row r="59" spans="1:5" ht="10.199999999999999" x14ac:dyDescent="0.25">
      <c r="A59" s="1">
        <v>4</v>
      </c>
      <c r="B59" s="1" t="s">
        <v>9</v>
      </c>
      <c r="C59" s="2">
        <v>41101</v>
      </c>
      <c r="D59" s="3">
        <v>1200</v>
      </c>
      <c r="E59" s="1" t="str">
        <f t="shared" si="0"/>
        <v>Jul 2012</v>
      </c>
    </row>
    <row r="60" spans="1:5" ht="10.199999999999999" x14ac:dyDescent="0.25">
      <c r="A60" s="1">
        <v>4</v>
      </c>
      <c r="B60" s="1" t="s">
        <v>9</v>
      </c>
      <c r="C60" s="2">
        <v>41103</v>
      </c>
      <c r="D60" s="3">
        <v>1200</v>
      </c>
      <c r="E60" s="1" t="str">
        <f t="shared" si="0"/>
        <v>Jul 2012</v>
      </c>
    </row>
    <row r="61" spans="1:5" ht="10.199999999999999" x14ac:dyDescent="0.25">
      <c r="A61" s="1">
        <v>4</v>
      </c>
      <c r="B61" s="1" t="s">
        <v>9</v>
      </c>
      <c r="C61" s="2">
        <v>41106</v>
      </c>
      <c r="D61" s="3">
        <v>1200</v>
      </c>
      <c r="E61" s="1" t="str">
        <f t="shared" si="0"/>
        <v>Jul 2012</v>
      </c>
    </row>
    <row r="62" spans="1:5" ht="10.199999999999999" x14ac:dyDescent="0.25">
      <c r="A62" s="1">
        <v>4</v>
      </c>
      <c r="B62" s="1" t="s">
        <v>9</v>
      </c>
      <c r="C62" s="2">
        <v>41108</v>
      </c>
      <c r="D62" s="3">
        <v>1200</v>
      </c>
      <c r="E62" s="1" t="str">
        <f t="shared" si="0"/>
        <v>Jul 2012</v>
      </c>
    </row>
    <row r="63" spans="1:5" ht="10.199999999999999" x14ac:dyDescent="0.25">
      <c r="A63" s="1">
        <v>4</v>
      </c>
      <c r="B63" s="1" t="s">
        <v>9</v>
      </c>
      <c r="C63" s="2">
        <v>41110</v>
      </c>
      <c r="D63" s="3">
        <v>1200</v>
      </c>
      <c r="E63" s="1" t="str">
        <f t="shared" si="0"/>
        <v>Jul 2012</v>
      </c>
    </row>
    <row r="64" spans="1:5" ht="10.199999999999999" x14ac:dyDescent="0.25">
      <c r="A64" s="1">
        <v>4</v>
      </c>
      <c r="B64" s="1" t="s">
        <v>9</v>
      </c>
      <c r="C64" s="2">
        <v>41113</v>
      </c>
      <c r="D64" s="3">
        <v>1200</v>
      </c>
      <c r="E64" s="1" t="str">
        <f t="shared" si="0"/>
        <v>Jul 2012</v>
      </c>
    </row>
    <row r="65" spans="1:5" ht="10.199999999999999" x14ac:dyDescent="0.25">
      <c r="A65" s="1">
        <v>4</v>
      </c>
      <c r="B65" s="1" t="s">
        <v>9</v>
      </c>
      <c r="C65" s="2">
        <v>41115</v>
      </c>
      <c r="D65" s="3">
        <v>1200</v>
      </c>
      <c r="E65" s="1" t="str">
        <f t="shared" si="0"/>
        <v>Jul 2012</v>
      </c>
    </row>
    <row r="66" spans="1:5" ht="10.199999999999999" x14ac:dyDescent="0.25">
      <c r="A66" s="1">
        <v>4</v>
      </c>
      <c r="B66" s="1" t="s">
        <v>9</v>
      </c>
      <c r="C66" s="2">
        <v>41117</v>
      </c>
      <c r="D66" s="3">
        <v>1200</v>
      </c>
      <c r="E66" s="1" t="str">
        <f t="shared" si="0"/>
        <v>Jul 2012</v>
      </c>
    </row>
    <row r="67" spans="1:5" ht="10.199999999999999" x14ac:dyDescent="0.25">
      <c r="A67" s="1">
        <v>4</v>
      </c>
      <c r="B67" s="1" t="s">
        <v>9</v>
      </c>
      <c r="C67" s="2">
        <v>41120</v>
      </c>
      <c r="D67" s="3">
        <v>1200</v>
      </c>
      <c r="E67" s="1" t="str">
        <f t="shared" ref="E67:E130" si="1">TEXT(C67,"mmm yyyy")</f>
        <v>Jul 2012</v>
      </c>
    </row>
    <row r="68" spans="1:5" ht="10.199999999999999" x14ac:dyDescent="0.25">
      <c r="A68" s="1">
        <v>4</v>
      </c>
      <c r="B68" s="1" t="s">
        <v>9</v>
      </c>
      <c r="C68" s="2">
        <v>41122</v>
      </c>
      <c r="D68" s="3">
        <v>1200</v>
      </c>
      <c r="E68" s="1" t="str">
        <f t="shared" si="1"/>
        <v>Aug 2012</v>
      </c>
    </row>
    <row r="69" spans="1:5" ht="10.199999999999999" x14ac:dyDescent="0.25">
      <c r="A69" s="1">
        <v>4</v>
      </c>
      <c r="B69" s="1" t="s">
        <v>9</v>
      </c>
      <c r="C69" s="2">
        <v>41124</v>
      </c>
      <c r="D69" s="3">
        <v>1200</v>
      </c>
      <c r="E69" s="1" t="str">
        <f t="shared" si="1"/>
        <v>Aug 2012</v>
      </c>
    </row>
    <row r="70" spans="1:5" ht="10.199999999999999" x14ac:dyDescent="0.25">
      <c r="A70" s="1">
        <v>4</v>
      </c>
      <c r="B70" s="1" t="s">
        <v>9</v>
      </c>
      <c r="C70" s="2">
        <v>41127</v>
      </c>
      <c r="D70" s="3">
        <v>1300</v>
      </c>
      <c r="E70" s="1" t="str">
        <f t="shared" si="1"/>
        <v>Aug 2012</v>
      </c>
    </row>
    <row r="71" spans="1:5" ht="10.199999999999999" x14ac:dyDescent="0.25">
      <c r="A71" s="1">
        <v>4</v>
      </c>
      <c r="B71" s="1" t="s">
        <v>9</v>
      </c>
      <c r="C71" s="2">
        <v>41129</v>
      </c>
      <c r="D71" s="3">
        <v>1300</v>
      </c>
      <c r="E71" s="1" t="str">
        <f t="shared" si="1"/>
        <v>Aug 2012</v>
      </c>
    </row>
    <row r="72" spans="1:5" ht="10.199999999999999" x14ac:dyDescent="0.25">
      <c r="A72" s="1">
        <v>4</v>
      </c>
      <c r="B72" s="1" t="s">
        <v>9</v>
      </c>
      <c r="C72" s="2">
        <v>41131</v>
      </c>
      <c r="D72" s="3">
        <v>1300</v>
      </c>
      <c r="E72" s="1" t="str">
        <f t="shared" si="1"/>
        <v>Aug 2012</v>
      </c>
    </row>
    <row r="73" spans="1:5" ht="10.199999999999999" x14ac:dyDescent="0.25">
      <c r="A73" s="1">
        <v>4</v>
      </c>
      <c r="B73" s="1" t="s">
        <v>9</v>
      </c>
      <c r="C73" s="2">
        <v>41134</v>
      </c>
      <c r="D73" s="3">
        <v>1300</v>
      </c>
      <c r="E73" s="1" t="str">
        <f t="shared" si="1"/>
        <v>Aug 2012</v>
      </c>
    </row>
    <row r="74" spans="1:5" ht="10.199999999999999" x14ac:dyDescent="0.25">
      <c r="A74" s="1">
        <v>4</v>
      </c>
      <c r="B74" s="1" t="s">
        <v>9</v>
      </c>
      <c r="C74" s="2">
        <v>41136</v>
      </c>
      <c r="D74" s="3">
        <v>1300</v>
      </c>
      <c r="E74" s="1" t="str">
        <f t="shared" si="1"/>
        <v>Aug 2012</v>
      </c>
    </row>
    <row r="75" spans="1:5" ht="10.199999999999999" x14ac:dyDescent="0.25">
      <c r="A75" s="1">
        <v>4</v>
      </c>
      <c r="B75" s="1" t="s">
        <v>9</v>
      </c>
      <c r="C75" s="2">
        <v>41138</v>
      </c>
      <c r="D75" s="3">
        <v>1300</v>
      </c>
      <c r="E75" s="1" t="str">
        <f t="shared" si="1"/>
        <v>Aug 2012</v>
      </c>
    </row>
    <row r="76" spans="1:5" ht="10.199999999999999" x14ac:dyDescent="0.25">
      <c r="A76" s="1">
        <v>4</v>
      </c>
      <c r="B76" s="1" t="s">
        <v>9</v>
      </c>
      <c r="C76" s="2">
        <v>41142</v>
      </c>
      <c r="D76" s="3">
        <v>1300</v>
      </c>
      <c r="E76" s="1" t="str">
        <f t="shared" si="1"/>
        <v>Aug 2012</v>
      </c>
    </row>
    <row r="77" spans="1:5" ht="10.199999999999999" x14ac:dyDescent="0.25">
      <c r="A77" s="1">
        <v>4</v>
      </c>
      <c r="B77" s="1" t="s">
        <v>9</v>
      </c>
      <c r="C77" s="2">
        <v>41143</v>
      </c>
      <c r="D77" s="3">
        <v>1300</v>
      </c>
      <c r="E77" s="1" t="str">
        <f t="shared" si="1"/>
        <v>Aug 2012</v>
      </c>
    </row>
    <row r="78" spans="1:5" ht="10.199999999999999" x14ac:dyDescent="0.25">
      <c r="A78" s="1">
        <v>4</v>
      </c>
      <c r="B78" s="1" t="s">
        <v>9</v>
      </c>
      <c r="C78" s="2">
        <v>41145</v>
      </c>
      <c r="D78" s="3">
        <v>1300</v>
      </c>
      <c r="E78" s="1" t="str">
        <f t="shared" si="1"/>
        <v>Aug 2012</v>
      </c>
    </row>
    <row r="79" spans="1:5" ht="10.199999999999999" x14ac:dyDescent="0.25">
      <c r="A79" s="1">
        <v>4</v>
      </c>
      <c r="B79" s="1" t="s">
        <v>9</v>
      </c>
      <c r="C79" s="2">
        <v>41148</v>
      </c>
      <c r="D79" s="3">
        <v>1300</v>
      </c>
      <c r="E79" s="1" t="str">
        <f t="shared" si="1"/>
        <v>Aug 2012</v>
      </c>
    </row>
    <row r="80" spans="1:5" ht="10.199999999999999" x14ac:dyDescent="0.25">
      <c r="A80" s="1">
        <v>4</v>
      </c>
      <c r="B80" s="1" t="s">
        <v>9</v>
      </c>
      <c r="C80" s="2">
        <v>41150</v>
      </c>
      <c r="D80" s="3">
        <v>1300</v>
      </c>
      <c r="E80" s="1" t="str">
        <f t="shared" si="1"/>
        <v>Aug 2012</v>
      </c>
    </row>
    <row r="81" spans="1:5" ht="10.199999999999999" x14ac:dyDescent="0.25">
      <c r="A81" s="1">
        <v>4</v>
      </c>
      <c r="B81" s="1" t="s">
        <v>9</v>
      </c>
      <c r="C81" s="2">
        <v>41152</v>
      </c>
      <c r="D81" s="3">
        <v>1300</v>
      </c>
      <c r="E81" s="1" t="str">
        <f t="shared" si="1"/>
        <v>Aug 2012</v>
      </c>
    </row>
    <row r="82" spans="1:5" ht="10.199999999999999" x14ac:dyDescent="0.25">
      <c r="A82" s="1">
        <v>4</v>
      </c>
      <c r="B82" s="1" t="s">
        <v>9</v>
      </c>
      <c r="C82" s="2">
        <v>41155</v>
      </c>
      <c r="D82" s="3">
        <v>1300</v>
      </c>
      <c r="E82" s="1" t="str">
        <f t="shared" si="1"/>
        <v>Sep 2012</v>
      </c>
    </row>
    <row r="83" spans="1:5" ht="10.199999999999999" x14ac:dyDescent="0.25">
      <c r="A83" s="1">
        <v>4</v>
      </c>
      <c r="B83" s="1" t="s">
        <v>9</v>
      </c>
      <c r="C83" s="2">
        <v>41157</v>
      </c>
      <c r="D83" s="3">
        <v>1300</v>
      </c>
      <c r="E83" s="1" t="str">
        <f t="shared" si="1"/>
        <v>Sep 2012</v>
      </c>
    </row>
    <row r="84" spans="1:5" ht="10.199999999999999" x14ac:dyDescent="0.25">
      <c r="A84" s="1">
        <v>4</v>
      </c>
      <c r="B84" s="1" t="s">
        <v>10</v>
      </c>
      <c r="C84" s="2">
        <v>41164</v>
      </c>
      <c r="D84" s="3">
        <v>3</v>
      </c>
      <c r="E84" s="1" t="str">
        <f t="shared" si="1"/>
        <v>Sep 2012</v>
      </c>
    </row>
    <row r="85" spans="1:5" ht="10.199999999999999" x14ac:dyDescent="0.25">
      <c r="A85" s="1">
        <v>4</v>
      </c>
      <c r="B85" s="1" t="s">
        <v>10</v>
      </c>
      <c r="C85" s="2">
        <v>41227</v>
      </c>
      <c r="D85" s="3">
        <v>1</v>
      </c>
      <c r="E85" s="1" t="str">
        <f t="shared" si="1"/>
        <v>Nov 2012</v>
      </c>
    </row>
    <row r="86" spans="1:5" ht="10.199999999999999" x14ac:dyDescent="0.25">
      <c r="A86" s="1">
        <v>5</v>
      </c>
      <c r="B86" s="1" t="s">
        <v>9</v>
      </c>
      <c r="C86" s="2">
        <v>41096</v>
      </c>
      <c r="D86" s="3">
        <v>5700</v>
      </c>
      <c r="E86" s="1" t="str">
        <f t="shared" si="1"/>
        <v>Jul 2012</v>
      </c>
    </row>
    <row r="87" spans="1:5" ht="10.199999999999999" x14ac:dyDescent="0.25">
      <c r="A87" s="1">
        <v>5</v>
      </c>
      <c r="B87" s="1" t="s">
        <v>9</v>
      </c>
      <c r="C87" s="2">
        <v>41099</v>
      </c>
      <c r="D87" s="3">
        <v>5700</v>
      </c>
      <c r="E87" s="1" t="str">
        <f t="shared" si="1"/>
        <v>Jul 2012</v>
      </c>
    </row>
    <row r="88" spans="1:5" ht="10.199999999999999" x14ac:dyDescent="0.25">
      <c r="A88" s="1">
        <v>5</v>
      </c>
      <c r="B88" s="1" t="s">
        <v>9</v>
      </c>
      <c r="C88" s="2">
        <v>41101</v>
      </c>
      <c r="D88" s="3">
        <v>5700</v>
      </c>
      <c r="E88" s="1" t="str">
        <f t="shared" si="1"/>
        <v>Jul 2012</v>
      </c>
    </row>
    <row r="89" spans="1:5" ht="10.199999999999999" x14ac:dyDescent="0.25">
      <c r="A89" s="1">
        <v>5</v>
      </c>
      <c r="B89" s="1" t="s">
        <v>9</v>
      </c>
      <c r="C89" s="2">
        <v>41103</v>
      </c>
      <c r="D89" s="3">
        <v>5700</v>
      </c>
      <c r="E89" s="1" t="str">
        <f t="shared" si="1"/>
        <v>Jul 2012</v>
      </c>
    </row>
    <row r="90" spans="1:5" ht="10.199999999999999" x14ac:dyDescent="0.25">
      <c r="A90" s="1">
        <v>5</v>
      </c>
      <c r="B90" s="1" t="s">
        <v>9</v>
      </c>
      <c r="C90" s="2">
        <v>41106</v>
      </c>
      <c r="D90" s="3">
        <v>5700</v>
      </c>
      <c r="E90" s="1" t="str">
        <f t="shared" si="1"/>
        <v>Jul 2012</v>
      </c>
    </row>
    <row r="91" spans="1:5" ht="10.199999999999999" x14ac:dyDescent="0.25">
      <c r="A91" s="1">
        <v>5</v>
      </c>
      <c r="B91" s="1" t="s">
        <v>9</v>
      </c>
      <c r="C91" s="2">
        <v>41108</v>
      </c>
      <c r="D91" s="3">
        <v>5700</v>
      </c>
      <c r="E91" s="1" t="str">
        <f t="shared" si="1"/>
        <v>Jul 2012</v>
      </c>
    </row>
    <row r="92" spans="1:5" ht="10.199999999999999" x14ac:dyDescent="0.25">
      <c r="A92" s="1">
        <v>5</v>
      </c>
      <c r="B92" s="1" t="s">
        <v>9</v>
      </c>
      <c r="C92" s="2">
        <v>41110</v>
      </c>
      <c r="D92" s="3">
        <v>5700</v>
      </c>
      <c r="E92" s="1" t="str">
        <f t="shared" si="1"/>
        <v>Jul 2012</v>
      </c>
    </row>
    <row r="93" spans="1:5" ht="10.199999999999999" x14ac:dyDescent="0.25">
      <c r="A93" s="1">
        <v>5</v>
      </c>
      <c r="B93" s="1" t="s">
        <v>9</v>
      </c>
      <c r="C93" s="2">
        <v>41113</v>
      </c>
      <c r="D93" s="3">
        <v>5700</v>
      </c>
      <c r="E93" s="1" t="str">
        <f t="shared" si="1"/>
        <v>Jul 2012</v>
      </c>
    </row>
    <row r="94" spans="1:5" ht="10.199999999999999" x14ac:dyDescent="0.25">
      <c r="A94" s="1">
        <v>5</v>
      </c>
      <c r="B94" s="1" t="s">
        <v>9</v>
      </c>
      <c r="C94" s="2">
        <v>41115</v>
      </c>
      <c r="D94" s="3">
        <v>5700</v>
      </c>
      <c r="E94" s="1" t="str">
        <f t="shared" si="1"/>
        <v>Jul 2012</v>
      </c>
    </row>
    <row r="95" spans="1:5" ht="10.199999999999999" x14ac:dyDescent="0.25">
      <c r="A95" s="1">
        <v>5</v>
      </c>
      <c r="B95" s="1" t="s">
        <v>9</v>
      </c>
      <c r="C95" s="2">
        <v>41117</v>
      </c>
      <c r="D95" s="3">
        <v>5700</v>
      </c>
      <c r="E95" s="1" t="str">
        <f t="shared" si="1"/>
        <v>Jul 2012</v>
      </c>
    </row>
    <row r="96" spans="1:5" ht="10.199999999999999" x14ac:dyDescent="0.25">
      <c r="A96" s="1">
        <v>5</v>
      </c>
      <c r="B96" s="1" t="s">
        <v>9</v>
      </c>
      <c r="C96" s="2">
        <v>41122</v>
      </c>
      <c r="D96" s="3">
        <v>5700</v>
      </c>
      <c r="E96" s="1" t="str">
        <f t="shared" si="1"/>
        <v>Aug 2012</v>
      </c>
    </row>
    <row r="97" spans="1:5" ht="10.199999999999999" x14ac:dyDescent="0.25">
      <c r="A97" s="1">
        <v>5</v>
      </c>
      <c r="B97" s="1" t="s">
        <v>9</v>
      </c>
      <c r="C97" s="2">
        <v>41124</v>
      </c>
      <c r="D97" s="3">
        <v>5700</v>
      </c>
      <c r="E97" s="1" t="str">
        <f t="shared" si="1"/>
        <v>Aug 2012</v>
      </c>
    </row>
    <row r="98" spans="1:5" ht="10.199999999999999" x14ac:dyDescent="0.25">
      <c r="A98" s="1">
        <v>5</v>
      </c>
      <c r="B98" s="1" t="s">
        <v>9</v>
      </c>
      <c r="C98" s="2">
        <v>41127</v>
      </c>
      <c r="D98" s="3">
        <v>5700</v>
      </c>
      <c r="E98" s="1" t="str">
        <f t="shared" si="1"/>
        <v>Aug 2012</v>
      </c>
    </row>
    <row r="99" spans="1:5" ht="10.199999999999999" x14ac:dyDescent="0.25">
      <c r="A99" s="1">
        <v>5</v>
      </c>
      <c r="B99" s="1" t="s">
        <v>9</v>
      </c>
      <c r="C99" s="2">
        <v>41129</v>
      </c>
      <c r="D99" s="3">
        <v>5700</v>
      </c>
      <c r="E99" s="1" t="str">
        <f t="shared" si="1"/>
        <v>Aug 2012</v>
      </c>
    </row>
    <row r="100" spans="1:5" ht="10.199999999999999" x14ac:dyDescent="0.25">
      <c r="A100" s="1">
        <v>5</v>
      </c>
      <c r="B100" s="1" t="s">
        <v>9</v>
      </c>
      <c r="C100" s="2">
        <v>41131</v>
      </c>
      <c r="D100" s="3">
        <v>5700</v>
      </c>
      <c r="E100" s="1" t="str">
        <f t="shared" si="1"/>
        <v>Aug 2012</v>
      </c>
    </row>
    <row r="101" spans="1:5" ht="10.199999999999999" x14ac:dyDescent="0.25">
      <c r="A101" s="1">
        <v>5</v>
      </c>
      <c r="B101" s="1" t="s">
        <v>9</v>
      </c>
      <c r="C101" s="2">
        <v>41134</v>
      </c>
      <c r="D101" s="3">
        <v>5700</v>
      </c>
      <c r="E101" s="1" t="str">
        <f t="shared" si="1"/>
        <v>Aug 2012</v>
      </c>
    </row>
    <row r="102" spans="1:5" ht="10.199999999999999" x14ac:dyDescent="0.25">
      <c r="A102" s="1">
        <v>5</v>
      </c>
      <c r="B102" s="1" t="s">
        <v>9</v>
      </c>
      <c r="C102" s="2">
        <v>41136</v>
      </c>
      <c r="D102" s="3">
        <v>5700</v>
      </c>
      <c r="E102" s="1" t="str">
        <f t="shared" si="1"/>
        <v>Aug 2012</v>
      </c>
    </row>
    <row r="103" spans="1:5" ht="10.199999999999999" x14ac:dyDescent="0.25">
      <c r="A103" s="1">
        <v>5</v>
      </c>
      <c r="B103" s="1" t="s">
        <v>10</v>
      </c>
      <c r="C103" s="2">
        <v>41164</v>
      </c>
      <c r="D103" s="3">
        <v>8</v>
      </c>
      <c r="E103" s="1" t="str">
        <f t="shared" si="1"/>
        <v>Sep 2012</v>
      </c>
    </row>
    <row r="104" spans="1:5" ht="10.199999999999999" x14ac:dyDescent="0.25">
      <c r="A104" s="1">
        <v>5</v>
      </c>
      <c r="B104" s="1" t="s">
        <v>10</v>
      </c>
      <c r="C104" s="2">
        <v>41199</v>
      </c>
      <c r="D104" s="3">
        <v>8</v>
      </c>
      <c r="E104" s="1" t="str">
        <f t="shared" si="1"/>
        <v>Oct 2012</v>
      </c>
    </row>
    <row r="105" spans="1:5" ht="10.199999999999999" x14ac:dyDescent="0.25">
      <c r="A105" s="1">
        <v>5</v>
      </c>
      <c r="B105" s="1" t="s">
        <v>10</v>
      </c>
      <c r="C105" s="2">
        <v>41227</v>
      </c>
      <c r="D105" s="3">
        <v>8</v>
      </c>
      <c r="E105" s="1" t="str">
        <f t="shared" si="1"/>
        <v>Nov 2012</v>
      </c>
    </row>
    <row r="106" spans="1:5" ht="10.199999999999999" x14ac:dyDescent="0.25">
      <c r="A106" s="1">
        <v>6</v>
      </c>
      <c r="B106" s="1" t="s">
        <v>9</v>
      </c>
      <c r="C106" s="2">
        <v>41246</v>
      </c>
      <c r="D106" s="3">
        <v>3800</v>
      </c>
      <c r="E106" s="1" t="str">
        <f t="shared" si="1"/>
        <v>Dec 2012</v>
      </c>
    </row>
    <row r="107" spans="1:5" ht="10.199999999999999" x14ac:dyDescent="0.25">
      <c r="A107" s="1">
        <v>7</v>
      </c>
      <c r="B107" s="1" t="s">
        <v>9</v>
      </c>
      <c r="C107" s="2">
        <v>41093</v>
      </c>
      <c r="D107" s="3">
        <v>6400</v>
      </c>
      <c r="E107" s="1" t="str">
        <f t="shared" si="1"/>
        <v>Jul 2012</v>
      </c>
    </row>
    <row r="108" spans="1:5" ht="10.199999999999999" x14ac:dyDescent="0.25">
      <c r="A108" s="1">
        <v>7</v>
      </c>
      <c r="B108" s="1" t="s">
        <v>9</v>
      </c>
      <c r="C108" s="2">
        <v>41097</v>
      </c>
      <c r="D108" s="3">
        <v>6400</v>
      </c>
      <c r="E108" s="1" t="str">
        <f t="shared" si="1"/>
        <v>Jul 2012</v>
      </c>
    </row>
    <row r="109" spans="1:5" ht="10.199999999999999" x14ac:dyDescent="0.25">
      <c r="A109" s="1">
        <v>7</v>
      </c>
      <c r="B109" s="1" t="s">
        <v>9</v>
      </c>
      <c r="C109" s="2">
        <v>41100</v>
      </c>
      <c r="D109" s="3">
        <v>6400</v>
      </c>
      <c r="E109" s="1" t="str">
        <f t="shared" si="1"/>
        <v>Jul 2012</v>
      </c>
    </row>
    <row r="110" spans="1:5" ht="10.199999999999999" x14ac:dyDescent="0.25">
      <c r="A110" s="1">
        <v>7</v>
      </c>
      <c r="B110" s="1" t="s">
        <v>9</v>
      </c>
      <c r="C110" s="2">
        <v>41102</v>
      </c>
      <c r="D110" s="3">
        <v>6400</v>
      </c>
      <c r="E110" s="1" t="str">
        <f t="shared" si="1"/>
        <v>Jul 2012</v>
      </c>
    </row>
    <row r="111" spans="1:5" ht="10.199999999999999" x14ac:dyDescent="0.25">
      <c r="A111" s="1">
        <v>7</v>
      </c>
      <c r="B111" s="1" t="s">
        <v>9</v>
      </c>
      <c r="C111" s="2">
        <v>41104</v>
      </c>
      <c r="D111" s="3">
        <v>6400</v>
      </c>
      <c r="E111" s="1" t="str">
        <f t="shared" si="1"/>
        <v>Jul 2012</v>
      </c>
    </row>
    <row r="112" spans="1:5" ht="10.199999999999999" x14ac:dyDescent="0.25">
      <c r="A112" s="1">
        <v>7</v>
      </c>
      <c r="B112" s="1" t="s">
        <v>9</v>
      </c>
      <c r="C112" s="2">
        <v>41107</v>
      </c>
      <c r="D112" s="3">
        <v>6400</v>
      </c>
      <c r="E112" s="1" t="str">
        <f t="shared" si="1"/>
        <v>Jul 2012</v>
      </c>
    </row>
    <row r="113" spans="1:5" ht="10.199999999999999" x14ac:dyDescent="0.25">
      <c r="A113" s="1">
        <v>7</v>
      </c>
      <c r="B113" s="1" t="s">
        <v>9</v>
      </c>
      <c r="C113" s="2">
        <v>41109</v>
      </c>
      <c r="D113" s="3">
        <v>6400</v>
      </c>
      <c r="E113" s="1" t="str">
        <f t="shared" si="1"/>
        <v>Jul 2012</v>
      </c>
    </row>
    <row r="114" spans="1:5" ht="10.199999999999999" x14ac:dyDescent="0.25">
      <c r="A114" s="1">
        <v>8</v>
      </c>
      <c r="B114" s="1" t="s">
        <v>9</v>
      </c>
      <c r="C114" s="2">
        <v>41093</v>
      </c>
      <c r="D114" s="3">
        <v>2000</v>
      </c>
      <c r="E114" s="1" t="str">
        <f t="shared" si="1"/>
        <v>Jul 2012</v>
      </c>
    </row>
    <row r="115" spans="1:5" ht="10.199999999999999" x14ac:dyDescent="0.25">
      <c r="A115" s="1">
        <v>8</v>
      </c>
      <c r="B115" s="1" t="s">
        <v>9</v>
      </c>
      <c r="C115" s="2">
        <v>41095</v>
      </c>
      <c r="D115" s="3">
        <v>2000</v>
      </c>
      <c r="E115" s="1" t="str">
        <f t="shared" si="1"/>
        <v>Jul 2012</v>
      </c>
    </row>
    <row r="116" spans="1:5" ht="10.199999999999999" x14ac:dyDescent="0.25">
      <c r="A116" s="1">
        <v>8</v>
      </c>
      <c r="B116" s="1" t="s">
        <v>9</v>
      </c>
      <c r="C116" s="2">
        <v>41097</v>
      </c>
      <c r="D116" s="3">
        <v>2000</v>
      </c>
      <c r="E116" s="1" t="str">
        <f t="shared" si="1"/>
        <v>Jul 2012</v>
      </c>
    </row>
    <row r="117" spans="1:5" ht="10.199999999999999" x14ac:dyDescent="0.25">
      <c r="A117" s="1">
        <v>8</v>
      </c>
      <c r="B117" s="1" t="s">
        <v>9</v>
      </c>
      <c r="C117" s="2">
        <v>41100</v>
      </c>
      <c r="D117" s="3">
        <v>2000</v>
      </c>
      <c r="E117" s="1" t="str">
        <f t="shared" si="1"/>
        <v>Jul 2012</v>
      </c>
    </row>
    <row r="118" spans="1:5" ht="10.199999999999999" x14ac:dyDescent="0.25">
      <c r="A118" s="1">
        <v>8</v>
      </c>
      <c r="B118" s="1" t="s">
        <v>9</v>
      </c>
      <c r="C118" s="2">
        <v>41102</v>
      </c>
      <c r="D118" s="3">
        <v>2000</v>
      </c>
      <c r="E118" s="1" t="str">
        <f t="shared" si="1"/>
        <v>Jul 2012</v>
      </c>
    </row>
    <row r="119" spans="1:5" ht="10.199999999999999" x14ac:dyDescent="0.25">
      <c r="A119" s="1">
        <v>8</v>
      </c>
      <c r="B119" s="1" t="s">
        <v>9</v>
      </c>
      <c r="C119" s="2">
        <v>41104</v>
      </c>
      <c r="D119" s="3">
        <v>2000</v>
      </c>
      <c r="E119" s="1" t="str">
        <f t="shared" si="1"/>
        <v>Jul 2012</v>
      </c>
    </row>
    <row r="120" spans="1:5" ht="10.199999999999999" x14ac:dyDescent="0.25">
      <c r="A120" s="1">
        <v>8</v>
      </c>
      <c r="B120" s="1" t="s">
        <v>9</v>
      </c>
      <c r="C120" s="2">
        <v>41107</v>
      </c>
      <c r="D120" s="3">
        <v>2000</v>
      </c>
      <c r="E120" s="1" t="str">
        <f t="shared" si="1"/>
        <v>Jul 2012</v>
      </c>
    </row>
    <row r="121" spans="1:5" ht="10.199999999999999" x14ac:dyDescent="0.25">
      <c r="A121" s="1">
        <v>8</v>
      </c>
      <c r="B121" s="1" t="s">
        <v>9</v>
      </c>
      <c r="C121" s="2">
        <v>41109</v>
      </c>
      <c r="D121" s="3">
        <v>2000</v>
      </c>
      <c r="E121" s="1" t="str">
        <f t="shared" si="1"/>
        <v>Jul 2012</v>
      </c>
    </row>
    <row r="122" spans="1:5" ht="10.199999999999999" x14ac:dyDescent="0.25">
      <c r="A122" s="1">
        <v>8</v>
      </c>
      <c r="B122" s="1" t="s">
        <v>9</v>
      </c>
      <c r="C122" s="2">
        <v>41111</v>
      </c>
      <c r="D122" s="3">
        <v>2000</v>
      </c>
      <c r="E122" s="1" t="str">
        <f t="shared" si="1"/>
        <v>Jul 2012</v>
      </c>
    </row>
    <row r="123" spans="1:5" ht="10.199999999999999" x14ac:dyDescent="0.25">
      <c r="A123" s="1">
        <v>8</v>
      </c>
      <c r="B123" s="1" t="s">
        <v>9</v>
      </c>
      <c r="C123" s="2">
        <v>41114</v>
      </c>
      <c r="D123" s="3">
        <v>2000</v>
      </c>
      <c r="E123" s="1" t="str">
        <f t="shared" si="1"/>
        <v>Jul 2012</v>
      </c>
    </row>
    <row r="124" spans="1:5" ht="10.199999999999999" x14ac:dyDescent="0.25">
      <c r="A124" s="1">
        <v>8</v>
      </c>
      <c r="B124" s="1" t="s">
        <v>9</v>
      </c>
      <c r="C124" s="2">
        <v>41116</v>
      </c>
      <c r="D124" s="3">
        <v>2000</v>
      </c>
      <c r="E124" s="1" t="str">
        <f t="shared" si="1"/>
        <v>Jul 2012</v>
      </c>
    </row>
    <row r="125" spans="1:5" ht="10.199999999999999" x14ac:dyDescent="0.25">
      <c r="A125" s="1">
        <v>8</v>
      </c>
      <c r="B125" s="1" t="s">
        <v>9</v>
      </c>
      <c r="C125" s="2">
        <v>41118</v>
      </c>
      <c r="D125" s="3">
        <v>2000</v>
      </c>
      <c r="E125" s="1" t="str">
        <f t="shared" si="1"/>
        <v>Jul 2012</v>
      </c>
    </row>
    <row r="126" spans="1:5" ht="10.199999999999999" x14ac:dyDescent="0.25">
      <c r="A126" s="1">
        <v>8</v>
      </c>
      <c r="B126" s="1" t="s">
        <v>9</v>
      </c>
      <c r="C126" s="2">
        <v>41121</v>
      </c>
      <c r="D126" s="3">
        <v>2000</v>
      </c>
      <c r="E126" s="1" t="str">
        <f t="shared" si="1"/>
        <v>Jul 2012</v>
      </c>
    </row>
    <row r="127" spans="1:5" ht="10.199999999999999" x14ac:dyDescent="0.25">
      <c r="A127" s="1">
        <v>8</v>
      </c>
      <c r="B127" s="1" t="s">
        <v>9</v>
      </c>
      <c r="C127" s="2">
        <v>41123</v>
      </c>
      <c r="D127" s="3">
        <v>2000</v>
      </c>
      <c r="E127" s="1" t="str">
        <f t="shared" si="1"/>
        <v>Aug 2012</v>
      </c>
    </row>
    <row r="128" spans="1:5" ht="10.199999999999999" x14ac:dyDescent="0.25">
      <c r="A128" s="1">
        <v>8</v>
      </c>
      <c r="B128" s="1" t="s">
        <v>9</v>
      </c>
      <c r="C128" s="2">
        <v>41125</v>
      </c>
      <c r="D128" s="3">
        <v>2000</v>
      </c>
      <c r="E128" s="1" t="str">
        <f t="shared" si="1"/>
        <v>Aug 2012</v>
      </c>
    </row>
    <row r="129" spans="1:5" ht="10.199999999999999" x14ac:dyDescent="0.25">
      <c r="A129" s="1">
        <v>8</v>
      </c>
      <c r="B129" s="1" t="s">
        <v>9</v>
      </c>
      <c r="C129" s="2">
        <v>41128</v>
      </c>
      <c r="D129" s="3">
        <v>2000</v>
      </c>
      <c r="E129" s="1" t="str">
        <f t="shared" si="1"/>
        <v>Aug 2012</v>
      </c>
    </row>
    <row r="130" spans="1:5" ht="10.199999999999999" x14ac:dyDescent="0.25">
      <c r="A130" s="1">
        <v>8</v>
      </c>
      <c r="B130" s="1" t="s">
        <v>9</v>
      </c>
      <c r="C130" s="2">
        <v>41130</v>
      </c>
      <c r="D130" s="3">
        <v>2000</v>
      </c>
      <c r="E130" s="1" t="str">
        <f t="shared" si="1"/>
        <v>Aug 2012</v>
      </c>
    </row>
    <row r="131" spans="1:5" ht="10.199999999999999" x14ac:dyDescent="0.25">
      <c r="A131" s="1">
        <v>8</v>
      </c>
      <c r="B131" s="1" t="s">
        <v>9</v>
      </c>
      <c r="C131" s="2">
        <v>41132</v>
      </c>
      <c r="D131" s="3">
        <v>2000</v>
      </c>
      <c r="E131" s="1" t="str">
        <f t="shared" ref="E131:E194" si="2">TEXT(C131,"mmm yyyy")</f>
        <v>Aug 2012</v>
      </c>
    </row>
    <row r="132" spans="1:5" ht="10.199999999999999" x14ac:dyDescent="0.25">
      <c r="A132" s="1">
        <v>8</v>
      </c>
      <c r="B132" s="1" t="s">
        <v>9</v>
      </c>
      <c r="C132" s="2">
        <v>41135</v>
      </c>
      <c r="D132" s="3">
        <v>2000</v>
      </c>
      <c r="E132" s="1" t="str">
        <f t="shared" si="2"/>
        <v>Aug 2012</v>
      </c>
    </row>
    <row r="133" spans="1:5" ht="10.199999999999999" x14ac:dyDescent="0.25">
      <c r="A133" s="1">
        <v>8</v>
      </c>
      <c r="B133" s="1" t="s">
        <v>9</v>
      </c>
      <c r="C133" s="2">
        <v>41137</v>
      </c>
      <c r="D133" s="3">
        <v>2000</v>
      </c>
      <c r="E133" s="1" t="str">
        <f t="shared" si="2"/>
        <v>Aug 2012</v>
      </c>
    </row>
    <row r="134" spans="1:5" ht="10.199999999999999" x14ac:dyDescent="0.25">
      <c r="A134" s="1">
        <v>8</v>
      </c>
      <c r="B134" s="1" t="s">
        <v>9</v>
      </c>
      <c r="C134" s="2">
        <v>41139</v>
      </c>
      <c r="D134" s="3">
        <v>2400</v>
      </c>
      <c r="E134" s="1" t="str">
        <f t="shared" si="2"/>
        <v>Aug 2012</v>
      </c>
    </row>
    <row r="135" spans="1:5" ht="10.199999999999999" x14ac:dyDescent="0.25">
      <c r="A135" s="1">
        <v>8</v>
      </c>
      <c r="B135" s="1" t="s">
        <v>9</v>
      </c>
      <c r="C135" s="2">
        <v>41142</v>
      </c>
      <c r="D135" s="3">
        <v>2400</v>
      </c>
      <c r="E135" s="1" t="str">
        <f t="shared" si="2"/>
        <v>Aug 2012</v>
      </c>
    </row>
    <row r="136" spans="1:5" ht="10.199999999999999" x14ac:dyDescent="0.25">
      <c r="A136" s="1">
        <v>8</v>
      </c>
      <c r="B136" s="1" t="s">
        <v>9</v>
      </c>
      <c r="C136" s="2">
        <v>41144</v>
      </c>
      <c r="D136" s="3">
        <v>2400</v>
      </c>
      <c r="E136" s="1" t="str">
        <f t="shared" si="2"/>
        <v>Aug 2012</v>
      </c>
    </row>
    <row r="137" spans="1:5" ht="10.199999999999999" x14ac:dyDescent="0.25">
      <c r="A137" s="1">
        <v>8</v>
      </c>
      <c r="B137" s="1" t="s">
        <v>9</v>
      </c>
      <c r="C137" s="2">
        <v>41146</v>
      </c>
      <c r="D137" s="3">
        <v>2400</v>
      </c>
      <c r="E137" s="1" t="str">
        <f t="shared" si="2"/>
        <v>Aug 2012</v>
      </c>
    </row>
    <row r="138" spans="1:5" ht="10.199999999999999" x14ac:dyDescent="0.25">
      <c r="A138" s="1">
        <v>8</v>
      </c>
      <c r="B138" s="1" t="s">
        <v>9</v>
      </c>
      <c r="C138" s="2">
        <v>41149</v>
      </c>
      <c r="D138" s="3">
        <v>2400</v>
      </c>
      <c r="E138" s="1" t="str">
        <f t="shared" si="2"/>
        <v>Aug 2012</v>
      </c>
    </row>
    <row r="139" spans="1:5" ht="10.199999999999999" x14ac:dyDescent="0.25">
      <c r="A139" s="1">
        <v>8</v>
      </c>
      <c r="B139" s="1" t="s">
        <v>9</v>
      </c>
      <c r="C139" s="2">
        <v>41151</v>
      </c>
      <c r="D139" s="3">
        <v>2400</v>
      </c>
      <c r="E139" s="1" t="str">
        <f t="shared" si="2"/>
        <v>Aug 2012</v>
      </c>
    </row>
    <row r="140" spans="1:5" ht="10.199999999999999" x14ac:dyDescent="0.25">
      <c r="A140" s="1">
        <v>8</v>
      </c>
      <c r="B140" s="1" t="s">
        <v>9</v>
      </c>
      <c r="C140" s="2">
        <v>41153</v>
      </c>
      <c r="D140" s="3">
        <v>2400</v>
      </c>
      <c r="E140" s="1" t="str">
        <f t="shared" si="2"/>
        <v>Sep 2012</v>
      </c>
    </row>
    <row r="141" spans="1:5" ht="10.199999999999999" x14ac:dyDescent="0.25">
      <c r="A141" s="1">
        <v>8</v>
      </c>
      <c r="B141" s="1" t="s">
        <v>9</v>
      </c>
      <c r="C141" s="2">
        <v>41156</v>
      </c>
      <c r="D141" s="3">
        <v>2400</v>
      </c>
      <c r="E141" s="1" t="str">
        <f t="shared" si="2"/>
        <v>Sep 2012</v>
      </c>
    </row>
    <row r="142" spans="1:5" ht="10.199999999999999" x14ac:dyDescent="0.25">
      <c r="A142" s="1">
        <v>8</v>
      </c>
      <c r="B142" s="1" t="s">
        <v>9</v>
      </c>
      <c r="C142" s="2">
        <v>41158</v>
      </c>
      <c r="D142" s="3">
        <v>2900</v>
      </c>
      <c r="E142" s="1" t="str">
        <f t="shared" si="2"/>
        <v>Sep 2012</v>
      </c>
    </row>
    <row r="143" spans="1:5" ht="10.199999999999999" x14ac:dyDescent="0.25">
      <c r="A143" s="1">
        <v>8</v>
      </c>
      <c r="B143" s="1" t="s">
        <v>10</v>
      </c>
      <c r="C143" s="2">
        <v>41165</v>
      </c>
      <c r="D143" s="3">
        <v>5</v>
      </c>
      <c r="E143" s="1" t="str">
        <f t="shared" si="2"/>
        <v>Sep 2012</v>
      </c>
    </row>
    <row r="144" spans="1:5" ht="10.199999999999999" x14ac:dyDescent="0.25">
      <c r="A144" s="1">
        <v>8</v>
      </c>
      <c r="B144" s="1" t="s">
        <v>10</v>
      </c>
      <c r="C144" s="2">
        <v>41193</v>
      </c>
      <c r="D144" s="3">
        <v>4</v>
      </c>
      <c r="E144" s="1" t="str">
        <f t="shared" si="2"/>
        <v>Oct 2012</v>
      </c>
    </row>
    <row r="145" spans="1:5" ht="10.199999999999999" x14ac:dyDescent="0.25">
      <c r="A145" s="1">
        <v>8</v>
      </c>
      <c r="B145" s="1" t="s">
        <v>10</v>
      </c>
      <c r="C145" s="2">
        <v>41228</v>
      </c>
      <c r="D145" s="3">
        <v>4</v>
      </c>
      <c r="E145" s="1" t="str">
        <f t="shared" si="2"/>
        <v>Nov 2012</v>
      </c>
    </row>
    <row r="146" spans="1:5" ht="10.199999999999999" x14ac:dyDescent="0.25">
      <c r="A146" s="1">
        <v>9</v>
      </c>
      <c r="B146" s="1" t="s">
        <v>9</v>
      </c>
      <c r="C146" s="2">
        <v>41093</v>
      </c>
      <c r="D146" s="3">
        <v>4000</v>
      </c>
      <c r="E146" s="1" t="str">
        <f t="shared" si="2"/>
        <v>Jul 2012</v>
      </c>
    </row>
    <row r="147" spans="1:5" ht="10.199999999999999" x14ac:dyDescent="0.25">
      <c r="A147" s="1">
        <v>9</v>
      </c>
      <c r="B147" s="1" t="s">
        <v>9</v>
      </c>
      <c r="C147" s="2">
        <v>41095</v>
      </c>
      <c r="D147" s="3">
        <v>4000</v>
      </c>
      <c r="E147" s="1" t="str">
        <f t="shared" si="2"/>
        <v>Jul 2012</v>
      </c>
    </row>
    <row r="148" spans="1:5" ht="10.199999999999999" x14ac:dyDescent="0.25">
      <c r="A148" s="1">
        <v>9</v>
      </c>
      <c r="B148" s="1" t="s">
        <v>9</v>
      </c>
      <c r="C148" s="2">
        <v>41097</v>
      </c>
      <c r="D148" s="3">
        <v>3200</v>
      </c>
      <c r="E148" s="1" t="str">
        <f t="shared" si="2"/>
        <v>Jul 2012</v>
      </c>
    </row>
    <row r="149" spans="1:5" ht="10.199999999999999" x14ac:dyDescent="0.25">
      <c r="A149" s="1">
        <v>9</v>
      </c>
      <c r="B149" s="1" t="s">
        <v>9</v>
      </c>
      <c r="C149" s="2">
        <v>41100</v>
      </c>
      <c r="D149" s="3">
        <v>3200</v>
      </c>
      <c r="E149" s="1" t="str">
        <f t="shared" si="2"/>
        <v>Jul 2012</v>
      </c>
    </row>
    <row r="150" spans="1:5" ht="10.199999999999999" x14ac:dyDescent="0.25">
      <c r="A150" s="1">
        <v>9</v>
      </c>
      <c r="B150" s="1" t="s">
        <v>9</v>
      </c>
      <c r="C150" s="2">
        <v>41102</v>
      </c>
      <c r="D150" s="3">
        <v>3200</v>
      </c>
      <c r="E150" s="1" t="str">
        <f t="shared" si="2"/>
        <v>Jul 2012</v>
      </c>
    </row>
    <row r="151" spans="1:5" ht="10.199999999999999" x14ac:dyDescent="0.25">
      <c r="A151" s="1">
        <v>9</v>
      </c>
      <c r="B151" s="1" t="s">
        <v>9</v>
      </c>
      <c r="C151" s="2">
        <v>41104</v>
      </c>
      <c r="D151" s="3">
        <v>3200</v>
      </c>
      <c r="E151" s="1" t="str">
        <f t="shared" si="2"/>
        <v>Jul 2012</v>
      </c>
    </row>
    <row r="152" spans="1:5" ht="10.199999999999999" x14ac:dyDescent="0.25">
      <c r="A152" s="1">
        <v>9</v>
      </c>
      <c r="B152" s="1" t="s">
        <v>9</v>
      </c>
      <c r="C152" s="2">
        <v>41107</v>
      </c>
      <c r="D152" s="3">
        <v>3200</v>
      </c>
      <c r="E152" s="1" t="str">
        <f t="shared" si="2"/>
        <v>Jul 2012</v>
      </c>
    </row>
    <row r="153" spans="1:5" ht="10.199999999999999" x14ac:dyDescent="0.25">
      <c r="A153" s="1">
        <v>9</v>
      </c>
      <c r="B153" s="1" t="s">
        <v>9</v>
      </c>
      <c r="C153" s="2">
        <v>41109</v>
      </c>
      <c r="D153" s="3">
        <v>3200</v>
      </c>
      <c r="E153" s="1" t="str">
        <f t="shared" si="2"/>
        <v>Jul 2012</v>
      </c>
    </row>
    <row r="154" spans="1:5" ht="10.199999999999999" x14ac:dyDescent="0.25">
      <c r="A154" s="1">
        <v>9</v>
      </c>
      <c r="B154" s="1" t="s">
        <v>9</v>
      </c>
      <c r="C154" s="2">
        <v>41139</v>
      </c>
      <c r="D154" s="3">
        <v>4500</v>
      </c>
      <c r="E154" s="1" t="str">
        <f t="shared" si="2"/>
        <v>Aug 2012</v>
      </c>
    </row>
    <row r="155" spans="1:5" ht="10.199999999999999" x14ac:dyDescent="0.25">
      <c r="A155" s="1">
        <v>9</v>
      </c>
      <c r="B155" s="1" t="s">
        <v>9</v>
      </c>
      <c r="C155" s="2">
        <v>41142</v>
      </c>
      <c r="D155" s="3">
        <v>4500</v>
      </c>
      <c r="E155" s="1" t="str">
        <f t="shared" si="2"/>
        <v>Aug 2012</v>
      </c>
    </row>
    <row r="156" spans="1:5" ht="10.199999999999999" x14ac:dyDescent="0.25">
      <c r="A156" s="1">
        <v>9</v>
      </c>
      <c r="B156" s="1" t="s">
        <v>9</v>
      </c>
      <c r="C156" s="2">
        <v>41144</v>
      </c>
      <c r="D156" s="3">
        <v>4500</v>
      </c>
      <c r="E156" s="1" t="str">
        <f t="shared" si="2"/>
        <v>Aug 2012</v>
      </c>
    </row>
    <row r="157" spans="1:5" ht="10.199999999999999" x14ac:dyDescent="0.25">
      <c r="A157" s="1">
        <v>9</v>
      </c>
      <c r="B157" s="1" t="s">
        <v>9</v>
      </c>
      <c r="C157" s="2">
        <v>41146</v>
      </c>
      <c r="D157" s="3">
        <v>4500</v>
      </c>
      <c r="E157" s="1" t="str">
        <f t="shared" si="2"/>
        <v>Aug 2012</v>
      </c>
    </row>
    <row r="158" spans="1:5" ht="10.199999999999999" x14ac:dyDescent="0.25">
      <c r="A158" s="1">
        <v>9</v>
      </c>
      <c r="B158" s="1" t="s">
        <v>9</v>
      </c>
      <c r="C158" s="2">
        <v>41149</v>
      </c>
      <c r="D158" s="3">
        <v>4500</v>
      </c>
      <c r="E158" s="1" t="str">
        <f t="shared" si="2"/>
        <v>Aug 2012</v>
      </c>
    </row>
    <row r="159" spans="1:5" ht="10.199999999999999" x14ac:dyDescent="0.25">
      <c r="A159" s="1">
        <v>9</v>
      </c>
      <c r="B159" s="1" t="s">
        <v>9</v>
      </c>
      <c r="C159" s="2">
        <v>41151</v>
      </c>
      <c r="D159" s="3">
        <v>4500</v>
      </c>
      <c r="E159" s="1" t="str">
        <f t="shared" si="2"/>
        <v>Aug 2012</v>
      </c>
    </row>
    <row r="160" spans="1:5" ht="10.199999999999999" x14ac:dyDescent="0.25">
      <c r="A160" s="1">
        <v>9</v>
      </c>
      <c r="B160" s="1" t="s">
        <v>9</v>
      </c>
      <c r="C160" s="2">
        <v>41153</v>
      </c>
      <c r="D160" s="3">
        <v>4500</v>
      </c>
      <c r="E160" s="1" t="str">
        <f t="shared" si="2"/>
        <v>Sep 2012</v>
      </c>
    </row>
    <row r="161" spans="1:5" ht="10.199999999999999" x14ac:dyDescent="0.25">
      <c r="A161" s="1">
        <v>9</v>
      </c>
      <c r="B161" s="1" t="s">
        <v>9</v>
      </c>
      <c r="C161" s="2">
        <v>41156</v>
      </c>
      <c r="D161" s="3">
        <v>4500</v>
      </c>
      <c r="E161" s="1" t="str">
        <f t="shared" si="2"/>
        <v>Sep 2012</v>
      </c>
    </row>
    <row r="162" spans="1:5" ht="10.199999999999999" x14ac:dyDescent="0.25">
      <c r="A162" s="1">
        <v>9</v>
      </c>
      <c r="B162" s="1" t="s">
        <v>9</v>
      </c>
      <c r="C162" s="2">
        <v>41158</v>
      </c>
      <c r="D162" s="3">
        <v>4500</v>
      </c>
      <c r="E162" s="1" t="str">
        <f t="shared" si="2"/>
        <v>Sep 2012</v>
      </c>
    </row>
    <row r="163" spans="1:5" ht="10.199999999999999" x14ac:dyDescent="0.25">
      <c r="A163" s="1">
        <v>9</v>
      </c>
      <c r="B163" s="1" t="s">
        <v>10</v>
      </c>
      <c r="C163" s="2">
        <v>41165</v>
      </c>
      <c r="D163" s="3">
        <v>8</v>
      </c>
      <c r="E163" s="1" t="str">
        <f t="shared" si="2"/>
        <v>Sep 2012</v>
      </c>
    </row>
    <row r="164" spans="1:5" ht="10.199999999999999" x14ac:dyDescent="0.25">
      <c r="A164" s="1">
        <v>9</v>
      </c>
      <c r="B164" s="1" t="s">
        <v>10</v>
      </c>
      <c r="C164" s="2">
        <v>41193</v>
      </c>
      <c r="D164" s="3">
        <v>6</v>
      </c>
      <c r="E164" s="1" t="str">
        <f t="shared" si="2"/>
        <v>Oct 2012</v>
      </c>
    </row>
    <row r="165" spans="1:5" ht="10.199999999999999" x14ac:dyDescent="0.25">
      <c r="A165" s="1">
        <v>9</v>
      </c>
      <c r="B165" s="1" t="s">
        <v>10</v>
      </c>
      <c r="C165" s="2">
        <v>41228</v>
      </c>
      <c r="D165" s="3">
        <v>6</v>
      </c>
      <c r="E165" s="1" t="str">
        <f t="shared" si="2"/>
        <v>Nov 2012</v>
      </c>
    </row>
    <row r="166" spans="1:5" ht="10.199999999999999" x14ac:dyDescent="0.25">
      <c r="A166" s="1">
        <v>10</v>
      </c>
      <c r="B166" s="1" t="s">
        <v>9</v>
      </c>
      <c r="C166" s="2">
        <v>41153</v>
      </c>
      <c r="D166" s="3">
        <v>3600</v>
      </c>
      <c r="E166" s="1" t="str">
        <f t="shared" si="2"/>
        <v>Sep 2012</v>
      </c>
    </row>
    <row r="167" spans="1:5" ht="10.199999999999999" x14ac:dyDescent="0.25">
      <c r="A167" s="1">
        <v>10</v>
      </c>
      <c r="B167" s="1" t="s">
        <v>9</v>
      </c>
      <c r="C167" s="2">
        <v>41156</v>
      </c>
      <c r="D167" s="3">
        <v>3600</v>
      </c>
      <c r="E167" s="1" t="str">
        <f t="shared" si="2"/>
        <v>Sep 2012</v>
      </c>
    </row>
    <row r="168" spans="1:5" ht="10.199999999999999" x14ac:dyDescent="0.25">
      <c r="A168" s="1">
        <v>10</v>
      </c>
      <c r="B168" s="1" t="s">
        <v>9</v>
      </c>
      <c r="C168" s="2">
        <v>41158</v>
      </c>
      <c r="D168" s="3">
        <v>4700</v>
      </c>
      <c r="E168" s="1" t="str">
        <f t="shared" si="2"/>
        <v>Sep 2012</v>
      </c>
    </row>
    <row r="169" spans="1:5" ht="10.199999999999999" x14ac:dyDescent="0.25">
      <c r="A169" s="1">
        <v>10</v>
      </c>
      <c r="B169" s="1" t="s">
        <v>10</v>
      </c>
      <c r="C169" s="2">
        <v>41165</v>
      </c>
      <c r="D169" s="3">
        <v>8</v>
      </c>
      <c r="E169" s="1" t="str">
        <f t="shared" si="2"/>
        <v>Sep 2012</v>
      </c>
    </row>
    <row r="170" spans="1:5" ht="10.199999999999999" x14ac:dyDescent="0.25">
      <c r="A170" s="1">
        <v>10</v>
      </c>
      <c r="B170" s="1" t="s">
        <v>10</v>
      </c>
      <c r="C170" s="2">
        <v>41193</v>
      </c>
      <c r="D170" s="3">
        <v>8</v>
      </c>
      <c r="E170" s="1" t="str">
        <f t="shared" si="2"/>
        <v>Oct 2012</v>
      </c>
    </row>
    <row r="171" spans="1:5" ht="10.199999999999999" x14ac:dyDescent="0.25">
      <c r="A171" s="1">
        <v>10</v>
      </c>
      <c r="B171" s="1" t="s">
        <v>10</v>
      </c>
      <c r="C171" s="2">
        <v>41228</v>
      </c>
      <c r="D171" s="3">
        <v>8</v>
      </c>
      <c r="E171" s="1" t="str">
        <f t="shared" si="2"/>
        <v>Nov 2012</v>
      </c>
    </row>
    <row r="172" spans="1:5" ht="10.199999999999999" x14ac:dyDescent="0.25">
      <c r="A172" s="1">
        <v>11</v>
      </c>
      <c r="B172" s="1" t="s">
        <v>10</v>
      </c>
      <c r="C172" s="2">
        <v>41239</v>
      </c>
      <c r="D172" s="3">
        <v>2</v>
      </c>
      <c r="E172" s="1" t="str">
        <f t="shared" si="2"/>
        <v>Nov 2012</v>
      </c>
    </row>
    <row r="173" spans="1:5" ht="10.199999999999999" x14ac:dyDescent="0.25">
      <c r="A173" s="1">
        <v>12</v>
      </c>
      <c r="B173" s="1" t="s">
        <v>9</v>
      </c>
      <c r="C173" s="2">
        <v>41092</v>
      </c>
      <c r="D173" s="3">
        <v>4000</v>
      </c>
      <c r="E173" s="1" t="str">
        <f t="shared" si="2"/>
        <v>Jul 2012</v>
      </c>
    </row>
    <row r="174" spans="1:5" ht="10.199999999999999" x14ac:dyDescent="0.25">
      <c r="A174" s="1">
        <v>12</v>
      </c>
      <c r="B174" s="1" t="s">
        <v>9</v>
      </c>
      <c r="C174" s="2">
        <v>41096</v>
      </c>
      <c r="D174" s="3">
        <v>4000</v>
      </c>
      <c r="E174" s="1" t="str">
        <f t="shared" si="2"/>
        <v>Jul 2012</v>
      </c>
    </row>
    <row r="175" spans="1:5" ht="10.199999999999999" x14ac:dyDescent="0.25">
      <c r="A175" s="1">
        <v>12</v>
      </c>
      <c r="B175" s="1" t="s">
        <v>9</v>
      </c>
      <c r="C175" s="2">
        <v>41100</v>
      </c>
      <c r="D175" s="3">
        <v>4000</v>
      </c>
      <c r="E175" s="1" t="str">
        <f t="shared" si="2"/>
        <v>Jul 2012</v>
      </c>
    </row>
    <row r="176" spans="1:5" ht="10.199999999999999" x14ac:dyDescent="0.25">
      <c r="A176" s="1">
        <v>12</v>
      </c>
      <c r="B176" s="1" t="s">
        <v>9</v>
      </c>
      <c r="C176" s="2">
        <v>41101</v>
      </c>
      <c r="D176" s="3">
        <v>4000</v>
      </c>
      <c r="E176" s="1" t="str">
        <f t="shared" si="2"/>
        <v>Jul 2012</v>
      </c>
    </row>
    <row r="177" spans="1:5" ht="10.199999999999999" x14ac:dyDescent="0.25">
      <c r="A177" s="1">
        <v>12</v>
      </c>
      <c r="B177" s="1" t="s">
        <v>9</v>
      </c>
      <c r="C177" s="2">
        <v>41106</v>
      </c>
      <c r="D177" s="3">
        <v>4000</v>
      </c>
      <c r="E177" s="1" t="str">
        <f t="shared" si="2"/>
        <v>Jul 2012</v>
      </c>
    </row>
    <row r="178" spans="1:5" ht="10.199999999999999" x14ac:dyDescent="0.25">
      <c r="A178" s="1">
        <v>12</v>
      </c>
      <c r="B178" s="1" t="s">
        <v>9</v>
      </c>
      <c r="C178" s="2">
        <v>41110</v>
      </c>
      <c r="D178" s="3">
        <v>4000</v>
      </c>
      <c r="E178" s="1" t="str">
        <f t="shared" si="2"/>
        <v>Jul 2012</v>
      </c>
    </row>
    <row r="179" spans="1:5" ht="10.199999999999999" x14ac:dyDescent="0.25">
      <c r="A179" s="1">
        <v>12</v>
      </c>
      <c r="B179" s="1" t="s">
        <v>9</v>
      </c>
      <c r="C179" s="2">
        <v>41113</v>
      </c>
      <c r="D179" s="3">
        <v>4000</v>
      </c>
      <c r="E179" s="1" t="str">
        <f t="shared" si="2"/>
        <v>Jul 2012</v>
      </c>
    </row>
    <row r="180" spans="1:5" ht="10.199999999999999" x14ac:dyDescent="0.25">
      <c r="A180" s="1">
        <v>12</v>
      </c>
      <c r="B180" s="1" t="s">
        <v>9</v>
      </c>
      <c r="C180" s="2">
        <v>41115</v>
      </c>
      <c r="D180" s="3">
        <v>4800</v>
      </c>
      <c r="E180" s="1" t="str">
        <f t="shared" si="2"/>
        <v>Jul 2012</v>
      </c>
    </row>
    <row r="181" spans="1:5" ht="10.199999999999999" x14ac:dyDescent="0.25">
      <c r="A181" s="1">
        <v>12</v>
      </c>
      <c r="B181" s="1" t="s">
        <v>9</v>
      </c>
      <c r="C181" s="2">
        <v>41117</v>
      </c>
      <c r="D181" s="3">
        <v>4800</v>
      </c>
      <c r="E181" s="1" t="str">
        <f t="shared" si="2"/>
        <v>Jul 2012</v>
      </c>
    </row>
    <row r="182" spans="1:5" ht="10.199999999999999" x14ac:dyDescent="0.25">
      <c r="A182" s="1">
        <v>12</v>
      </c>
      <c r="B182" s="1" t="s">
        <v>9</v>
      </c>
      <c r="C182" s="2">
        <v>41120</v>
      </c>
      <c r="D182" s="3">
        <v>4800</v>
      </c>
      <c r="E182" s="1" t="str">
        <f t="shared" si="2"/>
        <v>Jul 2012</v>
      </c>
    </row>
    <row r="183" spans="1:5" ht="10.199999999999999" x14ac:dyDescent="0.25">
      <c r="A183" s="1">
        <v>12</v>
      </c>
      <c r="B183" s="1" t="s">
        <v>9</v>
      </c>
      <c r="C183" s="2">
        <v>41124</v>
      </c>
      <c r="D183" s="3">
        <v>4800</v>
      </c>
      <c r="E183" s="1" t="str">
        <f t="shared" si="2"/>
        <v>Aug 2012</v>
      </c>
    </row>
    <row r="184" spans="1:5" ht="10.199999999999999" x14ac:dyDescent="0.25">
      <c r="A184" s="1">
        <v>12</v>
      </c>
      <c r="B184" s="1" t="s">
        <v>9</v>
      </c>
      <c r="C184" s="2">
        <v>41127</v>
      </c>
      <c r="D184" s="3">
        <v>6200</v>
      </c>
      <c r="E184" s="1" t="str">
        <f t="shared" si="2"/>
        <v>Aug 2012</v>
      </c>
    </row>
    <row r="185" spans="1:5" ht="10.199999999999999" x14ac:dyDescent="0.25">
      <c r="A185" s="1">
        <v>12</v>
      </c>
      <c r="B185" s="1" t="s">
        <v>9</v>
      </c>
      <c r="C185" s="2">
        <v>41149</v>
      </c>
      <c r="D185" s="3">
        <v>5800</v>
      </c>
      <c r="E185" s="1" t="str">
        <f t="shared" si="2"/>
        <v>Aug 2012</v>
      </c>
    </row>
    <row r="186" spans="1:5" ht="10.199999999999999" x14ac:dyDescent="0.25">
      <c r="A186" s="1">
        <v>12</v>
      </c>
      <c r="B186" s="1" t="s">
        <v>9</v>
      </c>
      <c r="C186" s="2">
        <v>41150</v>
      </c>
      <c r="D186" s="3">
        <v>5800</v>
      </c>
      <c r="E186" s="1" t="str">
        <f t="shared" si="2"/>
        <v>Aug 2012</v>
      </c>
    </row>
    <row r="187" spans="1:5" ht="10.199999999999999" x14ac:dyDescent="0.25">
      <c r="A187" s="1">
        <v>12</v>
      </c>
      <c r="B187" s="1" t="s">
        <v>9</v>
      </c>
      <c r="C187" s="2">
        <v>41152</v>
      </c>
      <c r="D187" s="3">
        <v>7800</v>
      </c>
      <c r="E187" s="1" t="str">
        <f t="shared" si="2"/>
        <v>Aug 2012</v>
      </c>
    </row>
    <row r="188" spans="1:5" ht="10.199999999999999" x14ac:dyDescent="0.25">
      <c r="A188" s="1">
        <v>12</v>
      </c>
      <c r="B188" s="1" t="s">
        <v>9</v>
      </c>
      <c r="C188" s="2">
        <v>41155</v>
      </c>
      <c r="D188" s="3">
        <v>7800</v>
      </c>
      <c r="E188" s="1" t="str">
        <f t="shared" si="2"/>
        <v>Sep 2012</v>
      </c>
    </row>
    <row r="189" spans="1:5" ht="10.199999999999999" x14ac:dyDescent="0.25">
      <c r="A189" s="1">
        <v>12</v>
      </c>
      <c r="B189" s="1" t="s">
        <v>9</v>
      </c>
      <c r="C189" s="2">
        <v>41157</v>
      </c>
      <c r="D189" s="3">
        <v>7800</v>
      </c>
      <c r="E189" s="1" t="str">
        <f t="shared" si="2"/>
        <v>Sep 2012</v>
      </c>
    </row>
    <row r="190" spans="1:5" ht="10.199999999999999" x14ac:dyDescent="0.25">
      <c r="A190" s="1">
        <v>12</v>
      </c>
      <c r="B190" s="1" t="s">
        <v>10</v>
      </c>
      <c r="C190" s="2">
        <v>41164</v>
      </c>
      <c r="D190" s="3">
        <v>10</v>
      </c>
      <c r="E190" s="1" t="str">
        <f t="shared" si="2"/>
        <v>Sep 2012</v>
      </c>
    </row>
    <row r="191" spans="1:5" ht="10.199999999999999" x14ac:dyDescent="0.25">
      <c r="A191" s="1">
        <v>12</v>
      </c>
      <c r="B191" s="1" t="s">
        <v>10</v>
      </c>
      <c r="C191" s="2">
        <v>41192</v>
      </c>
      <c r="D191" s="3">
        <v>10</v>
      </c>
      <c r="E191" s="1" t="str">
        <f t="shared" si="2"/>
        <v>Oct 2012</v>
      </c>
    </row>
    <row r="192" spans="1:5" ht="10.199999999999999" x14ac:dyDescent="0.25">
      <c r="A192" s="1">
        <v>13</v>
      </c>
      <c r="B192" s="1" t="s">
        <v>9</v>
      </c>
      <c r="C192" s="2">
        <v>41236</v>
      </c>
      <c r="D192" s="3">
        <v>20000</v>
      </c>
      <c r="E192" s="1" t="str">
        <f t="shared" si="2"/>
        <v>Nov 2012</v>
      </c>
    </row>
    <row r="193" spans="1:5" ht="10.199999999999999" x14ac:dyDescent="0.25">
      <c r="A193" s="1">
        <v>13</v>
      </c>
      <c r="B193" s="1" t="s">
        <v>9</v>
      </c>
      <c r="C193" s="2">
        <v>41239</v>
      </c>
      <c r="D193" s="3">
        <v>20000</v>
      </c>
      <c r="E193" s="1" t="str">
        <f t="shared" si="2"/>
        <v>Nov 2012</v>
      </c>
    </row>
    <row r="194" spans="1:5" ht="10.199999999999999" x14ac:dyDescent="0.25">
      <c r="A194" s="1">
        <v>14</v>
      </c>
      <c r="B194" s="1" t="s">
        <v>9</v>
      </c>
      <c r="C194" s="2">
        <v>41092</v>
      </c>
      <c r="D194" s="3">
        <v>300</v>
      </c>
      <c r="E194" s="1" t="str">
        <f t="shared" si="2"/>
        <v>Jul 2012</v>
      </c>
    </row>
    <row r="195" spans="1:5" ht="10.199999999999999" x14ac:dyDescent="0.25">
      <c r="A195" s="1">
        <v>14</v>
      </c>
      <c r="B195" s="1" t="s">
        <v>9</v>
      </c>
      <c r="C195" s="2">
        <v>41099</v>
      </c>
      <c r="D195" s="3">
        <v>300</v>
      </c>
      <c r="E195" s="1" t="str">
        <f t="shared" ref="E195:E258" si="3">TEXT(C195,"mmm yyyy")</f>
        <v>Jul 2012</v>
      </c>
    </row>
    <row r="196" spans="1:5" ht="10.199999999999999" x14ac:dyDescent="0.25">
      <c r="A196" s="1">
        <v>14</v>
      </c>
      <c r="B196" s="1" t="s">
        <v>9</v>
      </c>
      <c r="C196" s="2">
        <v>41106</v>
      </c>
      <c r="D196" s="3">
        <v>300</v>
      </c>
      <c r="E196" s="1" t="str">
        <f t="shared" si="3"/>
        <v>Jul 2012</v>
      </c>
    </row>
    <row r="197" spans="1:5" ht="10.199999999999999" x14ac:dyDescent="0.25">
      <c r="A197" s="1">
        <v>14</v>
      </c>
      <c r="B197" s="1" t="s">
        <v>9</v>
      </c>
      <c r="C197" s="2">
        <v>41113</v>
      </c>
      <c r="D197" s="3">
        <v>300</v>
      </c>
      <c r="E197" s="1" t="str">
        <f t="shared" si="3"/>
        <v>Jul 2012</v>
      </c>
    </row>
    <row r="198" spans="1:5" ht="10.199999999999999" x14ac:dyDescent="0.25">
      <c r="A198" s="1">
        <v>14</v>
      </c>
      <c r="B198" s="1" t="s">
        <v>9</v>
      </c>
      <c r="C198" s="2">
        <v>41120</v>
      </c>
      <c r="D198" s="3">
        <v>300</v>
      </c>
      <c r="E198" s="1" t="str">
        <f t="shared" si="3"/>
        <v>Jul 2012</v>
      </c>
    </row>
    <row r="199" spans="1:5" ht="10.199999999999999" x14ac:dyDescent="0.25">
      <c r="A199" s="1">
        <v>14</v>
      </c>
      <c r="B199" s="1" t="s">
        <v>9</v>
      </c>
      <c r="C199" s="2">
        <v>41127</v>
      </c>
      <c r="D199" s="3">
        <v>300</v>
      </c>
      <c r="E199" s="1" t="str">
        <f t="shared" si="3"/>
        <v>Aug 2012</v>
      </c>
    </row>
    <row r="200" spans="1:5" ht="10.199999999999999" x14ac:dyDescent="0.25">
      <c r="A200" s="1">
        <v>14</v>
      </c>
      <c r="B200" s="1" t="s">
        <v>9</v>
      </c>
      <c r="C200" s="2">
        <v>41134</v>
      </c>
      <c r="D200" s="3">
        <v>300</v>
      </c>
      <c r="E200" s="1" t="str">
        <f t="shared" si="3"/>
        <v>Aug 2012</v>
      </c>
    </row>
    <row r="201" spans="1:5" ht="10.199999999999999" x14ac:dyDescent="0.25">
      <c r="A201" s="1">
        <v>14</v>
      </c>
      <c r="B201" s="1" t="s">
        <v>9</v>
      </c>
      <c r="C201" s="2">
        <v>41141</v>
      </c>
      <c r="D201" s="3">
        <v>300</v>
      </c>
      <c r="E201" s="1" t="str">
        <f t="shared" si="3"/>
        <v>Aug 2012</v>
      </c>
    </row>
    <row r="202" spans="1:5" ht="10.199999999999999" x14ac:dyDescent="0.25">
      <c r="A202" s="1">
        <v>14</v>
      </c>
      <c r="B202" s="1" t="s">
        <v>9</v>
      </c>
      <c r="C202" s="2">
        <v>41148</v>
      </c>
      <c r="D202" s="3">
        <v>300</v>
      </c>
      <c r="E202" s="1" t="str">
        <f t="shared" si="3"/>
        <v>Aug 2012</v>
      </c>
    </row>
    <row r="203" spans="1:5" ht="10.199999999999999" x14ac:dyDescent="0.25">
      <c r="A203" s="1">
        <v>14</v>
      </c>
      <c r="B203" s="1" t="s">
        <v>9</v>
      </c>
      <c r="C203" s="2">
        <v>41155</v>
      </c>
      <c r="D203" s="3">
        <v>300</v>
      </c>
      <c r="E203" s="1" t="str">
        <f t="shared" si="3"/>
        <v>Sep 2012</v>
      </c>
    </row>
    <row r="204" spans="1:5" ht="10.199999999999999" x14ac:dyDescent="0.25">
      <c r="A204" s="1">
        <v>15</v>
      </c>
      <c r="B204" s="1" t="s">
        <v>9</v>
      </c>
      <c r="C204" s="2">
        <v>41096</v>
      </c>
      <c r="D204" s="3">
        <v>1400</v>
      </c>
      <c r="E204" s="1" t="str">
        <f t="shared" si="3"/>
        <v>Jul 2012</v>
      </c>
    </row>
    <row r="205" spans="1:5" ht="10.199999999999999" x14ac:dyDescent="0.25">
      <c r="A205" s="1">
        <v>15</v>
      </c>
      <c r="B205" s="1" t="s">
        <v>9</v>
      </c>
      <c r="C205" s="2">
        <v>41099</v>
      </c>
      <c r="D205" s="3">
        <v>1400</v>
      </c>
      <c r="E205" s="1" t="str">
        <f t="shared" si="3"/>
        <v>Jul 2012</v>
      </c>
    </row>
    <row r="206" spans="1:5" ht="10.199999999999999" x14ac:dyDescent="0.25">
      <c r="A206" s="1">
        <v>15</v>
      </c>
      <c r="B206" s="1" t="s">
        <v>9</v>
      </c>
      <c r="C206" s="2">
        <v>41101</v>
      </c>
      <c r="D206" s="3">
        <v>1400</v>
      </c>
      <c r="E206" s="1" t="str">
        <f t="shared" si="3"/>
        <v>Jul 2012</v>
      </c>
    </row>
    <row r="207" spans="1:5" ht="10.199999999999999" x14ac:dyDescent="0.25">
      <c r="A207" s="1">
        <v>15</v>
      </c>
      <c r="B207" s="1" t="s">
        <v>9</v>
      </c>
      <c r="C207" s="2">
        <v>41103</v>
      </c>
      <c r="D207" s="3">
        <v>1400</v>
      </c>
      <c r="E207" s="1" t="str">
        <f t="shared" si="3"/>
        <v>Jul 2012</v>
      </c>
    </row>
    <row r="208" spans="1:5" ht="10.199999999999999" x14ac:dyDescent="0.25">
      <c r="A208" s="1">
        <v>15</v>
      </c>
      <c r="B208" s="1" t="s">
        <v>9</v>
      </c>
      <c r="C208" s="2">
        <v>41106</v>
      </c>
      <c r="D208" s="3">
        <v>1400</v>
      </c>
      <c r="E208" s="1" t="str">
        <f t="shared" si="3"/>
        <v>Jul 2012</v>
      </c>
    </row>
    <row r="209" spans="1:5" ht="10.199999999999999" x14ac:dyDescent="0.25">
      <c r="A209" s="1">
        <v>15</v>
      </c>
      <c r="B209" s="1" t="s">
        <v>9</v>
      </c>
      <c r="C209" s="2">
        <v>41108</v>
      </c>
      <c r="D209" s="3">
        <v>1400</v>
      </c>
      <c r="E209" s="1" t="str">
        <f t="shared" si="3"/>
        <v>Jul 2012</v>
      </c>
    </row>
    <row r="210" spans="1:5" ht="10.199999999999999" x14ac:dyDescent="0.25">
      <c r="A210" s="1">
        <v>15</v>
      </c>
      <c r="B210" s="1" t="s">
        <v>9</v>
      </c>
      <c r="C210" s="2">
        <v>41110</v>
      </c>
      <c r="D210" s="3">
        <v>1400</v>
      </c>
      <c r="E210" s="1" t="str">
        <f t="shared" si="3"/>
        <v>Jul 2012</v>
      </c>
    </row>
    <row r="211" spans="1:5" ht="10.199999999999999" x14ac:dyDescent="0.25">
      <c r="A211" s="1">
        <v>15</v>
      </c>
      <c r="B211" s="1" t="s">
        <v>9</v>
      </c>
      <c r="C211" s="2">
        <v>41113</v>
      </c>
      <c r="D211" s="3">
        <v>1400</v>
      </c>
      <c r="E211" s="1" t="str">
        <f t="shared" si="3"/>
        <v>Jul 2012</v>
      </c>
    </row>
    <row r="212" spans="1:5" ht="10.199999999999999" x14ac:dyDescent="0.25">
      <c r="A212" s="1">
        <v>15</v>
      </c>
      <c r="B212" s="1" t="s">
        <v>9</v>
      </c>
      <c r="C212" s="2">
        <v>41115</v>
      </c>
      <c r="D212" s="3">
        <v>1400</v>
      </c>
      <c r="E212" s="1" t="str">
        <f t="shared" si="3"/>
        <v>Jul 2012</v>
      </c>
    </row>
    <row r="213" spans="1:5" ht="10.199999999999999" x14ac:dyDescent="0.25">
      <c r="A213" s="1">
        <v>15</v>
      </c>
      <c r="B213" s="1" t="s">
        <v>9</v>
      </c>
      <c r="C213" s="2">
        <v>41117</v>
      </c>
      <c r="D213" s="3">
        <v>1400</v>
      </c>
      <c r="E213" s="1" t="str">
        <f t="shared" si="3"/>
        <v>Jul 2012</v>
      </c>
    </row>
    <row r="214" spans="1:5" ht="10.199999999999999" x14ac:dyDescent="0.25">
      <c r="A214" s="1">
        <v>15</v>
      </c>
      <c r="B214" s="1" t="s">
        <v>9</v>
      </c>
      <c r="C214" s="2">
        <v>41121</v>
      </c>
      <c r="D214" s="3">
        <v>1400</v>
      </c>
      <c r="E214" s="1" t="str">
        <f t="shared" si="3"/>
        <v>Jul 2012</v>
      </c>
    </row>
    <row r="215" spans="1:5" ht="10.199999999999999" x14ac:dyDescent="0.25">
      <c r="A215" s="1">
        <v>15</v>
      </c>
      <c r="B215" s="1" t="s">
        <v>9</v>
      </c>
      <c r="C215" s="2">
        <v>41122</v>
      </c>
      <c r="D215" s="3">
        <v>1400</v>
      </c>
      <c r="E215" s="1" t="str">
        <f t="shared" si="3"/>
        <v>Aug 2012</v>
      </c>
    </row>
    <row r="216" spans="1:5" ht="10.199999999999999" x14ac:dyDescent="0.25">
      <c r="A216" s="1">
        <v>15</v>
      </c>
      <c r="B216" s="1" t="s">
        <v>9</v>
      </c>
      <c r="C216" s="2">
        <v>41155</v>
      </c>
      <c r="D216" s="3">
        <v>1000</v>
      </c>
      <c r="E216" s="1" t="str">
        <f t="shared" si="3"/>
        <v>Sep 2012</v>
      </c>
    </row>
    <row r="217" spans="1:5" ht="10.199999999999999" x14ac:dyDescent="0.25">
      <c r="A217" s="1">
        <v>15</v>
      </c>
      <c r="B217" s="1" t="s">
        <v>9</v>
      </c>
      <c r="C217" s="2">
        <v>41157</v>
      </c>
      <c r="D217" s="3">
        <v>1000</v>
      </c>
      <c r="E217" s="1" t="str">
        <f t="shared" si="3"/>
        <v>Sep 2012</v>
      </c>
    </row>
    <row r="218" spans="1:5" ht="10.199999999999999" x14ac:dyDescent="0.25">
      <c r="A218" s="1">
        <v>15</v>
      </c>
      <c r="B218" s="1" t="s">
        <v>10</v>
      </c>
      <c r="C218" s="2">
        <v>41164</v>
      </c>
      <c r="D218" s="3">
        <v>3</v>
      </c>
      <c r="E218" s="1" t="str">
        <f t="shared" si="3"/>
        <v>Sep 2012</v>
      </c>
    </row>
    <row r="219" spans="1:5" ht="10.199999999999999" x14ac:dyDescent="0.25">
      <c r="A219" s="1">
        <v>15</v>
      </c>
      <c r="B219" s="1" t="s">
        <v>10</v>
      </c>
      <c r="C219" s="2">
        <v>41227</v>
      </c>
      <c r="D219" s="3">
        <v>1</v>
      </c>
      <c r="E219" s="1" t="str">
        <f t="shared" si="3"/>
        <v>Nov 2012</v>
      </c>
    </row>
    <row r="220" spans="1:5" ht="10.199999999999999" x14ac:dyDescent="0.25">
      <c r="A220" s="1">
        <v>16</v>
      </c>
      <c r="B220" s="1" t="s">
        <v>9</v>
      </c>
      <c r="C220" s="2">
        <v>41093</v>
      </c>
      <c r="D220" s="3">
        <v>5000</v>
      </c>
      <c r="E220" s="1" t="str">
        <f t="shared" si="3"/>
        <v>Jul 2012</v>
      </c>
    </row>
    <row r="221" spans="1:5" ht="10.199999999999999" x14ac:dyDescent="0.25">
      <c r="A221" s="1">
        <v>16</v>
      </c>
      <c r="B221" s="1" t="s">
        <v>9</v>
      </c>
      <c r="C221" s="2">
        <v>41095</v>
      </c>
      <c r="D221" s="3">
        <v>5000</v>
      </c>
      <c r="E221" s="1" t="str">
        <f t="shared" si="3"/>
        <v>Jul 2012</v>
      </c>
    </row>
    <row r="222" spans="1:5" ht="10.199999999999999" x14ac:dyDescent="0.25">
      <c r="A222" s="1">
        <v>16</v>
      </c>
      <c r="B222" s="1" t="s">
        <v>9</v>
      </c>
      <c r="C222" s="2">
        <v>41097</v>
      </c>
      <c r="D222" s="3">
        <v>5000</v>
      </c>
      <c r="E222" s="1" t="str">
        <f t="shared" si="3"/>
        <v>Jul 2012</v>
      </c>
    </row>
    <row r="223" spans="1:5" ht="10.199999999999999" x14ac:dyDescent="0.25">
      <c r="A223" s="1">
        <v>16</v>
      </c>
      <c r="B223" s="1" t="s">
        <v>9</v>
      </c>
      <c r="C223" s="2">
        <v>41100</v>
      </c>
      <c r="D223" s="3">
        <v>5000</v>
      </c>
      <c r="E223" s="1" t="str">
        <f t="shared" si="3"/>
        <v>Jul 2012</v>
      </c>
    </row>
    <row r="224" spans="1:5" ht="10.199999999999999" x14ac:dyDescent="0.25">
      <c r="A224" s="1">
        <v>16</v>
      </c>
      <c r="B224" s="1" t="s">
        <v>9</v>
      </c>
      <c r="C224" s="2">
        <v>41102</v>
      </c>
      <c r="D224" s="3">
        <v>5000</v>
      </c>
      <c r="E224" s="1" t="str">
        <f t="shared" si="3"/>
        <v>Jul 2012</v>
      </c>
    </row>
    <row r="225" spans="1:5" ht="10.199999999999999" x14ac:dyDescent="0.25">
      <c r="A225" s="1">
        <v>16</v>
      </c>
      <c r="B225" s="1" t="s">
        <v>9</v>
      </c>
      <c r="C225" s="2">
        <v>41104</v>
      </c>
      <c r="D225" s="3">
        <v>5000</v>
      </c>
      <c r="E225" s="1" t="str">
        <f t="shared" si="3"/>
        <v>Jul 2012</v>
      </c>
    </row>
    <row r="226" spans="1:5" ht="10.199999999999999" x14ac:dyDescent="0.25">
      <c r="A226" s="1">
        <v>16</v>
      </c>
      <c r="B226" s="1" t="s">
        <v>9</v>
      </c>
      <c r="C226" s="2">
        <v>41109</v>
      </c>
      <c r="D226" s="3">
        <v>5000</v>
      </c>
      <c r="E226" s="1" t="str">
        <f t="shared" si="3"/>
        <v>Jul 2012</v>
      </c>
    </row>
    <row r="227" spans="1:5" ht="10.199999999999999" x14ac:dyDescent="0.25">
      <c r="A227" s="1">
        <v>16</v>
      </c>
      <c r="B227" s="1" t="s">
        <v>9</v>
      </c>
      <c r="C227" s="2">
        <v>41111</v>
      </c>
      <c r="D227" s="3">
        <v>4500</v>
      </c>
      <c r="E227" s="1" t="str">
        <f t="shared" si="3"/>
        <v>Jul 2012</v>
      </c>
    </row>
    <row r="228" spans="1:5" ht="10.199999999999999" x14ac:dyDescent="0.25">
      <c r="A228" s="1">
        <v>16</v>
      </c>
      <c r="B228" s="1" t="s">
        <v>9</v>
      </c>
      <c r="C228" s="2">
        <v>41114</v>
      </c>
      <c r="D228" s="3">
        <v>4500</v>
      </c>
      <c r="E228" s="1" t="str">
        <f t="shared" si="3"/>
        <v>Jul 2012</v>
      </c>
    </row>
    <row r="229" spans="1:5" ht="10.199999999999999" x14ac:dyDescent="0.25">
      <c r="A229" s="1">
        <v>16</v>
      </c>
      <c r="B229" s="1" t="s">
        <v>9</v>
      </c>
      <c r="C229" s="2">
        <v>41116</v>
      </c>
      <c r="D229" s="3">
        <v>4500</v>
      </c>
      <c r="E229" s="1" t="str">
        <f t="shared" si="3"/>
        <v>Jul 2012</v>
      </c>
    </row>
    <row r="230" spans="1:5" ht="10.199999999999999" x14ac:dyDescent="0.25">
      <c r="A230" s="1">
        <v>16</v>
      </c>
      <c r="B230" s="1" t="s">
        <v>9</v>
      </c>
      <c r="C230" s="2">
        <v>41118</v>
      </c>
      <c r="D230" s="3">
        <v>4500</v>
      </c>
      <c r="E230" s="1" t="str">
        <f t="shared" si="3"/>
        <v>Jul 2012</v>
      </c>
    </row>
    <row r="231" spans="1:5" ht="10.199999999999999" x14ac:dyDescent="0.25">
      <c r="A231" s="1">
        <v>16</v>
      </c>
      <c r="B231" s="1" t="s">
        <v>9</v>
      </c>
      <c r="C231" s="2">
        <v>41121</v>
      </c>
      <c r="D231" s="3">
        <v>4500</v>
      </c>
      <c r="E231" s="1" t="str">
        <f t="shared" si="3"/>
        <v>Jul 2012</v>
      </c>
    </row>
    <row r="232" spans="1:5" ht="10.199999999999999" x14ac:dyDescent="0.25">
      <c r="A232" s="1">
        <v>16</v>
      </c>
      <c r="B232" s="1" t="s">
        <v>9</v>
      </c>
      <c r="C232" s="2">
        <v>41123</v>
      </c>
      <c r="D232" s="3">
        <v>4500</v>
      </c>
      <c r="E232" s="1" t="str">
        <f t="shared" si="3"/>
        <v>Aug 2012</v>
      </c>
    </row>
    <row r="233" spans="1:5" ht="10.199999999999999" x14ac:dyDescent="0.25">
      <c r="A233" s="1">
        <v>16</v>
      </c>
      <c r="B233" s="1" t="s">
        <v>9</v>
      </c>
      <c r="C233" s="2">
        <v>41125</v>
      </c>
      <c r="D233" s="3">
        <v>4500</v>
      </c>
      <c r="E233" s="1" t="str">
        <f t="shared" si="3"/>
        <v>Aug 2012</v>
      </c>
    </row>
    <row r="234" spans="1:5" ht="10.199999999999999" x14ac:dyDescent="0.25">
      <c r="A234" s="1">
        <v>16</v>
      </c>
      <c r="B234" s="1" t="s">
        <v>9</v>
      </c>
      <c r="C234" s="2">
        <v>41128</v>
      </c>
      <c r="D234" s="3">
        <v>4500</v>
      </c>
      <c r="E234" s="1" t="str">
        <f t="shared" si="3"/>
        <v>Aug 2012</v>
      </c>
    </row>
    <row r="235" spans="1:5" ht="10.199999999999999" x14ac:dyDescent="0.25">
      <c r="A235" s="1">
        <v>16</v>
      </c>
      <c r="B235" s="1" t="s">
        <v>9</v>
      </c>
      <c r="C235" s="2">
        <v>41130</v>
      </c>
      <c r="D235" s="3">
        <v>4500</v>
      </c>
      <c r="E235" s="1" t="str">
        <f t="shared" si="3"/>
        <v>Aug 2012</v>
      </c>
    </row>
    <row r="236" spans="1:5" ht="10.199999999999999" x14ac:dyDescent="0.25">
      <c r="A236" s="1">
        <v>16</v>
      </c>
      <c r="B236" s="1" t="s">
        <v>9</v>
      </c>
      <c r="C236" s="2">
        <v>41132</v>
      </c>
      <c r="D236" s="3">
        <v>4500</v>
      </c>
      <c r="E236" s="1" t="str">
        <f t="shared" si="3"/>
        <v>Aug 2012</v>
      </c>
    </row>
    <row r="237" spans="1:5" ht="10.199999999999999" x14ac:dyDescent="0.25">
      <c r="A237" s="1">
        <v>16</v>
      </c>
      <c r="B237" s="1" t="s">
        <v>9</v>
      </c>
      <c r="C237" s="2">
        <v>41135</v>
      </c>
      <c r="D237" s="3">
        <v>4500</v>
      </c>
      <c r="E237" s="1" t="str">
        <f t="shared" si="3"/>
        <v>Aug 2012</v>
      </c>
    </row>
    <row r="238" spans="1:5" ht="10.199999999999999" x14ac:dyDescent="0.25">
      <c r="A238" s="1">
        <v>16</v>
      </c>
      <c r="B238" s="1" t="s">
        <v>9</v>
      </c>
      <c r="C238" s="2">
        <v>41137</v>
      </c>
      <c r="D238" s="3">
        <v>4500</v>
      </c>
      <c r="E238" s="1" t="str">
        <f t="shared" si="3"/>
        <v>Aug 2012</v>
      </c>
    </row>
    <row r="239" spans="1:5" ht="10.199999999999999" x14ac:dyDescent="0.25">
      <c r="A239" s="1">
        <v>16</v>
      </c>
      <c r="B239" s="1" t="s">
        <v>9</v>
      </c>
      <c r="C239" s="2">
        <v>41139</v>
      </c>
      <c r="D239" s="3">
        <v>5900</v>
      </c>
      <c r="E239" s="1" t="str">
        <f t="shared" si="3"/>
        <v>Aug 2012</v>
      </c>
    </row>
    <row r="240" spans="1:5" ht="10.199999999999999" x14ac:dyDescent="0.25">
      <c r="A240" s="1">
        <v>16</v>
      </c>
      <c r="B240" s="1" t="s">
        <v>9</v>
      </c>
      <c r="C240" s="2">
        <v>41142</v>
      </c>
      <c r="D240" s="3">
        <v>5900</v>
      </c>
      <c r="E240" s="1" t="str">
        <f t="shared" si="3"/>
        <v>Aug 2012</v>
      </c>
    </row>
    <row r="241" spans="1:5" ht="10.199999999999999" x14ac:dyDescent="0.25">
      <c r="A241" s="1">
        <v>16</v>
      </c>
      <c r="B241" s="1" t="s">
        <v>9</v>
      </c>
      <c r="C241" s="2">
        <v>41144</v>
      </c>
      <c r="D241" s="3">
        <v>5900</v>
      </c>
      <c r="E241" s="1" t="str">
        <f t="shared" si="3"/>
        <v>Aug 2012</v>
      </c>
    </row>
    <row r="242" spans="1:5" ht="10.199999999999999" x14ac:dyDescent="0.25">
      <c r="A242" s="1">
        <v>16</v>
      </c>
      <c r="B242" s="1" t="s">
        <v>9</v>
      </c>
      <c r="C242" s="2">
        <v>41146</v>
      </c>
      <c r="D242" s="3">
        <v>5900</v>
      </c>
      <c r="E242" s="1" t="str">
        <f t="shared" si="3"/>
        <v>Aug 2012</v>
      </c>
    </row>
    <row r="243" spans="1:5" ht="10.199999999999999" x14ac:dyDescent="0.25">
      <c r="A243" s="1">
        <v>16</v>
      </c>
      <c r="B243" s="1" t="s">
        <v>9</v>
      </c>
      <c r="C243" s="2">
        <v>41149</v>
      </c>
      <c r="D243" s="3">
        <v>5900</v>
      </c>
      <c r="E243" s="1" t="str">
        <f t="shared" si="3"/>
        <v>Aug 2012</v>
      </c>
    </row>
    <row r="244" spans="1:5" ht="10.199999999999999" x14ac:dyDescent="0.25">
      <c r="A244" s="1">
        <v>16</v>
      </c>
      <c r="B244" s="1" t="s">
        <v>9</v>
      </c>
      <c r="C244" s="2">
        <v>41151</v>
      </c>
      <c r="D244" s="3">
        <v>5900</v>
      </c>
      <c r="E244" s="1" t="str">
        <f t="shared" si="3"/>
        <v>Aug 2012</v>
      </c>
    </row>
    <row r="245" spans="1:5" ht="10.199999999999999" x14ac:dyDescent="0.25">
      <c r="A245" s="1">
        <v>16</v>
      </c>
      <c r="B245" s="1" t="s">
        <v>9</v>
      </c>
      <c r="C245" s="2">
        <v>41153</v>
      </c>
      <c r="D245" s="3">
        <v>5900</v>
      </c>
      <c r="E245" s="1" t="str">
        <f t="shared" si="3"/>
        <v>Sep 2012</v>
      </c>
    </row>
    <row r="246" spans="1:5" ht="10.199999999999999" x14ac:dyDescent="0.25">
      <c r="A246" s="1">
        <v>16</v>
      </c>
      <c r="B246" s="1" t="s">
        <v>9</v>
      </c>
      <c r="C246" s="2">
        <v>41156</v>
      </c>
      <c r="D246" s="3">
        <v>5900</v>
      </c>
      <c r="E246" s="1" t="str">
        <f t="shared" si="3"/>
        <v>Sep 2012</v>
      </c>
    </row>
    <row r="247" spans="1:5" ht="10.199999999999999" x14ac:dyDescent="0.25">
      <c r="A247" s="1">
        <v>16</v>
      </c>
      <c r="B247" s="1" t="s">
        <v>9</v>
      </c>
      <c r="C247" s="2">
        <v>41158</v>
      </c>
      <c r="D247" s="3">
        <v>5900</v>
      </c>
      <c r="E247" s="1" t="str">
        <f t="shared" si="3"/>
        <v>Sep 2012</v>
      </c>
    </row>
    <row r="248" spans="1:5" ht="10.199999999999999" x14ac:dyDescent="0.25">
      <c r="A248" s="1">
        <v>16</v>
      </c>
      <c r="B248" s="1" t="s">
        <v>10</v>
      </c>
      <c r="C248" s="2">
        <v>41165</v>
      </c>
      <c r="D248" s="3">
        <v>8</v>
      </c>
      <c r="E248" s="1" t="str">
        <f t="shared" si="3"/>
        <v>Sep 2012</v>
      </c>
    </row>
    <row r="249" spans="1:5" ht="10.199999999999999" x14ac:dyDescent="0.25">
      <c r="A249" s="1">
        <v>16</v>
      </c>
      <c r="B249" s="1" t="s">
        <v>10</v>
      </c>
      <c r="C249" s="2">
        <v>41223</v>
      </c>
      <c r="D249" s="3">
        <v>2</v>
      </c>
      <c r="E249" s="1" t="str">
        <f t="shared" si="3"/>
        <v>Nov 2012</v>
      </c>
    </row>
    <row r="250" spans="1:5" ht="10.199999999999999" x14ac:dyDescent="0.25">
      <c r="A250" s="1">
        <v>17</v>
      </c>
      <c r="B250" s="1" t="s">
        <v>9</v>
      </c>
      <c r="C250" s="2">
        <v>41093</v>
      </c>
      <c r="D250" s="3">
        <v>800</v>
      </c>
      <c r="E250" s="1" t="str">
        <f t="shared" si="3"/>
        <v>Jul 2012</v>
      </c>
    </row>
    <row r="251" spans="1:5" ht="10.199999999999999" x14ac:dyDescent="0.25">
      <c r="A251" s="1">
        <v>17</v>
      </c>
      <c r="B251" s="1" t="s">
        <v>9</v>
      </c>
      <c r="C251" s="2">
        <v>41095</v>
      </c>
      <c r="D251" s="3">
        <v>800</v>
      </c>
      <c r="E251" s="1" t="str">
        <f t="shared" si="3"/>
        <v>Jul 2012</v>
      </c>
    </row>
    <row r="252" spans="1:5" ht="10.199999999999999" x14ac:dyDescent="0.25">
      <c r="A252" s="1">
        <v>17</v>
      </c>
      <c r="B252" s="1" t="s">
        <v>9</v>
      </c>
      <c r="C252" s="2">
        <v>41100</v>
      </c>
      <c r="D252" s="3">
        <v>900</v>
      </c>
      <c r="E252" s="1" t="str">
        <f t="shared" si="3"/>
        <v>Jul 2012</v>
      </c>
    </row>
    <row r="253" spans="1:5" ht="10.199999999999999" x14ac:dyDescent="0.25">
      <c r="A253" s="1">
        <v>17</v>
      </c>
      <c r="B253" s="1" t="s">
        <v>9</v>
      </c>
      <c r="C253" s="2">
        <v>41102</v>
      </c>
      <c r="D253" s="3">
        <v>900</v>
      </c>
      <c r="E253" s="1" t="str">
        <f t="shared" si="3"/>
        <v>Jul 2012</v>
      </c>
    </row>
    <row r="254" spans="1:5" ht="10.199999999999999" x14ac:dyDescent="0.25">
      <c r="A254" s="1">
        <v>17</v>
      </c>
      <c r="B254" s="1" t="s">
        <v>9</v>
      </c>
      <c r="C254" s="2">
        <v>41123</v>
      </c>
      <c r="D254" s="3">
        <v>5000</v>
      </c>
      <c r="E254" s="1" t="str">
        <f t="shared" si="3"/>
        <v>Aug 2012</v>
      </c>
    </row>
    <row r="255" spans="1:5" ht="10.199999999999999" x14ac:dyDescent="0.25">
      <c r="A255" s="1">
        <v>17</v>
      </c>
      <c r="B255" s="1" t="s">
        <v>9</v>
      </c>
      <c r="C255" s="2">
        <v>41125</v>
      </c>
      <c r="D255" s="3">
        <v>5000</v>
      </c>
      <c r="E255" s="1" t="str">
        <f t="shared" si="3"/>
        <v>Aug 2012</v>
      </c>
    </row>
    <row r="256" spans="1:5" ht="10.199999999999999" x14ac:dyDescent="0.25">
      <c r="A256" s="1">
        <v>17</v>
      </c>
      <c r="B256" s="1" t="s">
        <v>9</v>
      </c>
      <c r="C256" s="2">
        <v>41128</v>
      </c>
      <c r="D256" s="3">
        <v>5000</v>
      </c>
      <c r="E256" s="1" t="str">
        <f t="shared" si="3"/>
        <v>Aug 2012</v>
      </c>
    </row>
    <row r="257" spans="1:5" ht="10.199999999999999" x14ac:dyDescent="0.25">
      <c r="A257" s="1">
        <v>17</v>
      </c>
      <c r="B257" s="1" t="s">
        <v>9</v>
      </c>
      <c r="C257" s="2">
        <v>41149</v>
      </c>
      <c r="D257" s="3">
        <v>3200</v>
      </c>
      <c r="E257" s="1" t="str">
        <f t="shared" si="3"/>
        <v>Aug 2012</v>
      </c>
    </row>
    <row r="258" spans="1:5" ht="10.199999999999999" x14ac:dyDescent="0.25">
      <c r="A258" s="1">
        <v>17</v>
      </c>
      <c r="B258" s="1" t="s">
        <v>9</v>
      </c>
      <c r="C258" s="2">
        <v>41151</v>
      </c>
      <c r="D258" s="3">
        <v>3200</v>
      </c>
      <c r="E258" s="1" t="str">
        <f t="shared" si="3"/>
        <v>Aug 2012</v>
      </c>
    </row>
    <row r="259" spans="1:5" ht="10.199999999999999" x14ac:dyDescent="0.25">
      <c r="A259" s="1">
        <v>17</v>
      </c>
      <c r="B259" s="1" t="s">
        <v>9</v>
      </c>
      <c r="C259" s="2">
        <v>41153</v>
      </c>
      <c r="D259" s="3">
        <v>3200</v>
      </c>
      <c r="E259" s="1" t="str">
        <f t="shared" ref="E259:E322" si="4">TEXT(C259,"mmm yyyy")</f>
        <v>Sep 2012</v>
      </c>
    </row>
    <row r="260" spans="1:5" ht="10.199999999999999" x14ac:dyDescent="0.25">
      <c r="A260" s="1">
        <v>17</v>
      </c>
      <c r="B260" s="1" t="s">
        <v>9</v>
      </c>
      <c r="C260" s="2">
        <v>41156</v>
      </c>
      <c r="D260" s="3">
        <v>3200</v>
      </c>
      <c r="E260" s="1" t="str">
        <f t="shared" si="4"/>
        <v>Sep 2012</v>
      </c>
    </row>
    <row r="261" spans="1:5" ht="10.199999999999999" x14ac:dyDescent="0.25">
      <c r="A261" s="1">
        <v>17</v>
      </c>
      <c r="B261" s="1" t="s">
        <v>9</v>
      </c>
      <c r="C261" s="2">
        <v>41158</v>
      </c>
      <c r="D261" s="3">
        <v>3200</v>
      </c>
      <c r="E261" s="1" t="str">
        <f t="shared" si="4"/>
        <v>Sep 2012</v>
      </c>
    </row>
    <row r="262" spans="1:5" ht="10.199999999999999" x14ac:dyDescent="0.25">
      <c r="A262" s="1">
        <v>17</v>
      </c>
      <c r="B262" s="1" t="s">
        <v>10</v>
      </c>
      <c r="C262" s="2">
        <v>41165</v>
      </c>
      <c r="D262" s="3">
        <v>6</v>
      </c>
      <c r="E262" s="1" t="str">
        <f t="shared" si="4"/>
        <v>Sep 2012</v>
      </c>
    </row>
    <row r="263" spans="1:5" ht="10.199999999999999" x14ac:dyDescent="0.25">
      <c r="A263" s="1">
        <v>17</v>
      </c>
      <c r="B263" s="1" t="s">
        <v>10</v>
      </c>
      <c r="C263" s="2">
        <v>41193</v>
      </c>
      <c r="D263" s="3">
        <v>5</v>
      </c>
      <c r="E263" s="1" t="str">
        <f t="shared" si="4"/>
        <v>Oct 2012</v>
      </c>
    </row>
    <row r="264" spans="1:5" ht="10.199999999999999" x14ac:dyDescent="0.25">
      <c r="A264" s="1">
        <v>17</v>
      </c>
      <c r="B264" s="1" t="s">
        <v>10</v>
      </c>
      <c r="C264" s="2">
        <v>41228</v>
      </c>
      <c r="D264" s="3">
        <v>16</v>
      </c>
      <c r="E264" s="1" t="str">
        <f t="shared" si="4"/>
        <v>Nov 2012</v>
      </c>
    </row>
    <row r="265" spans="1:5" ht="10.199999999999999" x14ac:dyDescent="0.25">
      <c r="A265" s="1">
        <v>18</v>
      </c>
      <c r="B265" s="1" t="s">
        <v>9</v>
      </c>
      <c r="C265" s="2">
        <v>41096</v>
      </c>
      <c r="D265" s="3">
        <v>3300</v>
      </c>
      <c r="E265" s="1" t="str">
        <f t="shared" si="4"/>
        <v>Jul 2012</v>
      </c>
    </row>
    <row r="266" spans="1:5" ht="10.199999999999999" x14ac:dyDescent="0.25">
      <c r="A266" s="1">
        <v>18</v>
      </c>
      <c r="B266" s="1" t="s">
        <v>9</v>
      </c>
      <c r="C266" s="2">
        <v>41099</v>
      </c>
      <c r="D266" s="3">
        <v>3300</v>
      </c>
      <c r="E266" s="1" t="str">
        <f t="shared" si="4"/>
        <v>Jul 2012</v>
      </c>
    </row>
    <row r="267" spans="1:5" ht="10.199999999999999" x14ac:dyDescent="0.25">
      <c r="A267" s="1">
        <v>18</v>
      </c>
      <c r="B267" s="1" t="s">
        <v>9</v>
      </c>
      <c r="C267" s="2">
        <v>41101</v>
      </c>
      <c r="D267" s="3">
        <v>3300</v>
      </c>
      <c r="E267" s="1" t="str">
        <f t="shared" si="4"/>
        <v>Jul 2012</v>
      </c>
    </row>
    <row r="268" spans="1:5" ht="10.199999999999999" x14ac:dyDescent="0.25">
      <c r="A268" s="1">
        <v>18</v>
      </c>
      <c r="B268" s="1" t="s">
        <v>9</v>
      </c>
      <c r="C268" s="2">
        <v>41103</v>
      </c>
      <c r="D268" s="3">
        <v>3300</v>
      </c>
      <c r="E268" s="1" t="str">
        <f t="shared" si="4"/>
        <v>Jul 2012</v>
      </c>
    </row>
    <row r="269" spans="1:5" ht="10.199999999999999" x14ac:dyDescent="0.25">
      <c r="A269" s="1">
        <v>18</v>
      </c>
      <c r="B269" s="1" t="s">
        <v>9</v>
      </c>
      <c r="C269" s="2">
        <v>41106</v>
      </c>
      <c r="D269" s="3">
        <v>3300</v>
      </c>
      <c r="E269" s="1" t="str">
        <f t="shared" si="4"/>
        <v>Jul 2012</v>
      </c>
    </row>
    <row r="270" spans="1:5" ht="10.199999999999999" x14ac:dyDescent="0.25">
      <c r="A270" s="1">
        <v>18</v>
      </c>
      <c r="B270" s="1" t="s">
        <v>9</v>
      </c>
      <c r="C270" s="2">
        <v>41108</v>
      </c>
      <c r="D270" s="3">
        <v>3300</v>
      </c>
      <c r="E270" s="1" t="str">
        <f t="shared" si="4"/>
        <v>Jul 2012</v>
      </c>
    </row>
    <row r="271" spans="1:5" ht="10.199999999999999" x14ac:dyDescent="0.25">
      <c r="A271" s="1">
        <v>18</v>
      </c>
      <c r="B271" s="1" t="s">
        <v>9</v>
      </c>
      <c r="C271" s="2">
        <v>41110</v>
      </c>
      <c r="D271" s="3">
        <v>4300</v>
      </c>
      <c r="E271" s="1" t="str">
        <f t="shared" si="4"/>
        <v>Jul 2012</v>
      </c>
    </row>
    <row r="272" spans="1:5" ht="10.199999999999999" x14ac:dyDescent="0.25">
      <c r="A272" s="1">
        <v>18</v>
      </c>
      <c r="B272" s="1" t="s">
        <v>9</v>
      </c>
      <c r="C272" s="2">
        <v>41113</v>
      </c>
      <c r="D272" s="3">
        <v>4300</v>
      </c>
      <c r="E272" s="1" t="str">
        <f t="shared" si="4"/>
        <v>Jul 2012</v>
      </c>
    </row>
    <row r="273" spans="1:5" ht="10.199999999999999" x14ac:dyDescent="0.25">
      <c r="A273" s="1">
        <v>18</v>
      </c>
      <c r="B273" s="1" t="s">
        <v>9</v>
      </c>
      <c r="C273" s="2">
        <v>41115</v>
      </c>
      <c r="D273" s="3">
        <v>4300</v>
      </c>
      <c r="E273" s="1" t="str">
        <f t="shared" si="4"/>
        <v>Jul 2012</v>
      </c>
    </row>
    <row r="274" spans="1:5" ht="10.199999999999999" x14ac:dyDescent="0.25">
      <c r="A274" s="1">
        <v>18</v>
      </c>
      <c r="B274" s="1" t="s">
        <v>9</v>
      </c>
      <c r="C274" s="2">
        <v>41117</v>
      </c>
      <c r="D274" s="3">
        <v>4300</v>
      </c>
      <c r="E274" s="1" t="str">
        <f t="shared" si="4"/>
        <v>Jul 2012</v>
      </c>
    </row>
    <row r="275" spans="1:5" ht="10.199999999999999" x14ac:dyDescent="0.25">
      <c r="A275" s="1">
        <v>18</v>
      </c>
      <c r="B275" s="1" t="s">
        <v>9</v>
      </c>
      <c r="C275" s="2">
        <v>41120</v>
      </c>
      <c r="D275" s="3">
        <v>4300</v>
      </c>
      <c r="E275" s="1" t="str">
        <f t="shared" si="4"/>
        <v>Jul 2012</v>
      </c>
    </row>
    <row r="276" spans="1:5" ht="10.199999999999999" x14ac:dyDescent="0.25">
      <c r="A276" s="1">
        <v>18</v>
      </c>
      <c r="B276" s="1" t="s">
        <v>9</v>
      </c>
      <c r="C276" s="2">
        <v>41122</v>
      </c>
      <c r="D276" s="3">
        <v>4300</v>
      </c>
      <c r="E276" s="1" t="str">
        <f t="shared" si="4"/>
        <v>Aug 2012</v>
      </c>
    </row>
    <row r="277" spans="1:5" ht="10.199999999999999" x14ac:dyDescent="0.25">
      <c r="A277" s="1">
        <v>18</v>
      </c>
      <c r="B277" s="1" t="s">
        <v>9</v>
      </c>
      <c r="C277" s="2">
        <v>41124</v>
      </c>
      <c r="D277" s="3">
        <v>4300</v>
      </c>
      <c r="E277" s="1" t="str">
        <f t="shared" si="4"/>
        <v>Aug 2012</v>
      </c>
    </row>
    <row r="278" spans="1:5" ht="10.199999999999999" x14ac:dyDescent="0.25">
      <c r="A278" s="1">
        <v>18</v>
      </c>
      <c r="B278" s="1" t="s">
        <v>9</v>
      </c>
      <c r="C278" s="2">
        <v>41127</v>
      </c>
      <c r="D278" s="3">
        <v>4800</v>
      </c>
      <c r="E278" s="1" t="str">
        <f t="shared" si="4"/>
        <v>Aug 2012</v>
      </c>
    </row>
    <row r="279" spans="1:5" ht="10.199999999999999" x14ac:dyDescent="0.25">
      <c r="A279" s="1">
        <v>18</v>
      </c>
      <c r="B279" s="1" t="s">
        <v>9</v>
      </c>
      <c r="C279" s="2">
        <v>41129</v>
      </c>
      <c r="D279" s="3">
        <v>4800</v>
      </c>
      <c r="E279" s="1" t="str">
        <f t="shared" si="4"/>
        <v>Aug 2012</v>
      </c>
    </row>
    <row r="280" spans="1:5" ht="10.199999999999999" x14ac:dyDescent="0.25">
      <c r="A280" s="1">
        <v>18</v>
      </c>
      <c r="B280" s="1" t="s">
        <v>9</v>
      </c>
      <c r="C280" s="2">
        <v>41131</v>
      </c>
      <c r="D280" s="3">
        <v>4800</v>
      </c>
      <c r="E280" s="1" t="str">
        <f t="shared" si="4"/>
        <v>Aug 2012</v>
      </c>
    </row>
    <row r="281" spans="1:5" ht="10.199999999999999" x14ac:dyDescent="0.25">
      <c r="A281" s="1">
        <v>18</v>
      </c>
      <c r="B281" s="1" t="s">
        <v>9</v>
      </c>
      <c r="C281" s="2">
        <v>41134</v>
      </c>
      <c r="D281" s="3">
        <v>4800</v>
      </c>
      <c r="E281" s="1" t="str">
        <f t="shared" si="4"/>
        <v>Aug 2012</v>
      </c>
    </row>
    <row r="282" spans="1:5" ht="10.199999999999999" x14ac:dyDescent="0.25">
      <c r="A282" s="1">
        <v>18</v>
      </c>
      <c r="B282" s="1" t="s">
        <v>9</v>
      </c>
      <c r="C282" s="2">
        <v>41136</v>
      </c>
      <c r="D282" s="3">
        <v>4800</v>
      </c>
      <c r="E282" s="1" t="str">
        <f t="shared" si="4"/>
        <v>Aug 2012</v>
      </c>
    </row>
    <row r="283" spans="1:5" ht="10.199999999999999" x14ac:dyDescent="0.25">
      <c r="A283" s="1">
        <v>18</v>
      </c>
      <c r="B283" s="1" t="s">
        <v>9</v>
      </c>
      <c r="C283" s="2">
        <v>41138</v>
      </c>
      <c r="D283" s="3">
        <v>4800</v>
      </c>
      <c r="E283" s="1" t="str">
        <f t="shared" si="4"/>
        <v>Aug 2012</v>
      </c>
    </row>
    <row r="284" spans="1:5" ht="10.199999999999999" x14ac:dyDescent="0.25">
      <c r="A284" s="1">
        <v>18</v>
      </c>
      <c r="B284" s="1" t="s">
        <v>9</v>
      </c>
      <c r="C284" s="2">
        <v>41141</v>
      </c>
      <c r="D284" s="3">
        <v>5800</v>
      </c>
      <c r="E284" s="1" t="str">
        <f t="shared" si="4"/>
        <v>Aug 2012</v>
      </c>
    </row>
    <row r="285" spans="1:5" ht="10.199999999999999" x14ac:dyDescent="0.25">
      <c r="A285" s="1">
        <v>18</v>
      </c>
      <c r="B285" s="1" t="s">
        <v>9</v>
      </c>
      <c r="C285" s="2">
        <v>41143</v>
      </c>
      <c r="D285" s="3">
        <v>5800</v>
      </c>
      <c r="E285" s="1" t="str">
        <f t="shared" si="4"/>
        <v>Aug 2012</v>
      </c>
    </row>
    <row r="286" spans="1:5" ht="10.199999999999999" x14ac:dyDescent="0.25">
      <c r="A286" s="1">
        <v>18</v>
      </c>
      <c r="B286" s="1" t="s">
        <v>9</v>
      </c>
      <c r="C286" s="2">
        <v>41145</v>
      </c>
      <c r="D286" s="3">
        <v>5800</v>
      </c>
      <c r="E286" s="1" t="str">
        <f t="shared" si="4"/>
        <v>Aug 2012</v>
      </c>
    </row>
    <row r="287" spans="1:5" ht="10.199999999999999" x14ac:dyDescent="0.25">
      <c r="A287" s="1">
        <v>18</v>
      </c>
      <c r="B287" s="1" t="s">
        <v>9</v>
      </c>
      <c r="C287" s="2">
        <v>41148</v>
      </c>
      <c r="D287" s="3">
        <v>5800</v>
      </c>
      <c r="E287" s="1" t="str">
        <f t="shared" si="4"/>
        <v>Aug 2012</v>
      </c>
    </row>
    <row r="288" spans="1:5" ht="10.199999999999999" x14ac:dyDescent="0.25">
      <c r="A288" s="1">
        <v>18</v>
      </c>
      <c r="B288" s="1" t="s">
        <v>9</v>
      </c>
      <c r="C288" s="2">
        <v>41150</v>
      </c>
      <c r="D288" s="3">
        <v>5800</v>
      </c>
      <c r="E288" s="1" t="str">
        <f t="shared" si="4"/>
        <v>Aug 2012</v>
      </c>
    </row>
    <row r="289" spans="1:5" ht="10.199999999999999" x14ac:dyDescent="0.25">
      <c r="A289" s="1">
        <v>18</v>
      </c>
      <c r="B289" s="1" t="s">
        <v>9</v>
      </c>
      <c r="C289" s="2">
        <v>41152</v>
      </c>
      <c r="D289" s="3">
        <v>5800</v>
      </c>
      <c r="E289" s="1" t="str">
        <f t="shared" si="4"/>
        <v>Aug 2012</v>
      </c>
    </row>
    <row r="290" spans="1:5" ht="10.199999999999999" x14ac:dyDescent="0.25">
      <c r="A290" s="1">
        <v>18</v>
      </c>
      <c r="B290" s="1" t="s">
        <v>9</v>
      </c>
      <c r="C290" s="2">
        <v>41155</v>
      </c>
      <c r="D290" s="3">
        <v>5800</v>
      </c>
      <c r="E290" s="1" t="str">
        <f t="shared" si="4"/>
        <v>Sep 2012</v>
      </c>
    </row>
    <row r="291" spans="1:5" ht="10.199999999999999" x14ac:dyDescent="0.25">
      <c r="A291" s="1">
        <v>18</v>
      </c>
      <c r="B291" s="1" t="s">
        <v>9</v>
      </c>
      <c r="C291" s="2">
        <v>41157</v>
      </c>
      <c r="D291" s="3">
        <v>5800</v>
      </c>
      <c r="E291" s="1" t="str">
        <f t="shared" si="4"/>
        <v>Sep 2012</v>
      </c>
    </row>
    <row r="292" spans="1:5" ht="10.199999999999999" x14ac:dyDescent="0.25">
      <c r="A292" s="1">
        <v>18</v>
      </c>
      <c r="B292" s="1" t="s">
        <v>10</v>
      </c>
      <c r="C292" s="2">
        <v>41173</v>
      </c>
      <c r="D292" s="3">
        <v>8</v>
      </c>
      <c r="E292" s="1" t="str">
        <f t="shared" si="4"/>
        <v>Sep 2012</v>
      </c>
    </row>
    <row r="293" spans="1:5" ht="10.199999999999999" x14ac:dyDescent="0.25">
      <c r="A293" s="1">
        <v>18</v>
      </c>
      <c r="B293" s="1" t="s">
        <v>10</v>
      </c>
      <c r="C293" s="2">
        <v>41192</v>
      </c>
      <c r="D293" s="3">
        <v>8</v>
      </c>
      <c r="E293" s="1" t="str">
        <f t="shared" si="4"/>
        <v>Oct 2012</v>
      </c>
    </row>
    <row r="294" spans="1:5" ht="10.199999999999999" x14ac:dyDescent="0.25">
      <c r="A294" s="1">
        <v>18</v>
      </c>
      <c r="B294" s="1" t="s">
        <v>10</v>
      </c>
      <c r="C294" s="2">
        <v>41228</v>
      </c>
      <c r="D294" s="3">
        <v>8</v>
      </c>
      <c r="E294" s="1" t="str">
        <f t="shared" si="4"/>
        <v>Nov 2012</v>
      </c>
    </row>
    <row r="295" spans="1:5" ht="10.199999999999999" x14ac:dyDescent="0.25">
      <c r="A295" s="1">
        <v>19</v>
      </c>
      <c r="B295" s="1" t="s">
        <v>9</v>
      </c>
      <c r="C295" s="2">
        <v>41092</v>
      </c>
      <c r="D295" s="3">
        <v>1700</v>
      </c>
      <c r="E295" s="1" t="str">
        <f t="shared" si="4"/>
        <v>Jul 2012</v>
      </c>
    </row>
    <row r="296" spans="1:5" ht="10.199999999999999" x14ac:dyDescent="0.25">
      <c r="A296" s="1">
        <v>19</v>
      </c>
      <c r="B296" s="1" t="s">
        <v>9</v>
      </c>
      <c r="C296" s="2">
        <v>41094</v>
      </c>
      <c r="D296" s="3">
        <v>1700</v>
      </c>
      <c r="E296" s="1" t="str">
        <f t="shared" si="4"/>
        <v>Jul 2012</v>
      </c>
    </row>
    <row r="297" spans="1:5" ht="10.199999999999999" x14ac:dyDescent="0.25">
      <c r="A297" s="1">
        <v>19</v>
      </c>
      <c r="B297" s="1" t="s">
        <v>9</v>
      </c>
      <c r="C297" s="2">
        <v>41096</v>
      </c>
      <c r="D297" s="3">
        <v>1700</v>
      </c>
      <c r="E297" s="1" t="str">
        <f t="shared" si="4"/>
        <v>Jul 2012</v>
      </c>
    </row>
    <row r="298" spans="1:5" ht="10.199999999999999" x14ac:dyDescent="0.25">
      <c r="A298" s="1">
        <v>19</v>
      </c>
      <c r="B298" s="1" t="s">
        <v>9</v>
      </c>
      <c r="C298" s="2">
        <v>41099</v>
      </c>
      <c r="D298" s="3">
        <v>1700</v>
      </c>
      <c r="E298" s="1" t="str">
        <f t="shared" si="4"/>
        <v>Jul 2012</v>
      </c>
    </row>
    <row r="299" spans="1:5" ht="10.199999999999999" x14ac:dyDescent="0.25">
      <c r="A299" s="1">
        <v>19</v>
      </c>
      <c r="B299" s="1" t="s">
        <v>9</v>
      </c>
      <c r="C299" s="2">
        <v>41101</v>
      </c>
      <c r="D299" s="3">
        <v>1700</v>
      </c>
      <c r="E299" s="1" t="str">
        <f t="shared" si="4"/>
        <v>Jul 2012</v>
      </c>
    </row>
    <row r="300" spans="1:5" ht="10.199999999999999" x14ac:dyDescent="0.25">
      <c r="A300" s="1">
        <v>19</v>
      </c>
      <c r="B300" s="1" t="s">
        <v>9</v>
      </c>
      <c r="C300" s="2">
        <v>41103</v>
      </c>
      <c r="D300" s="3">
        <v>1700</v>
      </c>
      <c r="E300" s="1" t="str">
        <f t="shared" si="4"/>
        <v>Jul 2012</v>
      </c>
    </row>
    <row r="301" spans="1:5" ht="10.199999999999999" x14ac:dyDescent="0.25">
      <c r="A301" s="1">
        <v>19</v>
      </c>
      <c r="B301" s="1" t="s">
        <v>9</v>
      </c>
      <c r="C301" s="2">
        <v>41106</v>
      </c>
      <c r="D301" s="3">
        <v>1700</v>
      </c>
      <c r="E301" s="1" t="str">
        <f t="shared" si="4"/>
        <v>Jul 2012</v>
      </c>
    </row>
    <row r="302" spans="1:5" ht="10.199999999999999" x14ac:dyDescent="0.25">
      <c r="A302" s="1">
        <v>19</v>
      </c>
      <c r="B302" s="1" t="s">
        <v>9</v>
      </c>
      <c r="C302" s="2">
        <v>41108</v>
      </c>
      <c r="D302" s="3">
        <v>1700</v>
      </c>
      <c r="E302" s="1" t="str">
        <f t="shared" si="4"/>
        <v>Jul 2012</v>
      </c>
    </row>
    <row r="303" spans="1:5" ht="10.199999999999999" x14ac:dyDescent="0.25">
      <c r="A303" s="1">
        <v>19</v>
      </c>
      <c r="B303" s="1" t="s">
        <v>9</v>
      </c>
      <c r="C303" s="2">
        <v>41110</v>
      </c>
      <c r="D303" s="3">
        <v>1700</v>
      </c>
      <c r="E303" s="1" t="str">
        <f t="shared" si="4"/>
        <v>Jul 2012</v>
      </c>
    </row>
    <row r="304" spans="1:5" ht="10.199999999999999" x14ac:dyDescent="0.25">
      <c r="A304" s="1">
        <v>19</v>
      </c>
      <c r="B304" s="1" t="s">
        <v>9</v>
      </c>
      <c r="C304" s="2">
        <v>41113</v>
      </c>
      <c r="D304" s="3">
        <v>1700</v>
      </c>
      <c r="E304" s="1" t="str">
        <f t="shared" si="4"/>
        <v>Jul 2012</v>
      </c>
    </row>
    <row r="305" spans="1:5" ht="10.199999999999999" x14ac:dyDescent="0.25">
      <c r="A305" s="1">
        <v>19</v>
      </c>
      <c r="B305" s="1" t="s">
        <v>9</v>
      </c>
      <c r="C305" s="2">
        <v>41115</v>
      </c>
      <c r="D305" s="3">
        <v>1700</v>
      </c>
      <c r="E305" s="1" t="str">
        <f t="shared" si="4"/>
        <v>Jul 2012</v>
      </c>
    </row>
    <row r="306" spans="1:5" ht="10.199999999999999" x14ac:dyDescent="0.25">
      <c r="A306" s="1">
        <v>19</v>
      </c>
      <c r="B306" s="1" t="s">
        <v>9</v>
      </c>
      <c r="C306" s="2">
        <v>41117</v>
      </c>
      <c r="D306" s="3">
        <v>1700</v>
      </c>
      <c r="E306" s="1" t="str">
        <f t="shared" si="4"/>
        <v>Jul 2012</v>
      </c>
    </row>
    <row r="307" spans="1:5" ht="10.199999999999999" x14ac:dyDescent="0.25">
      <c r="A307" s="1">
        <v>19</v>
      </c>
      <c r="B307" s="1" t="s">
        <v>9</v>
      </c>
      <c r="C307" s="2">
        <v>41120</v>
      </c>
      <c r="D307" s="3">
        <v>1700</v>
      </c>
      <c r="E307" s="1" t="str">
        <f t="shared" si="4"/>
        <v>Jul 2012</v>
      </c>
    </row>
    <row r="308" spans="1:5" ht="10.199999999999999" x14ac:dyDescent="0.25">
      <c r="A308" s="1">
        <v>19</v>
      </c>
      <c r="B308" s="1" t="s">
        <v>9</v>
      </c>
      <c r="C308" s="2">
        <v>41122</v>
      </c>
      <c r="D308" s="3">
        <v>1700</v>
      </c>
      <c r="E308" s="1" t="str">
        <f t="shared" si="4"/>
        <v>Aug 2012</v>
      </c>
    </row>
    <row r="309" spans="1:5" ht="10.199999999999999" x14ac:dyDescent="0.25">
      <c r="A309" s="1">
        <v>19</v>
      </c>
      <c r="B309" s="1" t="s">
        <v>9</v>
      </c>
      <c r="C309" s="2">
        <v>41124</v>
      </c>
      <c r="D309" s="3">
        <v>1700</v>
      </c>
      <c r="E309" s="1" t="str">
        <f t="shared" si="4"/>
        <v>Aug 2012</v>
      </c>
    </row>
    <row r="310" spans="1:5" ht="10.199999999999999" x14ac:dyDescent="0.25">
      <c r="A310" s="1">
        <v>19</v>
      </c>
      <c r="B310" s="1" t="s">
        <v>9</v>
      </c>
      <c r="C310" s="2">
        <v>41127</v>
      </c>
      <c r="D310" s="3">
        <v>1700</v>
      </c>
      <c r="E310" s="1" t="str">
        <f t="shared" si="4"/>
        <v>Aug 2012</v>
      </c>
    </row>
    <row r="311" spans="1:5" ht="10.199999999999999" x14ac:dyDescent="0.25">
      <c r="A311" s="1">
        <v>19</v>
      </c>
      <c r="B311" s="1" t="s">
        <v>9</v>
      </c>
      <c r="C311" s="2">
        <v>41129</v>
      </c>
      <c r="D311" s="3">
        <v>1700</v>
      </c>
      <c r="E311" s="1" t="str">
        <f t="shared" si="4"/>
        <v>Aug 2012</v>
      </c>
    </row>
    <row r="312" spans="1:5" ht="10.199999999999999" x14ac:dyDescent="0.25">
      <c r="A312" s="1">
        <v>19</v>
      </c>
      <c r="B312" s="1" t="s">
        <v>9</v>
      </c>
      <c r="C312" s="2">
        <v>41131</v>
      </c>
      <c r="D312" s="3">
        <v>1700</v>
      </c>
      <c r="E312" s="1" t="str">
        <f t="shared" si="4"/>
        <v>Aug 2012</v>
      </c>
    </row>
    <row r="313" spans="1:5" ht="10.199999999999999" x14ac:dyDescent="0.25">
      <c r="A313" s="1">
        <v>19</v>
      </c>
      <c r="B313" s="1" t="s">
        <v>9</v>
      </c>
      <c r="C313" s="2">
        <v>41134</v>
      </c>
      <c r="D313" s="3">
        <v>1700</v>
      </c>
      <c r="E313" s="1" t="str">
        <f t="shared" si="4"/>
        <v>Aug 2012</v>
      </c>
    </row>
    <row r="314" spans="1:5" ht="10.199999999999999" x14ac:dyDescent="0.25">
      <c r="A314" s="1">
        <v>19</v>
      </c>
      <c r="B314" s="1" t="s">
        <v>9</v>
      </c>
      <c r="C314" s="2">
        <v>41136</v>
      </c>
      <c r="D314" s="3">
        <v>1700</v>
      </c>
      <c r="E314" s="1" t="str">
        <f t="shared" si="4"/>
        <v>Aug 2012</v>
      </c>
    </row>
    <row r="315" spans="1:5" ht="10.199999999999999" x14ac:dyDescent="0.25">
      <c r="A315" s="1">
        <v>19</v>
      </c>
      <c r="B315" s="1" t="s">
        <v>9</v>
      </c>
      <c r="C315" s="2">
        <v>41138</v>
      </c>
      <c r="D315" s="3">
        <v>1700</v>
      </c>
      <c r="E315" s="1" t="str">
        <f t="shared" si="4"/>
        <v>Aug 2012</v>
      </c>
    </row>
    <row r="316" spans="1:5" ht="10.199999999999999" x14ac:dyDescent="0.25">
      <c r="A316" s="1">
        <v>19</v>
      </c>
      <c r="B316" s="1" t="s">
        <v>9</v>
      </c>
      <c r="C316" s="2">
        <v>41141</v>
      </c>
      <c r="D316" s="3">
        <v>1700</v>
      </c>
      <c r="E316" s="1" t="str">
        <f t="shared" si="4"/>
        <v>Aug 2012</v>
      </c>
    </row>
    <row r="317" spans="1:5" ht="10.199999999999999" x14ac:dyDescent="0.25">
      <c r="A317" s="1">
        <v>19</v>
      </c>
      <c r="B317" s="1" t="s">
        <v>9</v>
      </c>
      <c r="C317" s="2">
        <v>41143</v>
      </c>
      <c r="D317" s="3">
        <v>1700</v>
      </c>
      <c r="E317" s="1" t="str">
        <f t="shared" si="4"/>
        <v>Aug 2012</v>
      </c>
    </row>
    <row r="318" spans="1:5" ht="10.199999999999999" x14ac:dyDescent="0.25">
      <c r="A318" s="1">
        <v>19</v>
      </c>
      <c r="B318" s="1" t="s">
        <v>9</v>
      </c>
      <c r="C318" s="2">
        <v>41145</v>
      </c>
      <c r="D318" s="3">
        <v>1700</v>
      </c>
      <c r="E318" s="1" t="str">
        <f t="shared" si="4"/>
        <v>Aug 2012</v>
      </c>
    </row>
    <row r="319" spans="1:5" ht="10.199999999999999" x14ac:dyDescent="0.25">
      <c r="A319" s="1">
        <v>19</v>
      </c>
      <c r="B319" s="1" t="s">
        <v>9</v>
      </c>
      <c r="C319" s="2">
        <v>41148</v>
      </c>
      <c r="D319" s="3">
        <v>1700</v>
      </c>
      <c r="E319" s="1" t="str">
        <f t="shared" si="4"/>
        <v>Aug 2012</v>
      </c>
    </row>
    <row r="320" spans="1:5" ht="10.199999999999999" x14ac:dyDescent="0.25">
      <c r="A320" s="1">
        <v>19</v>
      </c>
      <c r="B320" s="1" t="s">
        <v>9</v>
      </c>
      <c r="C320" s="2">
        <v>41150</v>
      </c>
      <c r="D320" s="3">
        <v>1700</v>
      </c>
      <c r="E320" s="1" t="str">
        <f t="shared" si="4"/>
        <v>Aug 2012</v>
      </c>
    </row>
    <row r="321" spans="1:5" ht="10.199999999999999" x14ac:dyDescent="0.25">
      <c r="A321" s="1">
        <v>19</v>
      </c>
      <c r="B321" s="1" t="s">
        <v>9</v>
      </c>
      <c r="C321" s="2">
        <v>41152</v>
      </c>
      <c r="D321" s="3">
        <v>1700</v>
      </c>
      <c r="E321" s="1" t="str">
        <f t="shared" si="4"/>
        <v>Aug 2012</v>
      </c>
    </row>
    <row r="322" spans="1:5" ht="10.199999999999999" x14ac:dyDescent="0.25">
      <c r="A322" s="1">
        <v>19</v>
      </c>
      <c r="B322" s="1" t="s">
        <v>9</v>
      </c>
      <c r="C322" s="2">
        <v>41155</v>
      </c>
      <c r="D322" s="3">
        <v>1700</v>
      </c>
      <c r="E322" s="1" t="str">
        <f t="shared" si="4"/>
        <v>Sep 2012</v>
      </c>
    </row>
    <row r="323" spans="1:5" ht="10.199999999999999" x14ac:dyDescent="0.25">
      <c r="A323" s="1">
        <v>19</v>
      </c>
      <c r="B323" s="1" t="s">
        <v>9</v>
      </c>
      <c r="C323" s="2">
        <v>41157</v>
      </c>
      <c r="D323" s="3">
        <v>1700</v>
      </c>
      <c r="E323" s="1" t="str">
        <f t="shared" ref="E323:E386" si="5">TEXT(C323,"mmm yyyy")</f>
        <v>Sep 2012</v>
      </c>
    </row>
    <row r="324" spans="1:5" ht="10.199999999999999" x14ac:dyDescent="0.25">
      <c r="A324" s="1">
        <v>19</v>
      </c>
      <c r="B324" s="1" t="s">
        <v>10</v>
      </c>
      <c r="C324" s="2">
        <v>41164</v>
      </c>
      <c r="D324" s="3">
        <v>4</v>
      </c>
      <c r="E324" s="1" t="str">
        <f t="shared" si="5"/>
        <v>Sep 2012</v>
      </c>
    </row>
    <row r="325" spans="1:5" ht="10.199999999999999" x14ac:dyDescent="0.25">
      <c r="A325" s="1">
        <v>19</v>
      </c>
      <c r="B325" s="1" t="s">
        <v>10</v>
      </c>
      <c r="C325" s="2">
        <v>41192</v>
      </c>
      <c r="D325" s="3">
        <v>3</v>
      </c>
      <c r="E325" s="1" t="str">
        <f t="shared" si="5"/>
        <v>Oct 2012</v>
      </c>
    </row>
    <row r="326" spans="1:5" ht="10.199999999999999" x14ac:dyDescent="0.25">
      <c r="A326" s="1">
        <v>19</v>
      </c>
      <c r="B326" s="1" t="s">
        <v>10</v>
      </c>
      <c r="C326" s="2">
        <v>41227</v>
      </c>
      <c r="D326" s="3">
        <v>5</v>
      </c>
      <c r="E326" s="1" t="str">
        <f t="shared" si="5"/>
        <v>Nov 2012</v>
      </c>
    </row>
    <row r="327" spans="1:5" ht="10.199999999999999" x14ac:dyDescent="0.25">
      <c r="A327" s="1">
        <v>20</v>
      </c>
      <c r="B327" s="1" t="s">
        <v>9</v>
      </c>
      <c r="C327" s="2">
        <v>41092</v>
      </c>
      <c r="D327" s="3">
        <v>3400</v>
      </c>
      <c r="E327" s="1" t="str">
        <f t="shared" si="5"/>
        <v>Jul 2012</v>
      </c>
    </row>
    <row r="328" spans="1:5" ht="10.199999999999999" x14ac:dyDescent="0.25">
      <c r="A328" s="1">
        <v>20</v>
      </c>
      <c r="B328" s="1" t="s">
        <v>9</v>
      </c>
      <c r="C328" s="2">
        <v>41094</v>
      </c>
      <c r="D328" s="3">
        <v>3400</v>
      </c>
      <c r="E328" s="1" t="str">
        <f t="shared" si="5"/>
        <v>Jul 2012</v>
      </c>
    </row>
    <row r="329" spans="1:5" ht="10.199999999999999" x14ac:dyDescent="0.25">
      <c r="A329" s="1">
        <v>20</v>
      </c>
      <c r="B329" s="1" t="s">
        <v>9</v>
      </c>
      <c r="C329" s="2">
        <v>41096</v>
      </c>
      <c r="D329" s="3">
        <v>3400</v>
      </c>
      <c r="E329" s="1" t="str">
        <f t="shared" si="5"/>
        <v>Jul 2012</v>
      </c>
    </row>
    <row r="330" spans="1:5" ht="10.199999999999999" x14ac:dyDescent="0.25">
      <c r="A330" s="1">
        <v>20</v>
      </c>
      <c r="B330" s="1" t="s">
        <v>9</v>
      </c>
      <c r="C330" s="2">
        <v>41099</v>
      </c>
      <c r="D330" s="3">
        <v>3400</v>
      </c>
      <c r="E330" s="1" t="str">
        <f t="shared" si="5"/>
        <v>Jul 2012</v>
      </c>
    </row>
    <row r="331" spans="1:5" ht="10.199999999999999" x14ac:dyDescent="0.25">
      <c r="A331" s="1">
        <v>20</v>
      </c>
      <c r="B331" s="1" t="s">
        <v>9</v>
      </c>
      <c r="C331" s="2">
        <v>41101</v>
      </c>
      <c r="D331" s="3">
        <v>3400</v>
      </c>
      <c r="E331" s="1" t="str">
        <f t="shared" si="5"/>
        <v>Jul 2012</v>
      </c>
    </row>
    <row r="332" spans="1:5" ht="10.199999999999999" x14ac:dyDescent="0.25">
      <c r="A332" s="1">
        <v>20</v>
      </c>
      <c r="B332" s="1" t="s">
        <v>9</v>
      </c>
      <c r="C332" s="2">
        <v>41103</v>
      </c>
      <c r="D332" s="3">
        <v>3400</v>
      </c>
      <c r="E332" s="1" t="str">
        <f t="shared" si="5"/>
        <v>Jul 2012</v>
      </c>
    </row>
    <row r="333" spans="1:5" ht="10.199999999999999" x14ac:dyDescent="0.25">
      <c r="A333" s="1">
        <v>20</v>
      </c>
      <c r="B333" s="1" t="s">
        <v>9</v>
      </c>
      <c r="C333" s="2">
        <v>41106</v>
      </c>
      <c r="D333" s="3">
        <v>3400</v>
      </c>
      <c r="E333" s="1" t="str">
        <f t="shared" si="5"/>
        <v>Jul 2012</v>
      </c>
    </row>
    <row r="334" spans="1:5" ht="10.199999999999999" x14ac:dyDescent="0.25">
      <c r="A334" s="1">
        <v>20</v>
      </c>
      <c r="B334" s="1" t="s">
        <v>9</v>
      </c>
      <c r="C334" s="2">
        <v>41108</v>
      </c>
      <c r="D334" s="3">
        <v>3400</v>
      </c>
      <c r="E334" s="1" t="str">
        <f t="shared" si="5"/>
        <v>Jul 2012</v>
      </c>
    </row>
    <row r="335" spans="1:5" ht="10.199999999999999" x14ac:dyDescent="0.25">
      <c r="A335" s="1">
        <v>20</v>
      </c>
      <c r="B335" s="1" t="s">
        <v>9</v>
      </c>
      <c r="C335" s="2">
        <v>41110</v>
      </c>
      <c r="D335" s="3">
        <v>4100</v>
      </c>
      <c r="E335" s="1" t="str">
        <f t="shared" si="5"/>
        <v>Jul 2012</v>
      </c>
    </row>
    <row r="336" spans="1:5" ht="10.199999999999999" x14ac:dyDescent="0.25">
      <c r="A336" s="1">
        <v>20</v>
      </c>
      <c r="B336" s="1" t="s">
        <v>9</v>
      </c>
      <c r="C336" s="2">
        <v>41113</v>
      </c>
      <c r="D336" s="3">
        <v>4100</v>
      </c>
      <c r="E336" s="1" t="str">
        <f t="shared" si="5"/>
        <v>Jul 2012</v>
      </c>
    </row>
    <row r="337" spans="1:5" ht="10.199999999999999" x14ac:dyDescent="0.25">
      <c r="A337" s="1">
        <v>20</v>
      </c>
      <c r="B337" s="1" t="s">
        <v>9</v>
      </c>
      <c r="C337" s="2">
        <v>41115</v>
      </c>
      <c r="D337" s="3">
        <v>4100</v>
      </c>
      <c r="E337" s="1" t="str">
        <f t="shared" si="5"/>
        <v>Jul 2012</v>
      </c>
    </row>
    <row r="338" spans="1:5" ht="10.199999999999999" x14ac:dyDescent="0.25">
      <c r="A338" s="1">
        <v>20</v>
      </c>
      <c r="B338" s="1" t="s">
        <v>9</v>
      </c>
      <c r="C338" s="2">
        <v>41117</v>
      </c>
      <c r="D338" s="3">
        <v>4100</v>
      </c>
      <c r="E338" s="1" t="str">
        <f t="shared" si="5"/>
        <v>Jul 2012</v>
      </c>
    </row>
    <row r="339" spans="1:5" ht="10.199999999999999" x14ac:dyDescent="0.25">
      <c r="A339" s="1">
        <v>20</v>
      </c>
      <c r="B339" s="1" t="s">
        <v>9</v>
      </c>
      <c r="C339" s="2">
        <v>41120</v>
      </c>
      <c r="D339" s="3">
        <v>4100</v>
      </c>
      <c r="E339" s="1" t="str">
        <f t="shared" si="5"/>
        <v>Jul 2012</v>
      </c>
    </row>
    <row r="340" spans="1:5" ht="10.199999999999999" x14ac:dyDescent="0.25">
      <c r="A340" s="1">
        <v>20</v>
      </c>
      <c r="B340" s="1" t="s">
        <v>9</v>
      </c>
      <c r="C340" s="2">
        <v>41122</v>
      </c>
      <c r="D340" s="3">
        <v>4100</v>
      </c>
      <c r="E340" s="1" t="str">
        <f t="shared" si="5"/>
        <v>Aug 2012</v>
      </c>
    </row>
    <row r="341" spans="1:5" ht="10.199999999999999" x14ac:dyDescent="0.25">
      <c r="A341" s="1">
        <v>20</v>
      </c>
      <c r="B341" s="1" t="s">
        <v>9</v>
      </c>
      <c r="C341" s="2">
        <v>41124</v>
      </c>
      <c r="D341" s="3">
        <v>4600</v>
      </c>
      <c r="E341" s="1" t="str">
        <f t="shared" si="5"/>
        <v>Aug 2012</v>
      </c>
    </row>
    <row r="342" spans="1:5" ht="10.199999999999999" x14ac:dyDescent="0.25">
      <c r="A342" s="1">
        <v>20</v>
      </c>
      <c r="B342" s="1" t="s">
        <v>9</v>
      </c>
      <c r="C342" s="2">
        <v>41127</v>
      </c>
      <c r="D342" s="3">
        <v>4600</v>
      </c>
      <c r="E342" s="1" t="str">
        <f t="shared" si="5"/>
        <v>Aug 2012</v>
      </c>
    </row>
    <row r="343" spans="1:5" ht="10.199999999999999" x14ac:dyDescent="0.25">
      <c r="A343" s="1">
        <v>20</v>
      </c>
      <c r="B343" s="1" t="s">
        <v>9</v>
      </c>
      <c r="C343" s="2">
        <v>41129</v>
      </c>
      <c r="D343" s="3">
        <v>4600</v>
      </c>
      <c r="E343" s="1" t="str">
        <f t="shared" si="5"/>
        <v>Aug 2012</v>
      </c>
    </row>
    <row r="344" spans="1:5" ht="10.199999999999999" x14ac:dyDescent="0.25">
      <c r="A344" s="1">
        <v>20</v>
      </c>
      <c r="B344" s="1" t="s">
        <v>9</v>
      </c>
      <c r="C344" s="2">
        <v>41131</v>
      </c>
      <c r="D344" s="3">
        <v>4600</v>
      </c>
      <c r="E344" s="1" t="str">
        <f t="shared" si="5"/>
        <v>Aug 2012</v>
      </c>
    </row>
    <row r="345" spans="1:5" ht="10.199999999999999" x14ac:dyDescent="0.25">
      <c r="A345" s="1">
        <v>20</v>
      </c>
      <c r="B345" s="1" t="s">
        <v>9</v>
      </c>
      <c r="C345" s="2">
        <v>41134</v>
      </c>
      <c r="D345" s="3">
        <v>4600</v>
      </c>
      <c r="E345" s="1" t="str">
        <f t="shared" si="5"/>
        <v>Aug 2012</v>
      </c>
    </row>
    <row r="346" spans="1:5" ht="10.199999999999999" x14ac:dyDescent="0.25">
      <c r="A346" s="1">
        <v>20</v>
      </c>
      <c r="B346" s="1" t="s">
        <v>9</v>
      </c>
      <c r="C346" s="2">
        <v>41136</v>
      </c>
      <c r="D346" s="3">
        <v>4600</v>
      </c>
      <c r="E346" s="1" t="str">
        <f t="shared" si="5"/>
        <v>Aug 2012</v>
      </c>
    </row>
    <row r="347" spans="1:5" ht="10.199999999999999" x14ac:dyDescent="0.25">
      <c r="A347" s="1">
        <v>20</v>
      </c>
      <c r="B347" s="1" t="s">
        <v>9</v>
      </c>
      <c r="C347" s="2">
        <v>41138</v>
      </c>
      <c r="D347" s="3">
        <v>4600</v>
      </c>
      <c r="E347" s="1" t="str">
        <f t="shared" si="5"/>
        <v>Aug 2012</v>
      </c>
    </row>
    <row r="348" spans="1:5" ht="10.199999999999999" x14ac:dyDescent="0.25">
      <c r="A348" s="1">
        <v>20</v>
      </c>
      <c r="B348" s="1" t="s">
        <v>9</v>
      </c>
      <c r="C348" s="2">
        <v>41141</v>
      </c>
      <c r="D348" s="3">
        <v>5600</v>
      </c>
      <c r="E348" s="1" t="str">
        <f t="shared" si="5"/>
        <v>Aug 2012</v>
      </c>
    </row>
    <row r="349" spans="1:5" ht="10.199999999999999" x14ac:dyDescent="0.25">
      <c r="A349" s="1">
        <v>20</v>
      </c>
      <c r="B349" s="1" t="s">
        <v>9</v>
      </c>
      <c r="C349" s="2">
        <v>41143</v>
      </c>
      <c r="D349" s="3">
        <v>5600</v>
      </c>
      <c r="E349" s="1" t="str">
        <f t="shared" si="5"/>
        <v>Aug 2012</v>
      </c>
    </row>
    <row r="350" spans="1:5" ht="10.199999999999999" x14ac:dyDescent="0.25">
      <c r="A350" s="1">
        <v>20</v>
      </c>
      <c r="B350" s="1" t="s">
        <v>9</v>
      </c>
      <c r="C350" s="2">
        <v>41145</v>
      </c>
      <c r="D350" s="3">
        <v>5600</v>
      </c>
      <c r="E350" s="1" t="str">
        <f t="shared" si="5"/>
        <v>Aug 2012</v>
      </c>
    </row>
    <row r="351" spans="1:5" ht="10.199999999999999" x14ac:dyDescent="0.25">
      <c r="A351" s="1">
        <v>20</v>
      </c>
      <c r="B351" s="1" t="s">
        <v>9</v>
      </c>
      <c r="C351" s="2">
        <v>41148</v>
      </c>
      <c r="D351" s="3">
        <v>5600</v>
      </c>
      <c r="E351" s="1" t="str">
        <f t="shared" si="5"/>
        <v>Aug 2012</v>
      </c>
    </row>
    <row r="352" spans="1:5" ht="10.199999999999999" x14ac:dyDescent="0.25">
      <c r="A352" s="1">
        <v>20</v>
      </c>
      <c r="B352" s="1" t="s">
        <v>9</v>
      </c>
      <c r="C352" s="2">
        <v>41150</v>
      </c>
      <c r="D352" s="3">
        <v>5600</v>
      </c>
      <c r="E352" s="1" t="str">
        <f t="shared" si="5"/>
        <v>Aug 2012</v>
      </c>
    </row>
    <row r="353" spans="1:5" ht="10.199999999999999" x14ac:dyDescent="0.25">
      <c r="A353" s="1">
        <v>20</v>
      </c>
      <c r="B353" s="1" t="s">
        <v>9</v>
      </c>
      <c r="C353" s="2">
        <v>41152</v>
      </c>
      <c r="D353" s="3">
        <v>5600</v>
      </c>
      <c r="E353" s="1" t="str">
        <f t="shared" si="5"/>
        <v>Aug 2012</v>
      </c>
    </row>
    <row r="354" spans="1:5" ht="10.199999999999999" x14ac:dyDescent="0.25">
      <c r="A354" s="1">
        <v>20</v>
      </c>
      <c r="B354" s="1" t="s">
        <v>9</v>
      </c>
      <c r="C354" s="2">
        <v>41155</v>
      </c>
      <c r="D354" s="3">
        <v>5600</v>
      </c>
      <c r="E354" s="1" t="str">
        <f t="shared" si="5"/>
        <v>Sep 2012</v>
      </c>
    </row>
    <row r="355" spans="1:5" ht="10.199999999999999" x14ac:dyDescent="0.25">
      <c r="A355" s="1">
        <v>20</v>
      </c>
      <c r="B355" s="1" t="s">
        <v>9</v>
      </c>
      <c r="C355" s="2">
        <v>41157</v>
      </c>
      <c r="D355" s="3">
        <v>5600</v>
      </c>
      <c r="E355" s="1" t="str">
        <f t="shared" si="5"/>
        <v>Sep 2012</v>
      </c>
    </row>
    <row r="356" spans="1:5" ht="10.199999999999999" x14ac:dyDescent="0.25">
      <c r="A356" s="1">
        <v>20</v>
      </c>
      <c r="B356" s="1" t="s">
        <v>10</v>
      </c>
      <c r="C356" s="2">
        <v>41164</v>
      </c>
      <c r="D356" s="3">
        <v>8</v>
      </c>
      <c r="E356" s="1" t="str">
        <f t="shared" si="5"/>
        <v>Sep 2012</v>
      </c>
    </row>
    <row r="357" spans="1:5" ht="10.199999999999999" x14ac:dyDescent="0.25">
      <c r="A357" s="1">
        <v>20</v>
      </c>
      <c r="B357" s="1" t="s">
        <v>10</v>
      </c>
      <c r="C357" s="2">
        <v>41227</v>
      </c>
      <c r="D357" s="3">
        <v>2</v>
      </c>
      <c r="E357" s="1" t="str">
        <f t="shared" si="5"/>
        <v>Nov 2012</v>
      </c>
    </row>
    <row r="358" spans="1:5" ht="10.199999999999999" x14ac:dyDescent="0.25">
      <c r="A358" s="1">
        <v>21</v>
      </c>
      <c r="B358" s="1" t="s">
        <v>9</v>
      </c>
      <c r="C358" s="2">
        <v>41092</v>
      </c>
      <c r="D358" s="3">
        <v>1900</v>
      </c>
      <c r="E358" s="1" t="str">
        <f t="shared" si="5"/>
        <v>Jul 2012</v>
      </c>
    </row>
    <row r="359" spans="1:5" ht="10.199999999999999" x14ac:dyDescent="0.25">
      <c r="A359" s="1">
        <v>21</v>
      </c>
      <c r="B359" s="1" t="s">
        <v>9</v>
      </c>
      <c r="C359" s="2">
        <v>41094</v>
      </c>
      <c r="D359" s="3">
        <v>1900</v>
      </c>
      <c r="E359" s="1" t="str">
        <f t="shared" si="5"/>
        <v>Jul 2012</v>
      </c>
    </row>
    <row r="360" spans="1:5" ht="10.199999999999999" x14ac:dyDescent="0.25">
      <c r="A360" s="1">
        <v>21</v>
      </c>
      <c r="B360" s="1" t="s">
        <v>9</v>
      </c>
      <c r="C360" s="2">
        <v>41096</v>
      </c>
      <c r="D360" s="3">
        <v>1900</v>
      </c>
      <c r="E360" s="1" t="str">
        <f t="shared" si="5"/>
        <v>Jul 2012</v>
      </c>
    </row>
    <row r="361" spans="1:5" ht="10.199999999999999" x14ac:dyDescent="0.25">
      <c r="A361" s="1">
        <v>21</v>
      </c>
      <c r="B361" s="1" t="s">
        <v>9</v>
      </c>
      <c r="C361" s="2">
        <v>41099</v>
      </c>
      <c r="D361" s="3">
        <v>1900</v>
      </c>
      <c r="E361" s="1" t="str">
        <f t="shared" si="5"/>
        <v>Jul 2012</v>
      </c>
    </row>
    <row r="362" spans="1:5" ht="10.199999999999999" x14ac:dyDescent="0.25">
      <c r="A362" s="1">
        <v>21</v>
      </c>
      <c r="B362" s="1" t="s">
        <v>9</v>
      </c>
      <c r="C362" s="2">
        <v>41101</v>
      </c>
      <c r="D362" s="3">
        <v>1900</v>
      </c>
      <c r="E362" s="1" t="str">
        <f t="shared" si="5"/>
        <v>Jul 2012</v>
      </c>
    </row>
    <row r="363" spans="1:5" ht="10.199999999999999" x14ac:dyDescent="0.25">
      <c r="A363" s="1">
        <v>21</v>
      </c>
      <c r="B363" s="1" t="s">
        <v>9</v>
      </c>
      <c r="C363" s="2">
        <v>41103</v>
      </c>
      <c r="D363" s="3">
        <v>1900</v>
      </c>
      <c r="E363" s="1" t="str">
        <f t="shared" si="5"/>
        <v>Jul 2012</v>
      </c>
    </row>
    <row r="364" spans="1:5" ht="10.199999999999999" x14ac:dyDescent="0.25">
      <c r="A364" s="1">
        <v>21</v>
      </c>
      <c r="B364" s="1" t="s">
        <v>9</v>
      </c>
      <c r="C364" s="2">
        <v>41106</v>
      </c>
      <c r="D364" s="3">
        <v>1900</v>
      </c>
      <c r="E364" s="1" t="str">
        <f t="shared" si="5"/>
        <v>Jul 2012</v>
      </c>
    </row>
    <row r="365" spans="1:5" ht="10.199999999999999" x14ac:dyDescent="0.25">
      <c r="A365" s="1">
        <v>21</v>
      </c>
      <c r="B365" s="1" t="s">
        <v>9</v>
      </c>
      <c r="C365" s="2">
        <v>41108</v>
      </c>
      <c r="D365" s="3">
        <v>1900</v>
      </c>
      <c r="E365" s="1" t="str">
        <f t="shared" si="5"/>
        <v>Jul 2012</v>
      </c>
    </row>
    <row r="366" spans="1:5" ht="10.199999999999999" x14ac:dyDescent="0.25">
      <c r="A366" s="1">
        <v>21</v>
      </c>
      <c r="B366" s="1" t="s">
        <v>9</v>
      </c>
      <c r="C366" s="2">
        <v>41110</v>
      </c>
      <c r="D366" s="3">
        <v>2500</v>
      </c>
      <c r="E366" s="1" t="str">
        <f t="shared" si="5"/>
        <v>Jul 2012</v>
      </c>
    </row>
    <row r="367" spans="1:5" ht="10.199999999999999" x14ac:dyDescent="0.25">
      <c r="A367" s="1">
        <v>21</v>
      </c>
      <c r="B367" s="1" t="s">
        <v>9</v>
      </c>
      <c r="C367" s="2">
        <v>41113</v>
      </c>
      <c r="D367" s="3">
        <v>2500</v>
      </c>
      <c r="E367" s="1" t="str">
        <f t="shared" si="5"/>
        <v>Jul 2012</v>
      </c>
    </row>
    <row r="368" spans="1:5" ht="10.199999999999999" x14ac:dyDescent="0.25">
      <c r="A368" s="1">
        <v>21</v>
      </c>
      <c r="B368" s="1" t="s">
        <v>9</v>
      </c>
      <c r="C368" s="2">
        <v>41117</v>
      </c>
      <c r="D368" s="3">
        <v>2500</v>
      </c>
      <c r="E368" s="1" t="str">
        <f t="shared" si="5"/>
        <v>Jul 2012</v>
      </c>
    </row>
    <row r="369" spans="1:5" ht="10.199999999999999" x14ac:dyDescent="0.25">
      <c r="A369" s="1">
        <v>21</v>
      </c>
      <c r="B369" s="1" t="s">
        <v>9</v>
      </c>
      <c r="C369" s="2">
        <v>41120</v>
      </c>
      <c r="D369" s="3">
        <v>2500</v>
      </c>
      <c r="E369" s="1" t="str">
        <f t="shared" si="5"/>
        <v>Jul 2012</v>
      </c>
    </row>
    <row r="370" spans="1:5" ht="10.199999999999999" x14ac:dyDescent="0.25">
      <c r="A370" s="1">
        <v>21</v>
      </c>
      <c r="B370" s="1" t="s">
        <v>9</v>
      </c>
      <c r="C370" s="2">
        <v>41122</v>
      </c>
      <c r="D370" s="3">
        <v>2500</v>
      </c>
      <c r="E370" s="1" t="str">
        <f t="shared" si="5"/>
        <v>Aug 2012</v>
      </c>
    </row>
    <row r="371" spans="1:5" ht="10.199999999999999" x14ac:dyDescent="0.25">
      <c r="A371" s="1">
        <v>21</v>
      </c>
      <c r="B371" s="1" t="s">
        <v>9</v>
      </c>
      <c r="C371" s="2">
        <v>41127</v>
      </c>
      <c r="D371" s="3">
        <v>2500</v>
      </c>
      <c r="E371" s="1" t="str">
        <f t="shared" si="5"/>
        <v>Aug 2012</v>
      </c>
    </row>
    <row r="372" spans="1:5" ht="10.199999999999999" x14ac:dyDescent="0.25">
      <c r="A372" s="1">
        <v>21</v>
      </c>
      <c r="B372" s="1" t="s">
        <v>9</v>
      </c>
      <c r="C372" s="2">
        <v>41129</v>
      </c>
      <c r="D372" s="3">
        <v>2500</v>
      </c>
      <c r="E372" s="1" t="str">
        <f t="shared" si="5"/>
        <v>Aug 2012</v>
      </c>
    </row>
    <row r="373" spans="1:5" ht="10.199999999999999" x14ac:dyDescent="0.25">
      <c r="A373" s="1">
        <v>21</v>
      </c>
      <c r="B373" s="1" t="s">
        <v>9</v>
      </c>
      <c r="C373" s="2">
        <v>41131</v>
      </c>
      <c r="D373" s="3">
        <v>2500</v>
      </c>
      <c r="E373" s="1" t="str">
        <f t="shared" si="5"/>
        <v>Aug 2012</v>
      </c>
    </row>
    <row r="374" spans="1:5" ht="10.199999999999999" x14ac:dyDescent="0.25">
      <c r="A374" s="1">
        <v>21</v>
      </c>
      <c r="B374" s="1" t="s">
        <v>9</v>
      </c>
      <c r="C374" s="2">
        <v>41134</v>
      </c>
      <c r="D374" s="3">
        <v>2500</v>
      </c>
      <c r="E374" s="1" t="str">
        <f t="shared" si="5"/>
        <v>Aug 2012</v>
      </c>
    </row>
    <row r="375" spans="1:5" ht="10.199999999999999" x14ac:dyDescent="0.25">
      <c r="A375" s="1">
        <v>21</v>
      </c>
      <c r="B375" s="1" t="s">
        <v>9</v>
      </c>
      <c r="C375" s="2">
        <v>41136</v>
      </c>
      <c r="D375" s="3">
        <v>2500</v>
      </c>
      <c r="E375" s="1" t="str">
        <f t="shared" si="5"/>
        <v>Aug 2012</v>
      </c>
    </row>
    <row r="376" spans="1:5" ht="10.199999999999999" x14ac:dyDescent="0.25">
      <c r="A376" s="1">
        <v>21</v>
      </c>
      <c r="B376" s="1" t="s">
        <v>9</v>
      </c>
      <c r="C376" s="2">
        <v>41138</v>
      </c>
      <c r="D376" s="3">
        <v>3300</v>
      </c>
      <c r="E376" s="1" t="str">
        <f t="shared" si="5"/>
        <v>Aug 2012</v>
      </c>
    </row>
    <row r="377" spans="1:5" ht="10.199999999999999" x14ac:dyDescent="0.25">
      <c r="A377" s="1">
        <v>21</v>
      </c>
      <c r="B377" s="1" t="s">
        <v>9</v>
      </c>
      <c r="C377" s="2">
        <v>41141</v>
      </c>
      <c r="D377" s="3">
        <v>3300</v>
      </c>
      <c r="E377" s="1" t="str">
        <f t="shared" si="5"/>
        <v>Aug 2012</v>
      </c>
    </row>
    <row r="378" spans="1:5" ht="10.199999999999999" x14ac:dyDescent="0.25">
      <c r="A378" s="1">
        <v>21</v>
      </c>
      <c r="B378" s="1" t="s">
        <v>9</v>
      </c>
      <c r="C378" s="2">
        <v>41143</v>
      </c>
      <c r="D378" s="3">
        <v>3300</v>
      </c>
      <c r="E378" s="1" t="str">
        <f t="shared" si="5"/>
        <v>Aug 2012</v>
      </c>
    </row>
    <row r="379" spans="1:5" ht="10.199999999999999" x14ac:dyDescent="0.25">
      <c r="A379" s="1">
        <v>21</v>
      </c>
      <c r="B379" s="1" t="s">
        <v>9</v>
      </c>
      <c r="C379" s="2">
        <v>41145</v>
      </c>
      <c r="D379" s="3">
        <v>3300</v>
      </c>
      <c r="E379" s="1" t="str">
        <f t="shared" si="5"/>
        <v>Aug 2012</v>
      </c>
    </row>
    <row r="380" spans="1:5" ht="10.199999999999999" x14ac:dyDescent="0.25">
      <c r="A380" s="1">
        <v>21</v>
      </c>
      <c r="B380" s="1" t="s">
        <v>9</v>
      </c>
      <c r="C380" s="2">
        <v>41148</v>
      </c>
      <c r="D380" s="3">
        <v>3300</v>
      </c>
      <c r="E380" s="1" t="str">
        <f t="shared" si="5"/>
        <v>Aug 2012</v>
      </c>
    </row>
    <row r="381" spans="1:5" ht="10.199999999999999" x14ac:dyDescent="0.25">
      <c r="A381" s="1">
        <v>21</v>
      </c>
      <c r="B381" s="1" t="s">
        <v>9</v>
      </c>
      <c r="C381" s="2">
        <v>41150</v>
      </c>
      <c r="D381" s="3">
        <v>3300</v>
      </c>
      <c r="E381" s="1" t="str">
        <f t="shared" si="5"/>
        <v>Aug 2012</v>
      </c>
    </row>
    <row r="382" spans="1:5" ht="10.199999999999999" x14ac:dyDescent="0.25">
      <c r="A382" s="1">
        <v>21</v>
      </c>
      <c r="B382" s="1" t="s">
        <v>9</v>
      </c>
      <c r="C382" s="2">
        <v>41155</v>
      </c>
      <c r="D382" s="3">
        <v>3300</v>
      </c>
      <c r="E382" s="1" t="str">
        <f t="shared" si="5"/>
        <v>Sep 2012</v>
      </c>
    </row>
    <row r="383" spans="1:5" ht="10.199999999999999" x14ac:dyDescent="0.25">
      <c r="A383" s="1">
        <v>21</v>
      </c>
      <c r="B383" s="1" t="s">
        <v>9</v>
      </c>
      <c r="C383" s="2">
        <v>41157</v>
      </c>
      <c r="D383" s="3">
        <v>3300</v>
      </c>
      <c r="E383" s="1" t="str">
        <f t="shared" si="5"/>
        <v>Sep 2012</v>
      </c>
    </row>
    <row r="384" spans="1:5" ht="10.199999999999999" x14ac:dyDescent="0.25">
      <c r="A384" s="1">
        <v>21</v>
      </c>
      <c r="B384" s="1" t="s">
        <v>10</v>
      </c>
      <c r="C384" s="2">
        <v>41164</v>
      </c>
      <c r="D384" s="3">
        <v>6</v>
      </c>
      <c r="E384" s="1" t="str">
        <f t="shared" si="5"/>
        <v>Sep 2012</v>
      </c>
    </row>
    <row r="385" spans="1:5" ht="10.199999999999999" x14ac:dyDescent="0.25">
      <c r="A385" s="1">
        <v>21</v>
      </c>
      <c r="B385" s="1" t="s">
        <v>10</v>
      </c>
      <c r="C385" s="2">
        <v>41192</v>
      </c>
      <c r="D385" s="3">
        <v>6</v>
      </c>
      <c r="E385" s="1" t="str">
        <f t="shared" si="5"/>
        <v>Oct 2012</v>
      </c>
    </row>
    <row r="386" spans="1:5" ht="10.199999999999999" x14ac:dyDescent="0.25">
      <c r="A386" s="1">
        <v>22</v>
      </c>
      <c r="B386" s="1" t="s">
        <v>9</v>
      </c>
      <c r="C386" s="2">
        <v>41092</v>
      </c>
      <c r="D386" s="3">
        <v>8000</v>
      </c>
      <c r="E386" s="1" t="str">
        <f t="shared" si="5"/>
        <v>Jul 2012</v>
      </c>
    </row>
    <row r="387" spans="1:5" ht="10.199999999999999" x14ac:dyDescent="0.25">
      <c r="A387" s="1">
        <v>22</v>
      </c>
      <c r="B387" s="1" t="s">
        <v>9</v>
      </c>
      <c r="C387" s="2">
        <v>41094</v>
      </c>
      <c r="D387" s="3">
        <v>8000</v>
      </c>
      <c r="E387" s="1" t="str">
        <f t="shared" ref="E387:E450" si="6">TEXT(C387,"mmm yyyy")</f>
        <v>Jul 2012</v>
      </c>
    </row>
    <row r="388" spans="1:5" ht="10.199999999999999" x14ac:dyDescent="0.25">
      <c r="A388" s="1">
        <v>22</v>
      </c>
      <c r="B388" s="1" t="s">
        <v>9</v>
      </c>
      <c r="C388" s="2">
        <v>41113</v>
      </c>
      <c r="D388" s="3">
        <v>5600</v>
      </c>
      <c r="E388" s="1" t="str">
        <f t="shared" si="6"/>
        <v>Jul 2012</v>
      </c>
    </row>
    <row r="389" spans="1:5" ht="10.199999999999999" x14ac:dyDescent="0.25">
      <c r="A389" s="1">
        <v>22</v>
      </c>
      <c r="B389" s="1" t="s">
        <v>9</v>
      </c>
      <c r="C389" s="2">
        <v>41115</v>
      </c>
      <c r="D389" s="3">
        <v>5600</v>
      </c>
      <c r="E389" s="1" t="str">
        <f t="shared" si="6"/>
        <v>Jul 2012</v>
      </c>
    </row>
    <row r="390" spans="1:5" ht="10.199999999999999" x14ac:dyDescent="0.25">
      <c r="A390" s="1">
        <v>22</v>
      </c>
      <c r="B390" s="1" t="s">
        <v>9</v>
      </c>
      <c r="C390" s="2">
        <v>41117</v>
      </c>
      <c r="D390" s="3">
        <v>5600</v>
      </c>
      <c r="E390" s="1" t="str">
        <f t="shared" si="6"/>
        <v>Jul 2012</v>
      </c>
    </row>
    <row r="391" spans="1:5" ht="10.199999999999999" x14ac:dyDescent="0.25">
      <c r="A391" s="1">
        <v>22</v>
      </c>
      <c r="B391" s="1" t="s">
        <v>9</v>
      </c>
      <c r="C391" s="2">
        <v>41120</v>
      </c>
      <c r="D391" s="3">
        <v>5600</v>
      </c>
      <c r="E391" s="1" t="str">
        <f t="shared" si="6"/>
        <v>Jul 2012</v>
      </c>
    </row>
    <row r="392" spans="1:5" ht="10.199999999999999" x14ac:dyDescent="0.25">
      <c r="A392" s="1">
        <v>22</v>
      </c>
      <c r="B392" s="1" t="s">
        <v>9</v>
      </c>
      <c r="C392" s="2">
        <v>41122</v>
      </c>
      <c r="D392" s="3">
        <v>5600</v>
      </c>
      <c r="E392" s="1" t="str">
        <f t="shared" si="6"/>
        <v>Aug 2012</v>
      </c>
    </row>
    <row r="393" spans="1:5" ht="10.199999999999999" x14ac:dyDescent="0.25">
      <c r="A393" s="1">
        <v>22</v>
      </c>
      <c r="B393" s="1" t="s">
        <v>9</v>
      </c>
      <c r="C393" s="2">
        <v>41124</v>
      </c>
      <c r="D393" s="3">
        <v>7300</v>
      </c>
      <c r="E393" s="1" t="str">
        <f t="shared" si="6"/>
        <v>Aug 2012</v>
      </c>
    </row>
    <row r="394" spans="1:5" ht="10.199999999999999" x14ac:dyDescent="0.25">
      <c r="A394" s="1">
        <v>22</v>
      </c>
      <c r="B394" s="1" t="s">
        <v>9</v>
      </c>
      <c r="C394" s="2">
        <v>41127</v>
      </c>
      <c r="D394" s="3">
        <v>7300</v>
      </c>
      <c r="E394" s="1" t="str">
        <f t="shared" si="6"/>
        <v>Aug 2012</v>
      </c>
    </row>
    <row r="395" spans="1:5" ht="10.199999999999999" x14ac:dyDescent="0.25">
      <c r="A395" s="1">
        <v>22</v>
      </c>
      <c r="B395" s="1" t="s">
        <v>9</v>
      </c>
      <c r="C395" s="2">
        <v>41129</v>
      </c>
      <c r="D395" s="3">
        <v>7300</v>
      </c>
      <c r="E395" s="1" t="str">
        <f t="shared" si="6"/>
        <v>Aug 2012</v>
      </c>
    </row>
    <row r="396" spans="1:5" ht="10.199999999999999" x14ac:dyDescent="0.25">
      <c r="A396" s="1">
        <v>22</v>
      </c>
      <c r="B396" s="1" t="s">
        <v>9</v>
      </c>
      <c r="C396" s="2">
        <v>41131</v>
      </c>
      <c r="D396" s="3">
        <v>7300</v>
      </c>
      <c r="E396" s="1" t="str">
        <f t="shared" si="6"/>
        <v>Aug 2012</v>
      </c>
    </row>
    <row r="397" spans="1:5" ht="10.199999999999999" x14ac:dyDescent="0.25">
      <c r="A397" s="1">
        <v>22</v>
      </c>
      <c r="B397" s="1" t="s">
        <v>9</v>
      </c>
      <c r="C397" s="2">
        <v>41134</v>
      </c>
      <c r="D397" s="3">
        <v>7300</v>
      </c>
      <c r="E397" s="1" t="str">
        <f t="shared" si="6"/>
        <v>Aug 2012</v>
      </c>
    </row>
    <row r="398" spans="1:5" ht="10.199999999999999" x14ac:dyDescent="0.25">
      <c r="A398" s="1">
        <v>22</v>
      </c>
      <c r="B398" s="1" t="s">
        <v>9</v>
      </c>
      <c r="C398" s="2">
        <v>41136</v>
      </c>
      <c r="D398" s="3">
        <v>7300</v>
      </c>
      <c r="E398" s="1" t="str">
        <f t="shared" si="6"/>
        <v>Aug 2012</v>
      </c>
    </row>
    <row r="399" spans="1:5" ht="10.199999999999999" x14ac:dyDescent="0.25">
      <c r="A399" s="1">
        <v>22</v>
      </c>
      <c r="B399" s="1" t="s">
        <v>9</v>
      </c>
      <c r="C399" s="2">
        <v>41138</v>
      </c>
      <c r="D399" s="3">
        <v>7300</v>
      </c>
      <c r="E399" s="1" t="str">
        <f t="shared" si="6"/>
        <v>Aug 2012</v>
      </c>
    </row>
    <row r="400" spans="1:5" ht="10.199999999999999" x14ac:dyDescent="0.25">
      <c r="A400" s="1">
        <v>22</v>
      </c>
      <c r="B400" s="1" t="s">
        <v>9</v>
      </c>
      <c r="C400" s="2">
        <v>41141</v>
      </c>
      <c r="D400" s="3">
        <v>7300</v>
      </c>
      <c r="E400" s="1" t="str">
        <f t="shared" si="6"/>
        <v>Aug 2012</v>
      </c>
    </row>
    <row r="401" spans="1:5" ht="10.199999999999999" x14ac:dyDescent="0.25">
      <c r="A401" s="1">
        <v>22</v>
      </c>
      <c r="B401" s="1" t="s">
        <v>9</v>
      </c>
      <c r="C401" s="2">
        <v>41143</v>
      </c>
      <c r="D401" s="3">
        <v>7300</v>
      </c>
      <c r="E401" s="1" t="str">
        <f t="shared" si="6"/>
        <v>Aug 2012</v>
      </c>
    </row>
    <row r="402" spans="1:5" ht="10.199999999999999" x14ac:dyDescent="0.25">
      <c r="A402" s="1">
        <v>22</v>
      </c>
      <c r="B402" s="1" t="s">
        <v>9</v>
      </c>
      <c r="C402" s="2">
        <v>41145</v>
      </c>
      <c r="D402" s="3">
        <v>7300</v>
      </c>
      <c r="E402" s="1" t="str">
        <f t="shared" si="6"/>
        <v>Aug 2012</v>
      </c>
    </row>
    <row r="403" spans="1:5" ht="10.199999999999999" x14ac:dyDescent="0.25">
      <c r="A403" s="1">
        <v>22</v>
      </c>
      <c r="B403" s="1" t="s">
        <v>9</v>
      </c>
      <c r="C403" s="2">
        <v>41148</v>
      </c>
      <c r="D403" s="3">
        <v>7300</v>
      </c>
      <c r="E403" s="1" t="str">
        <f t="shared" si="6"/>
        <v>Aug 2012</v>
      </c>
    </row>
    <row r="404" spans="1:5" ht="10.199999999999999" x14ac:dyDescent="0.25">
      <c r="A404" s="1">
        <v>22</v>
      </c>
      <c r="B404" s="1" t="s">
        <v>9</v>
      </c>
      <c r="C404" s="2">
        <v>41150</v>
      </c>
      <c r="D404" s="3">
        <v>7300</v>
      </c>
      <c r="E404" s="1" t="str">
        <f t="shared" si="6"/>
        <v>Aug 2012</v>
      </c>
    </row>
    <row r="405" spans="1:5" ht="10.199999999999999" x14ac:dyDescent="0.25">
      <c r="A405" s="1">
        <v>22</v>
      </c>
      <c r="B405" s="1" t="s">
        <v>9</v>
      </c>
      <c r="C405" s="2">
        <v>41155</v>
      </c>
      <c r="D405" s="3">
        <v>7300</v>
      </c>
      <c r="E405" s="1" t="str">
        <f t="shared" si="6"/>
        <v>Sep 2012</v>
      </c>
    </row>
    <row r="406" spans="1:5" ht="10.199999999999999" x14ac:dyDescent="0.25">
      <c r="A406" s="1">
        <v>22</v>
      </c>
      <c r="B406" s="1" t="s">
        <v>9</v>
      </c>
      <c r="C406" s="2">
        <v>41157</v>
      </c>
      <c r="D406" s="3">
        <v>7300</v>
      </c>
      <c r="E406" s="1" t="str">
        <f t="shared" si="6"/>
        <v>Sep 2012</v>
      </c>
    </row>
    <row r="407" spans="1:5" ht="10.199999999999999" x14ac:dyDescent="0.25">
      <c r="A407" s="1">
        <v>22</v>
      </c>
      <c r="B407" s="1" t="s">
        <v>10</v>
      </c>
      <c r="C407" s="2">
        <v>41192</v>
      </c>
      <c r="D407" s="3">
        <v>2</v>
      </c>
      <c r="E407" s="1" t="str">
        <f t="shared" si="6"/>
        <v>Oct 2012</v>
      </c>
    </row>
    <row r="408" spans="1:5" ht="10.199999999999999" x14ac:dyDescent="0.25">
      <c r="A408" s="1">
        <v>22</v>
      </c>
      <c r="B408" s="1" t="s">
        <v>10</v>
      </c>
      <c r="C408" s="2">
        <v>41227</v>
      </c>
      <c r="D408" s="3">
        <v>4</v>
      </c>
      <c r="E408" s="1" t="str">
        <f t="shared" si="6"/>
        <v>Nov 2012</v>
      </c>
    </row>
    <row r="409" spans="1:5" ht="10.199999999999999" x14ac:dyDescent="0.25">
      <c r="A409" s="1">
        <v>23</v>
      </c>
      <c r="B409" s="1" t="s">
        <v>9</v>
      </c>
      <c r="C409" s="2">
        <v>41102</v>
      </c>
      <c r="D409" s="3">
        <v>7000</v>
      </c>
      <c r="E409" s="1" t="str">
        <f t="shared" si="6"/>
        <v>Jul 2012</v>
      </c>
    </row>
    <row r="410" spans="1:5" ht="10.199999999999999" x14ac:dyDescent="0.25">
      <c r="A410" s="1">
        <v>23</v>
      </c>
      <c r="B410" s="1" t="s">
        <v>9</v>
      </c>
      <c r="C410" s="2">
        <v>41104</v>
      </c>
      <c r="D410" s="3">
        <v>7000</v>
      </c>
      <c r="E410" s="1" t="str">
        <f t="shared" si="6"/>
        <v>Jul 2012</v>
      </c>
    </row>
    <row r="411" spans="1:5" ht="10.199999999999999" x14ac:dyDescent="0.25">
      <c r="A411" s="1">
        <v>23</v>
      </c>
      <c r="B411" s="1" t="s">
        <v>9</v>
      </c>
      <c r="C411" s="2">
        <v>41109</v>
      </c>
      <c r="D411" s="3">
        <v>7000</v>
      </c>
      <c r="E411" s="1" t="str">
        <f t="shared" si="6"/>
        <v>Jul 2012</v>
      </c>
    </row>
    <row r="412" spans="1:5" ht="10.199999999999999" x14ac:dyDescent="0.25">
      <c r="A412" s="1">
        <v>23</v>
      </c>
      <c r="B412" s="1" t="s">
        <v>9</v>
      </c>
      <c r="C412" s="2">
        <v>41111</v>
      </c>
      <c r="D412" s="3">
        <v>9100</v>
      </c>
      <c r="E412" s="1" t="str">
        <f t="shared" si="6"/>
        <v>Jul 2012</v>
      </c>
    </row>
    <row r="413" spans="1:5" ht="10.199999999999999" x14ac:dyDescent="0.25">
      <c r="A413" s="1">
        <v>23</v>
      </c>
      <c r="B413" s="1" t="s">
        <v>9</v>
      </c>
      <c r="C413" s="2">
        <v>41114</v>
      </c>
      <c r="D413" s="3">
        <v>9100</v>
      </c>
      <c r="E413" s="1" t="str">
        <f t="shared" si="6"/>
        <v>Jul 2012</v>
      </c>
    </row>
    <row r="414" spans="1:5" ht="10.199999999999999" x14ac:dyDescent="0.25">
      <c r="A414" s="1">
        <v>23</v>
      </c>
      <c r="B414" s="1" t="s">
        <v>9</v>
      </c>
      <c r="C414" s="2">
        <v>41118</v>
      </c>
      <c r="D414" s="3">
        <v>9100</v>
      </c>
      <c r="E414" s="1" t="str">
        <f t="shared" si="6"/>
        <v>Jul 2012</v>
      </c>
    </row>
    <row r="415" spans="1:5" ht="10.199999999999999" x14ac:dyDescent="0.25">
      <c r="A415" s="1">
        <v>23</v>
      </c>
      <c r="B415" s="1" t="s">
        <v>9</v>
      </c>
      <c r="C415" s="2">
        <v>41121</v>
      </c>
      <c r="D415" s="3">
        <v>9100</v>
      </c>
      <c r="E415" s="1" t="str">
        <f t="shared" si="6"/>
        <v>Jul 2012</v>
      </c>
    </row>
    <row r="416" spans="1:5" ht="10.199999999999999" x14ac:dyDescent="0.25">
      <c r="A416" s="1">
        <v>23</v>
      </c>
      <c r="B416" s="1" t="s">
        <v>9</v>
      </c>
      <c r="C416" s="2">
        <v>41124</v>
      </c>
      <c r="D416" s="3">
        <v>9100</v>
      </c>
      <c r="E416" s="1" t="str">
        <f t="shared" si="6"/>
        <v>Aug 2012</v>
      </c>
    </row>
    <row r="417" spans="1:5" ht="10.199999999999999" x14ac:dyDescent="0.25">
      <c r="A417" s="1">
        <v>23</v>
      </c>
      <c r="B417" s="1" t="s">
        <v>9</v>
      </c>
      <c r="C417" s="2">
        <v>41128</v>
      </c>
      <c r="D417" s="3">
        <v>9100</v>
      </c>
      <c r="E417" s="1" t="str">
        <f t="shared" si="6"/>
        <v>Aug 2012</v>
      </c>
    </row>
    <row r="418" spans="1:5" ht="10.199999999999999" x14ac:dyDescent="0.25">
      <c r="A418" s="1">
        <v>23</v>
      </c>
      <c r="B418" s="1" t="s">
        <v>9</v>
      </c>
      <c r="C418" s="2">
        <v>41132</v>
      </c>
      <c r="D418" s="3">
        <v>11400</v>
      </c>
      <c r="E418" s="1" t="str">
        <f t="shared" si="6"/>
        <v>Aug 2012</v>
      </c>
    </row>
    <row r="419" spans="1:5" ht="10.199999999999999" x14ac:dyDescent="0.25">
      <c r="A419" s="1">
        <v>23</v>
      </c>
      <c r="B419" s="1" t="s">
        <v>9</v>
      </c>
      <c r="C419" s="2">
        <v>41136</v>
      </c>
      <c r="D419" s="3">
        <v>11400</v>
      </c>
      <c r="E419" s="1" t="str">
        <f t="shared" si="6"/>
        <v>Aug 2012</v>
      </c>
    </row>
    <row r="420" spans="1:5" ht="10.199999999999999" x14ac:dyDescent="0.25">
      <c r="A420" s="1">
        <v>23</v>
      </c>
      <c r="B420" s="1" t="s">
        <v>9</v>
      </c>
      <c r="C420" s="2">
        <v>41142</v>
      </c>
      <c r="D420" s="3">
        <v>11400</v>
      </c>
      <c r="E420" s="1" t="str">
        <f t="shared" si="6"/>
        <v>Aug 2012</v>
      </c>
    </row>
    <row r="421" spans="1:5" ht="10.199999999999999" x14ac:dyDescent="0.25">
      <c r="A421" s="1">
        <v>24</v>
      </c>
      <c r="B421" s="1" t="s">
        <v>10</v>
      </c>
      <c r="C421" s="2">
        <v>41177</v>
      </c>
      <c r="D421" s="3">
        <v>3</v>
      </c>
      <c r="E421" s="1" t="str">
        <f t="shared" si="6"/>
        <v>Sep 2012</v>
      </c>
    </row>
    <row r="422" spans="1:5" ht="10.199999999999999" x14ac:dyDescent="0.25">
      <c r="A422" s="1">
        <v>24</v>
      </c>
      <c r="B422" s="1" t="s">
        <v>10</v>
      </c>
      <c r="C422" s="2">
        <v>41188</v>
      </c>
      <c r="D422" s="3">
        <v>5</v>
      </c>
      <c r="E422" s="1" t="str">
        <f t="shared" si="6"/>
        <v>Oct 2012</v>
      </c>
    </row>
    <row r="423" spans="1:5" ht="10.199999999999999" x14ac:dyDescent="0.25">
      <c r="A423" s="1">
        <v>25</v>
      </c>
      <c r="B423" s="1" t="s">
        <v>9</v>
      </c>
      <c r="C423" s="2">
        <v>41148</v>
      </c>
      <c r="D423" s="3">
        <v>3000</v>
      </c>
      <c r="E423" s="1" t="str">
        <f t="shared" si="6"/>
        <v>Aug 2012</v>
      </c>
    </row>
    <row r="424" spans="1:5" ht="10.199999999999999" x14ac:dyDescent="0.25">
      <c r="A424" s="1">
        <v>25</v>
      </c>
      <c r="B424" s="1" t="s">
        <v>9</v>
      </c>
      <c r="C424" s="2">
        <v>41150</v>
      </c>
      <c r="D424" s="3">
        <v>3000</v>
      </c>
      <c r="E424" s="1" t="str">
        <f t="shared" si="6"/>
        <v>Aug 2012</v>
      </c>
    </row>
    <row r="425" spans="1:5" ht="10.199999999999999" x14ac:dyDescent="0.25">
      <c r="A425" s="1">
        <v>25</v>
      </c>
      <c r="B425" s="1" t="s">
        <v>9</v>
      </c>
      <c r="C425" s="2">
        <v>41152</v>
      </c>
      <c r="D425" s="3">
        <v>3000</v>
      </c>
      <c r="E425" s="1" t="str">
        <f t="shared" si="6"/>
        <v>Aug 2012</v>
      </c>
    </row>
    <row r="426" spans="1:5" ht="10.199999999999999" x14ac:dyDescent="0.25">
      <c r="A426" s="1">
        <v>25</v>
      </c>
      <c r="B426" s="1" t="s">
        <v>9</v>
      </c>
      <c r="C426" s="2">
        <v>41155</v>
      </c>
      <c r="D426" s="3">
        <v>3000</v>
      </c>
      <c r="E426" s="1" t="str">
        <f t="shared" si="6"/>
        <v>Sep 2012</v>
      </c>
    </row>
    <row r="427" spans="1:5" ht="10.199999999999999" x14ac:dyDescent="0.25">
      <c r="A427" s="1">
        <v>25</v>
      </c>
      <c r="B427" s="1" t="s">
        <v>9</v>
      </c>
      <c r="C427" s="2">
        <v>41157</v>
      </c>
      <c r="D427" s="3">
        <v>3000</v>
      </c>
      <c r="E427" s="1" t="str">
        <f t="shared" si="6"/>
        <v>Sep 2012</v>
      </c>
    </row>
    <row r="428" spans="1:5" ht="10.199999999999999" x14ac:dyDescent="0.25">
      <c r="A428" s="1">
        <v>25</v>
      </c>
      <c r="B428" s="1" t="s">
        <v>10</v>
      </c>
      <c r="C428" s="2">
        <v>41164</v>
      </c>
      <c r="D428" s="3">
        <v>6</v>
      </c>
      <c r="E428" s="1" t="str">
        <f t="shared" si="6"/>
        <v>Sep 2012</v>
      </c>
    </row>
    <row r="429" spans="1:5" ht="10.199999999999999" x14ac:dyDescent="0.25">
      <c r="A429" s="1">
        <v>25</v>
      </c>
      <c r="B429" s="1" t="s">
        <v>10</v>
      </c>
      <c r="C429" s="2">
        <v>41194</v>
      </c>
      <c r="D429" s="3">
        <v>6</v>
      </c>
      <c r="E429" s="1" t="str">
        <f t="shared" si="6"/>
        <v>Oct 2012</v>
      </c>
    </row>
    <row r="430" spans="1:5" ht="10.199999999999999" x14ac:dyDescent="0.25">
      <c r="A430" s="1">
        <v>25</v>
      </c>
      <c r="B430" s="1" t="s">
        <v>10</v>
      </c>
      <c r="C430" s="2">
        <v>41227</v>
      </c>
      <c r="D430" s="3">
        <v>6</v>
      </c>
      <c r="E430" s="1" t="str">
        <f t="shared" si="6"/>
        <v>Nov 2012</v>
      </c>
    </row>
    <row r="431" spans="1:5" ht="10.199999999999999" x14ac:dyDescent="0.25">
      <c r="A431" s="1">
        <v>26</v>
      </c>
      <c r="B431" s="1" t="s">
        <v>9</v>
      </c>
      <c r="C431" s="2">
        <v>41127</v>
      </c>
      <c r="D431" s="3">
        <v>13800</v>
      </c>
      <c r="E431" s="1" t="str">
        <f t="shared" si="6"/>
        <v>Aug 2012</v>
      </c>
    </row>
    <row r="432" spans="1:5" ht="10.199999999999999" x14ac:dyDescent="0.25">
      <c r="A432" s="1">
        <v>27</v>
      </c>
      <c r="B432" s="1" t="s">
        <v>9</v>
      </c>
      <c r="C432" s="2">
        <v>41233</v>
      </c>
      <c r="D432" s="3">
        <v>1200</v>
      </c>
      <c r="E432" s="1" t="str">
        <f t="shared" si="6"/>
        <v>Nov 2012</v>
      </c>
    </row>
    <row r="433" spans="1:5" ht="10.199999999999999" x14ac:dyDescent="0.25">
      <c r="A433" s="1">
        <v>27</v>
      </c>
      <c r="B433" s="1" t="s">
        <v>9</v>
      </c>
      <c r="C433" s="2">
        <v>41236</v>
      </c>
      <c r="D433" s="3">
        <v>1200</v>
      </c>
      <c r="E433" s="1" t="str">
        <f t="shared" si="6"/>
        <v>Nov 2012</v>
      </c>
    </row>
    <row r="434" spans="1:5" ht="10.199999999999999" x14ac:dyDescent="0.25">
      <c r="A434" s="1">
        <v>28</v>
      </c>
      <c r="B434" s="1" t="s">
        <v>9</v>
      </c>
      <c r="C434" s="2">
        <v>41099</v>
      </c>
      <c r="D434" s="3">
        <v>5500</v>
      </c>
      <c r="E434" s="1" t="str">
        <f t="shared" si="6"/>
        <v>Jul 2012</v>
      </c>
    </row>
    <row r="435" spans="1:5" ht="10.199999999999999" x14ac:dyDescent="0.25">
      <c r="A435" s="1">
        <v>28</v>
      </c>
      <c r="B435" s="1" t="s">
        <v>9</v>
      </c>
      <c r="C435" s="2">
        <v>41101</v>
      </c>
      <c r="D435" s="3">
        <v>5500</v>
      </c>
      <c r="E435" s="1" t="str">
        <f t="shared" si="6"/>
        <v>Jul 2012</v>
      </c>
    </row>
    <row r="436" spans="1:5" ht="10.199999999999999" x14ac:dyDescent="0.25">
      <c r="A436" s="1">
        <v>28</v>
      </c>
      <c r="B436" s="1" t="s">
        <v>9</v>
      </c>
      <c r="C436" s="2">
        <v>41103</v>
      </c>
      <c r="D436" s="3">
        <v>5500</v>
      </c>
      <c r="E436" s="1" t="str">
        <f t="shared" si="6"/>
        <v>Jul 2012</v>
      </c>
    </row>
    <row r="437" spans="1:5" ht="10.199999999999999" x14ac:dyDescent="0.25">
      <c r="A437" s="1">
        <v>28</v>
      </c>
      <c r="B437" s="1" t="s">
        <v>9</v>
      </c>
      <c r="C437" s="2">
        <v>41106</v>
      </c>
      <c r="D437" s="3">
        <v>5500</v>
      </c>
      <c r="E437" s="1" t="str">
        <f t="shared" si="6"/>
        <v>Jul 2012</v>
      </c>
    </row>
    <row r="438" spans="1:5" ht="10.199999999999999" x14ac:dyDescent="0.25">
      <c r="A438" s="1">
        <v>28</v>
      </c>
      <c r="B438" s="1" t="s">
        <v>9</v>
      </c>
      <c r="C438" s="2">
        <v>41108</v>
      </c>
      <c r="D438" s="3">
        <v>5500</v>
      </c>
      <c r="E438" s="1" t="str">
        <f t="shared" si="6"/>
        <v>Jul 2012</v>
      </c>
    </row>
    <row r="439" spans="1:5" ht="10.199999999999999" x14ac:dyDescent="0.25">
      <c r="A439" s="1">
        <v>28</v>
      </c>
      <c r="B439" s="1" t="s">
        <v>9</v>
      </c>
      <c r="C439" s="2">
        <v>41110</v>
      </c>
      <c r="D439" s="3">
        <v>5500</v>
      </c>
      <c r="E439" s="1" t="str">
        <f t="shared" si="6"/>
        <v>Jul 2012</v>
      </c>
    </row>
    <row r="440" spans="1:5" ht="10.199999999999999" x14ac:dyDescent="0.25">
      <c r="A440" s="1">
        <v>28</v>
      </c>
      <c r="B440" s="1" t="s">
        <v>9</v>
      </c>
      <c r="C440" s="2">
        <v>41113</v>
      </c>
      <c r="D440" s="3">
        <v>5500</v>
      </c>
      <c r="E440" s="1" t="str">
        <f t="shared" si="6"/>
        <v>Jul 2012</v>
      </c>
    </row>
    <row r="441" spans="1:5" ht="10.199999999999999" x14ac:dyDescent="0.25">
      <c r="A441" s="1">
        <v>28</v>
      </c>
      <c r="B441" s="1" t="s">
        <v>9</v>
      </c>
      <c r="C441" s="2">
        <v>41115</v>
      </c>
      <c r="D441" s="3">
        <v>5500</v>
      </c>
      <c r="E441" s="1" t="str">
        <f t="shared" si="6"/>
        <v>Jul 2012</v>
      </c>
    </row>
    <row r="442" spans="1:5" ht="10.199999999999999" x14ac:dyDescent="0.25">
      <c r="A442" s="1">
        <v>28</v>
      </c>
      <c r="B442" s="1" t="s">
        <v>9</v>
      </c>
      <c r="C442" s="2">
        <v>41117</v>
      </c>
      <c r="D442" s="3">
        <v>5500</v>
      </c>
      <c r="E442" s="1" t="str">
        <f t="shared" si="6"/>
        <v>Jul 2012</v>
      </c>
    </row>
    <row r="443" spans="1:5" ht="10.199999999999999" x14ac:dyDescent="0.25">
      <c r="A443" s="1">
        <v>28</v>
      </c>
      <c r="B443" s="1" t="s">
        <v>9</v>
      </c>
      <c r="C443" s="2">
        <v>41120</v>
      </c>
      <c r="D443" s="3">
        <v>5500</v>
      </c>
      <c r="E443" s="1" t="str">
        <f t="shared" si="6"/>
        <v>Jul 2012</v>
      </c>
    </row>
    <row r="444" spans="1:5" ht="10.199999999999999" x14ac:dyDescent="0.25">
      <c r="A444" s="1">
        <v>28</v>
      </c>
      <c r="B444" s="1" t="s">
        <v>9</v>
      </c>
      <c r="C444" s="2">
        <v>41122</v>
      </c>
      <c r="D444" s="3">
        <v>5500</v>
      </c>
      <c r="E444" s="1" t="str">
        <f t="shared" si="6"/>
        <v>Aug 2012</v>
      </c>
    </row>
    <row r="445" spans="1:5" ht="10.199999999999999" x14ac:dyDescent="0.25">
      <c r="A445" s="1">
        <v>28</v>
      </c>
      <c r="B445" s="1" t="s">
        <v>9</v>
      </c>
      <c r="C445" s="2">
        <v>41124</v>
      </c>
      <c r="D445" s="3">
        <v>5000</v>
      </c>
      <c r="E445" s="1" t="str">
        <f t="shared" si="6"/>
        <v>Aug 2012</v>
      </c>
    </row>
    <row r="446" spans="1:5" ht="10.199999999999999" x14ac:dyDescent="0.25">
      <c r="A446" s="1">
        <v>28</v>
      </c>
      <c r="B446" s="1" t="s">
        <v>9</v>
      </c>
      <c r="C446" s="2">
        <v>41127</v>
      </c>
      <c r="D446" s="3">
        <v>5000</v>
      </c>
      <c r="E446" s="1" t="str">
        <f t="shared" si="6"/>
        <v>Aug 2012</v>
      </c>
    </row>
    <row r="447" spans="1:5" ht="10.199999999999999" x14ac:dyDescent="0.25">
      <c r="A447" s="1">
        <v>28</v>
      </c>
      <c r="B447" s="1" t="s">
        <v>9</v>
      </c>
      <c r="C447" s="2">
        <v>41129</v>
      </c>
      <c r="D447" s="3">
        <v>5000</v>
      </c>
      <c r="E447" s="1" t="str">
        <f t="shared" si="6"/>
        <v>Aug 2012</v>
      </c>
    </row>
    <row r="448" spans="1:5" ht="10.199999999999999" x14ac:dyDescent="0.25">
      <c r="A448" s="1">
        <v>28</v>
      </c>
      <c r="B448" s="1" t="s">
        <v>9</v>
      </c>
      <c r="C448" s="2">
        <v>41131</v>
      </c>
      <c r="D448" s="3">
        <v>5000</v>
      </c>
      <c r="E448" s="1" t="str">
        <f t="shared" si="6"/>
        <v>Aug 2012</v>
      </c>
    </row>
    <row r="449" spans="1:5" ht="10.199999999999999" x14ac:dyDescent="0.25">
      <c r="A449" s="1">
        <v>28</v>
      </c>
      <c r="B449" s="1" t="s">
        <v>9</v>
      </c>
      <c r="C449" s="2">
        <v>41134</v>
      </c>
      <c r="D449" s="3">
        <v>5000</v>
      </c>
      <c r="E449" s="1" t="str">
        <f t="shared" si="6"/>
        <v>Aug 2012</v>
      </c>
    </row>
    <row r="450" spans="1:5" ht="10.199999999999999" x14ac:dyDescent="0.25">
      <c r="A450" s="1">
        <v>28</v>
      </c>
      <c r="B450" s="1" t="s">
        <v>9</v>
      </c>
      <c r="C450" s="2">
        <v>41136</v>
      </c>
      <c r="D450" s="3">
        <v>5000</v>
      </c>
      <c r="E450" s="1" t="str">
        <f t="shared" si="6"/>
        <v>Aug 2012</v>
      </c>
    </row>
    <row r="451" spans="1:5" ht="10.199999999999999" x14ac:dyDescent="0.25">
      <c r="A451" s="1">
        <v>28</v>
      </c>
      <c r="B451" s="1" t="s">
        <v>9</v>
      </c>
      <c r="C451" s="2">
        <v>41138</v>
      </c>
      <c r="D451" s="3">
        <v>5000</v>
      </c>
      <c r="E451" s="1" t="str">
        <f t="shared" ref="E451:E514" si="7">TEXT(C451,"mmm yyyy")</f>
        <v>Aug 2012</v>
      </c>
    </row>
    <row r="452" spans="1:5" ht="10.199999999999999" x14ac:dyDescent="0.25">
      <c r="A452" s="1">
        <v>28</v>
      </c>
      <c r="B452" s="1" t="s">
        <v>10</v>
      </c>
      <c r="C452" s="2">
        <v>41164</v>
      </c>
      <c r="D452" s="3">
        <v>6</v>
      </c>
      <c r="E452" s="1" t="str">
        <f t="shared" si="7"/>
        <v>Sep 2012</v>
      </c>
    </row>
    <row r="453" spans="1:5" ht="10.199999999999999" x14ac:dyDescent="0.25">
      <c r="A453" s="1">
        <v>28</v>
      </c>
      <c r="B453" s="1" t="s">
        <v>10</v>
      </c>
      <c r="C453" s="2">
        <v>41227</v>
      </c>
      <c r="D453" s="3">
        <v>2</v>
      </c>
      <c r="E453" s="1" t="str">
        <f t="shared" si="7"/>
        <v>Nov 2012</v>
      </c>
    </row>
    <row r="454" spans="1:5" ht="10.199999999999999" x14ac:dyDescent="0.25">
      <c r="A454" s="1">
        <v>29</v>
      </c>
      <c r="B454" s="1" t="s">
        <v>9</v>
      </c>
      <c r="C454" s="2">
        <v>41093</v>
      </c>
      <c r="D454" s="3">
        <v>4800</v>
      </c>
      <c r="E454" s="1" t="str">
        <f t="shared" si="7"/>
        <v>Jul 2012</v>
      </c>
    </row>
    <row r="455" spans="1:5" ht="10.199999999999999" x14ac:dyDescent="0.25">
      <c r="A455" s="1">
        <v>29</v>
      </c>
      <c r="B455" s="1" t="s">
        <v>9</v>
      </c>
      <c r="C455" s="2">
        <v>41095</v>
      </c>
      <c r="D455" s="3">
        <v>4800</v>
      </c>
      <c r="E455" s="1" t="str">
        <f t="shared" si="7"/>
        <v>Jul 2012</v>
      </c>
    </row>
    <row r="456" spans="1:5" ht="10.199999999999999" x14ac:dyDescent="0.25">
      <c r="A456" s="1">
        <v>29</v>
      </c>
      <c r="B456" s="1" t="s">
        <v>9</v>
      </c>
      <c r="C456" s="2">
        <v>41111</v>
      </c>
      <c r="D456" s="3">
        <v>4400</v>
      </c>
      <c r="E456" s="1" t="str">
        <f t="shared" si="7"/>
        <v>Jul 2012</v>
      </c>
    </row>
    <row r="457" spans="1:5" ht="10.199999999999999" x14ac:dyDescent="0.25">
      <c r="A457" s="1">
        <v>29</v>
      </c>
      <c r="B457" s="1" t="s">
        <v>9</v>
      </c>
      <c r="C457" s="2">
        <v>41116</v>
      </c>
      <c r="D457" s="3">
        <v>4400</v>
      </c>
      <c r="E457" s="1" t="str">
        <f t="shared" si="7"/>
        <v>Jul 2012</v>
      </c>
    </row>
    <row r="458" spans="1:5" ht="10.199999999999999" x14ac:dyDescent="0.25">
      <c r="A458" s="1">
        <v>29</v>
      </c>
      <c r="B458" s="1" t="s">
        <v>9</v>
      </c>
      <c r="C458" s="2">
        <v>41118</v>
      </c>
      <c r="D458" s="3">
        <v>4400</v>
      </c>
      <c r="E458" s="1" t="str">
        <f t="shared" si="7"/>
        <v>Jul 2012</v>
      </c>
    </row>
    <row r="459" spans="1:5" ht="10.199999999999999" x14ac:dyDescent="0.25">
      <c r="A459" s="1">
        <v>29</v>
      </c>
      <c r="B459" s="1" t="s">
        <v>9</v>
      </c>
      <c r="C459" s="2">
        <v>41121</v>
      </c>
      <c r="D459" s="3">
        <v>4400</v>
      </c>
      <c r="E459" s="1" t="str">
        <f t="shared" si="7"/>
        <v>Jul 2012</v>
      </c>
    </row>
    <row r="460" spans="1:5" ht="10.199999999999999" x14ac:dyDescent="0.25">
      <c r="A460" s="1">
        <v>29</v>
      </c>
      <c r="B460" s="1" t="s">
        <v>9</v>
      </c>
      <c r="C460" s="2">
        <v>41123</v>
      </c>
      <c r="D460" s="3">
        <v>4400</v>
      </c>
      <c r="E460" s="1" t="str">
        <f t="shared" si="7"/>
        <v>Aug 2012</v>
      </c>
    </row>
    <row r="461" spans="1:5" ht="10.199999999999999" x14ac:dyDescent="0.25">
      <c r="A461" s="1">
        <v>29</v>
      </c>
      <c r="B461" s="1" t="s">
        <v>9</v>
      </c>
      <c r="C461" s="2">
        <v>41139</v>
      </c>
      <c r="D461" s="3">
        <v>4400</v>
      </c>
      <c r="E461" s="1" t="str">
        <f t="shared" si="7"/>
        <v>Aug 2012</v>
      </c>
    </row>
    <row r="462" spans="1:5" ht="10.199999999999999" x14ac:dyDescent="0.25">
      <c r="A462" s="1">
        <v>29</v>
      </c>
      <c r="B462" s="1" t="s">
        <v>9</v>
      </c>
      <c r="C462" s="2">
        <v>41142</v>
      </c>
      <c r="D462" s="3">
        <v>4400</v>
      </c>
      <c r="E462" s="1" t="str">
        <f t="shared" si="7"/>
        <v>Aug 2012</v>
      </c>
    </row>
    <row r="463" spans="1:5" ht="10.199999999999999" x14ac:dyDescent="0.25">
      <c r="A463" s="1">
        <v>29</v>
      </c>
      <c r="B463" s="1" t="s">
        <v>9</v>
      </c>
      <c r="C463" s="2">
        <v>41144</v>
      </c>
      <c r="D463" s="3">
        <v>4400</v>
      </c>
      <c r="E463" s="1" t="str">
        <f t="shared" si="7"/>
        <v>Aug 2012</v>
      </c>
    </row>
    <row r="464" spans="1:5" ht="10.199999999999999" x14ac:dyDescent="0.25">
      <c r="A464" s="1">
        <v>29</v>
      </c>
      <c r="B464" s="1" t="s">
        <v>9</v>
      </c>
      <c r="C464" s="2">
        <v>41146</v>
      </c>
      <c r="D464" s="3">
        <v>4400</v>
      </c>
      <c r="E464" s="1" t="str">
        <f t="shared" si="7"/>
        <v>Aug 2012</v>
      </c>
    </row>
    <row r="465" spans="1:5" ht="10.199999999999999" x14ac:dyDescent="0.25">
      <c r="A465" s="1">
        <v>29</v>
      </c>
      <c r="B465" s="1" t="s">
        <v>9</v>
      </c>
      <c r="C465" s="2">
        <v>41153</v>
      </c>
      <c r="D465" s="3">
        <v>4400</v>
      </c>
      <c r="E465" s="1" t="str">
        <f t="shared" si="7"/>
        <v>Sep 2012</v>
      </c>
    </row>
    <row r="466" spans="1:5" ht="10.199999999999999" x14ac:dyDescent="0.25">
      <c r="A466" s="1">
        <v>29</v>
      </c>
      <c r="B466" s="1" t="s">
        <v>9</v>
      </c>
      <c r="C466" s="2">
        <v>41156</v>
      </c>
      <c r="D466" s="3">
        <v>4400</v>
      </c>
      <c r="E466" s="1" t="str">
        <f t="shared" si="7"/>
        <v>Sep 2012</v>
      </c>
    </row>
    <row r="467" spans="1:5" ht="10.199999999999999" x14ac:dyDescent="0.25">
      <c r="A467" s="1">
        <v>29</v>
      </c>
      <c r="B467" s="1" t="s">
        <v>10</v>
      </c>
      <c r="C467" s="2">
        <v>41165</v>
      </c>
      <c r="D467" s="3">
        <v>8</v>
      </c>
      <c r="E467" s="1" t="str">
        <f t="shared" si="7"/>
        <v>Sep 2012</v>
      </c>
    </row>
    <row r="468" spans="1:5" ht="10.199999999999999" x14ac:dyDescent="0.25">
      <c r="A468" s="1">
        <v>29</v>
      </c>
      <c r="B468" s="1" t="s">
        <v>10</v>
      </c>
      <c r="C468" s="2">
        <v>41230</v>
      </c>
      <c r="D468" s="3">
        <v>10</v>
      </c>
      <c r="E468" s="1" t="str">
        <f t="shared" si="7"/>
        <v>Nov 2012</v>
      </c>
    </row>
    <row r="469" spans="1:5" ht="10.199999999999999" x14ac:dyDescent="0.25">
      <c r="A469" s="1">
        <v>30</v>
      </c>
      <c r="B469" s="1" t="s">
        <v>9</v>
      </c>
      <c r="C469" s="2">
        <v>41092</v>
      </c>
      <c r="D469" s="3">
        <v>900</v>
      </c>
      <c r="E469" s="1" t="str">
        <f t="shared" si="7"/>
        <v>Jul 2012</v>
      </c>
    </row>
    <row r="470" spans="1:5" ht="10.199999999999999" x14ac:dyDescent="0.25">
      <c r="A470" s="1">
        <v>30</v>
      </c>
      <c r="B470" s="1" t="s">
        <v>9</v>
      </c>
      <c r="C470" s="2">
        <v>41094</v>
      </c>
      <c r="D470" s="3">
        <v>900</v>
      </c>
      <c r="E470" s="1" t="str">
        <f t="shared" si="7"/>
        <v>Jul 2012</v>
      </c>
    </row>
    <row r="471" spans="1:5" ht="10.199999999999999" x14ac:dyDescent="0.25">
      <c r="A471" s="1">
        <v>30</v>
      </c>
      <c r="B471" s="1" t="s">
        <v>9</v>
      </c>
      <c r="C471" s="2">
        <v>41101</v>
      </c>
      <c r="D471" s="3">
        <v>900</v>
      </c>
      <c r="E471" s="1" t="str">
        <f t="shared" si="7"/>
        <v>Jul 2012</v>
      </c>
    </row>
    <row r="472" spans="1:5" ht="10.199999999999999" x14ac:dyDescent="0.25">
      <c r="A472" s="1">
        <v>30</v>
      </c>
      <c r="B472" s="1" t="s">
        <v>9</v>
      </c>
      <c r="C472" s="2">
        <v>41103</v>
      </c>
      <c r="D472" s="3">
        <v>900</v>
      </c>
      <c r="E472" s="1" t="str">
        <f t="shared" si="7"/>
        <v>Jul 2012</v>
      </c>
    </row>
    <row r="473" spans="1:5" ht="10.199999999999999" x14ac:dyDescent="0.25">
      <c r="A473" s="1">
        <v>30</v>
      </c>
      <c r="B473" s="1" t="s">
        <v>9</v>
      </c>
      <c r="C473" s="2">
        <v>41106</v>
      </c>
      <c r="D473" s="3">
        <v>900</v>
      </c>
      <c r="E473" s="1" t="str">
        <f t="shared" si="7"/>
        <v>Jul 2012</v>
      </c>
    </row>
    <row r="474" spans="1:5" ht="10.199999999999999" x14ac:dyDescent="0.25">
      <c r="A474" s="1">
        <v>30</v>
      </c>
      <c r="B474" s="1" t="s">
        <v>9</v>
      </c>
      <c r="C474" s="2">
        <v>41108</v>
      </c>
      <c r="D474" s="3">
        <v>900</v>
      </c>
      <c r="E474" s="1" t="str">
        <f t="shared" si="7"/>
        <v>Jul 2012</v>
      </c>
    </row>
    <row r="475" spans="1:5" ht="10.199999999999999" x14ac:dyDescent="0.25">
      <c r="A475" s="1">
        <v>30</v>
      </c>
      <c r="B475" s="1" t="s">
        <v>9</v>
      </c>
      <c r="C475" s="2">
        <v>41117</v>
      </c>
      <c r="D475" s="3">
        <v>800</v>
      </c>
      <c r="E475" s="1" t="str">
        <f t="shared" si="7"/>
        <v>Jul 2012</v>
      </c>
    </row>
    <row r="476" spans="1:5" ht="10.199999999999999" x14ac:dyDescent="0.25">
      <c r="A476" s="1">
        <v>30</v>
      </c>
      <c r="B476" s="1" t="s">
        <v>9</v>
      </c>
      <c r="C476" s="2">
        <v>41118</v>
      </c>
      <c r="D476" s="3">
        <v>800</v>
      </c>
      <c r="E476" s="1" t="str">
        <f t="shared" si="7"/>
        <v>Jul 2012</v>
      </c>
    </row>
    <row r="477" spans="1:5" ht="10.199999999999999" x14ac:dyDescent="0.25">
      <c r="A477" s="1">
        <v>30</v>
      </c>
      <c r="B477" s="1" t="s">
        <v>9</v>
      </c>
      <c r="C477" s="2">
        <v>41120</v>
      </c>
      <c r="D477" s="3">
        <v>800</v>
      </c>
      <c r="E477" s="1" t="str">
        <f t="shared" si="7"/>
        <v>Jul 2012</v>
      </c>
    </row>
    <row r="478" spans="1:5" ht="10.199999999999999" x14ac:dyDescent="0.25">
      <c r="A478" s="1">
        <v>30</v>
      </c>
      <c r="B478" s="1" t="s">
        <v>9</v>
      </c>
      <c r="C478" s="2">
        <v>41122</v>
      </c>
      <c r="D478" s="3">
        <v>800</v>
      </c>
      <c r="E478" s="1" t="str">
        <f t="shared" si="7"/>
        <v>Aug 2012</v>
      </c>
    </row>
    <row r="479" spans="1:5" ht="10.199999999999999" x14ac:dyDescent="0.25">
      <c r="A479" s="1">
        <v>30</v>
      </c>
      <c r="B479" s="1" t="s">
        <v>9</v>
      </c>
      <c r="C479" s="2">
        <v>41124</v>
      </c>
      <c r="D479" s="3">
        <v>800</v>
      </c>
      <c r="E479" s="1" t="str">
        <f t="shared" si="7"/>
        <v>Aug 2012</v>
      </c>
    </row>
    <row r="480" spans="1:5" ht="10.199999999999999" x14ac:dyDescent="0.25">
      <c r="A480" s="1">
        <v>30</v>
      </c>
      <c r="B480" s="1" t="s">
        <v>9</v>
      </c>
      <c r="C480" s="2">
        <v>41127</v>
      </c>
      <c r="D480" s="3">
        <v>800</v>
      </c>
      <c r="E480" s="1" t="str">
        <f t="shared" si="7"/>
        <v>Aug 2012</v>
      </c>
    </row>
    <row r="481" spans="1:5" ht="10.199999999999999" x14ac:dyDescent="0.25">
      <c r="A481" s="1">
        <v>30</v>
      </c>
      <c r="B481" s="1" t="s">
        <v>9</v>
      </c>
      <c r="C481" s="2">
        <v>41129</v>
      </c>
      <c r="D481" s="3">
        <v>800</v>
      </c>
      <c r="E481" s="1" t="str">
        <f t="shared" si="7"/>
        <v>Aug 2012</v>
      </c>
    </row>
    <row r="482" spans="1:5" ht="10.199999999999999" x14ac:dyDescent="0.25">
      <c r="A482" s="1">
        <v>30</v>
      </c>
      <c r="B482" s="1" t="s">
        <v>9</v>
      </c>
      <c r="C482" s="2">
        <v>41131</v>
      </c>
      <c r="D482" s="3">
        <v>800</v>
      </c>
      <c r="E482" s="1" t="str">
        <f t="shared" si="7"/>
        <v>Aug 2012</v>
      </c>
    </row>
    <row r="483" spans="1:5" ht="10.199999999999999" x14ac:dyDescent="0.25">
      <c r="A483" s="1">
        <v>30</v>
      </c>
      <c r="B483" s="1" t="s">
        <v>9</v>
      </c>
      <c r="C483" s="2">
        <v>41134</v>
      </c>
      <c r="D483" s="3">
        <v>800</v>
      </c>
      <c r="E483" s="1" t="str">
        <f t="shared" si="7"/>
        <v>Aug 2012</v>
      </c>
    </row>
    <row r="484" spans="1:5" ht="10.199999999999999" x14ac:dyDescent="0.25">
      <c r="A484" s="1">
        <v>30</v>
      </c>
      <c r="B484" s="1" t="s">
        <v>9</v>
      </c>
      <c r="C484" s="2">
        <v>41136</v>
      </c>
      <c r="D484" s="3">
        <v>800</v>
      </c>
      <c r="E484" s="1" t="str">
        <f t="shared" si="7"/>
        <v>Aug 2012</v>
      </c>
    </row>
    <row r="485" spans="1:5" ht="10.199999999999999" x14ac:dyDescent="0.25">
      <c r="A485" s="1">
        <v>30</v>
      </c>
      <c r="B485" s="1" t="s">
        <v>9</v>
      </c>
      <c r="C485" s="2">
        <v>41145</v>
      </c>
      <c r="D485" s="3">
        <v>800</v>
      </c>
      <c r="E485" s="1" t="str">
        <f t="shared" si="7"/>
        <v>Aug 2012</v>
      </c>
    </row>
    <row r="486" spans="1:5" ht="10.199999999999999" x14ac:dyDescent="0.25">
      <c r="A486" s="1">
        <v>30</v>
      </c>
      <c r="B486" s="1" t="s">
        <v>9</v>
      </c>
      <c r="C486" s="2">
        <v>41148</v>
      </c>
      <c r="D486" s="3">
        <v>800</v>
      </c>
      <c r="E486" s="1" t="str">
        <f t="shared" si="7"/>
        <v>Aug 2012</v>
      </c>
    </row>
    <row r="487" spans="1:5" ht="10.199999999999999" x14ac:dyDescent="0.25">
      <c r="A487" s="1">
        <v>30</v>
      </c>
      <c r="B487" s="1" t="s">
        <v>9</v>
      </c>
      <c r="C487" s="2">
        <v>41150</v>
      </c>
      <c r="D487" s="3">
        <v>800</v>
      </c>
      <c r="E487" s="1" t="str">
        <f t="shared" si="7"/>
        <v>Aug 2012</v>
      </c>
    </row>
    <row r="488" spans="1:5" ht="10.199999999999999" x14ac:dyDescent="0.25">
      <c r="A488" s="1">
        <v>30</v>
      </c>
      <c r="B488" s="1" t="s">
        <v>9</v>
      </c>
      <c r="C488" s="2">
        <v>41152</v>
      </c>
      <c r="D488" s="3">
        <v>800</v>
      </c>
      <c r="E488" s="1" t="str">
        <f t="shared" si="7"/>
        <v>Aug 2012</v>
      </c>
    </row>
    <row r="489" spans="1:5" ht="10.199999999999999" x14ac:dyDescent="0.25">
      <c r="A489" s="1">
        <v>30</v>
      </c>
      <c r="B489" s="1" t="s">
        <v>9</v>
      </c>
      <c r="C489" s="2">
        <v>41155</v>
      </c>
      <c r="D489" s="3">
        <v>800</v>
      </c>
      <c r="E489" s="1" t="str">
        <f t="shared" si="7"/>
        <v>Sep 2012</v>
      </c>
    </row>
    <row r="490" spans="1:5" ht="10.199999999999999" x14ac:dyDescent="0.25">
      <c r="A490" s="1">
        <v>30</v>
      </c>
      <c r="B490" s="1" t="s">
        <v>9</v>
      </c>
      <c r="C490" s="2">
        <v>41156</v>
      </c>
      <c r="D490" s="3">
        <v>800</v>
      </c>
      <c r="E490" s="1" t="str">
        <f t="shared" si="7"/>
        <v>Sep 2012</v>
      </c>
    </row>
    <row r="491" spans="1:5" ht="10.199999999999999" x14ac:dyDescent="0.25">
      <c r="A491" s="1">
        <v>30</v>
      </c>
      <c r="B491" s="1" t="s">
        <v>9</v>
      </c>
      <c r="C491" s="2">
        <v>41158</v>
      </c>
      <c r="D491" s="3">
        <v>800</v>
      </c>
      <c r="E491" s="1" t="str">
        <f t="shared" si="7"/>
        <v>Sep 2012</v>
      </c>
    </row>
    <row r="492" spans="1:5" ht="10.199999999999999" x14ac:dyDescent="0.25">
      <c r="A492" s="1">
        <v>30</v>
      </c>
      <c r="B492" s="1" t="s">
        <v>10</v>
      </c>
      <c r="C492" s="2">
        <v>41165</v>
      </c>
      <c r="D492" s="3">
        <v>2</v>
      </c>
      <c r="E492" s="1" t="str">
        <f t="shared" si="7"/>
        <v>Sep 2012</v>
      </c>
    </row>
    <row r="493" spans="1:5" ht="10.199999999999999" x14ac:dyDescent="0.25">
      <c r="A493" s="1">
        <v>30</v>
      </c>
      <c r="B493" s="1" t="s">
        <v>10</v>
      </c>
      <c r="C493" s="2">
        <v>41200</v>
      </c>
      <c r="D493" s="3">
        <v>3</v>
      </c>
      <c r="E493" s="1" t="str">
        <f t="shared" si="7"/>
        <v>Oct 2012</v>
      </c>
    </row>
    <row r="494" spans="1:5" ht="10.199999999999999" x14ac:dyDescent="0.25">
      <c r="A494" s="1">
        <v>31</v>
      </c>
      <c r="B494" s="1" t="s">
        <v>9</v>
      </c>
      <c r="C494" s="2">
        <v>41097</v>
      </c>
      <c r="D494" s="3">
        <v>10100</v>
      </c>
      <c r="E494" s="1" t="str">
        <f t="shared" si="7"/>
        <v>Jul 2012</v>
      </c>
    </row>
    <row r="495" spans="1:5" ht="10.199999999999999" x14ac:dyDescent="0.25">
      <c r="A495" s="1">
        <v>31</v>
      </c>
      <c r="B495" s="1" t="s">
        <v>9</v>
      </c>
      <c r="C495" s="2">
        <v>41102</v>
      </c>
      <c r="D495" s="3">
        <v>12100</v>
      </c>
      <c r="E495" s="1" t="str">
        <f t="shared" si="7"/>
        <v>Jul 2012</v>
      </c>
    </row>
    <row r="496" spans="1:5" ht="10.199999999999999" x14ac:dyDescent="0.25">
      <c r="A496" s="1">
        <v>31</v>
      </c>
      <c r="B496" s="1" t="s">
        <v>9</v>
      </c>
      <c r="C496" s="2">
        <v>41104</v>
      </c>
      <c r="D496" s="3">
        <v>12100</v>
      </c>
      <c r="E496" s="1" t="str">
        <f t="shared" si="7"/>
        <v>Jul 2012</v>
      </c>
    </row>
    <row r="497" spans="1:5" ht="10.199999999999999" x14ac:dyDescent="0.25">
      <c r="A497" s="1">
        <v>31</v>
      </c>
      <c r="B497" s="1" t="s">
        <v>9</v>
      </c>
      <c r="C497" s="2">
        <v>41109</v>
      </c>
      <c r="D497" s="3">
        <v>12100</v>
      </c>
      <c r="E497" s="1" t="str">
        <f t="shared" si="7"/>
        <v>Jul 2012</v>
      </c>
    </row>
    <row r="498" spans="1:5" ht="10.199999999999999" x14ac:dyDescent="0.25">
      <c r="A498" s="1">
        <v>31</v>
      </c>
      <c r="B498" s="1" t="s">
        <v>9</v>
      </c>
      <c r="C498" s="2">
        <v>41111</v>
      </c>
      <c r="D498" s="3">
        <v>12100</v>
      </c>
      <c r="E498" s="1" t="str">
        <f t="shared" si="7"/>
        <v>Jul 2012</v>
      </c>
    </row>
    <row r="499" spans="1:5" ht="10.199999999999999" x14ac:dyDescent="0.25">
      <c r="A499" s="1">
        <v>31</v>
      </c>
      <c r="B499" s="1" t="s">
        <v>9</v>
      </c>
      <c r="C499" s="2">
        <v>41116</v>
      </c>
      <c r="D499" s="3">
        <v>12100</v>
      </c>
      <c r="E499" s="1" t="str">
        <f t="shared" si="7"/>
        <v>Jul 2012</v>
      </c>
    </row>
    <row r="500" spans="1:5" ht="10.199999999999999" x14ac:dyDescent="0.25">
      <c r="A500" s="1">
        <v>31</v>
      </c>
      <c r="B500" s="1" t="s">
        <v>9</v>
      </c>
      <c r="C500" s="2">
        <v>41118</v>
      </c>
      <c r="D500" s="3">
        <v>12100</v>
      </c>
      <c r="E500" s="1" t="str">
        <f t="shared" si="7"/>
        <v>Jul 2012</v>
      </c>
    </row>
    <row r="501" spans="1:5" ht="10.199999999999999" x14ac:dyDescent="0.25">
      <c r="A501" s="1">
        <v>31</v>
      </c>
      <c r="B501" s="1" t="s">
        <v>9</v>
      </c>
      <c r="C501" s="2">
        <v>41121</v>
      </c>
      <c r="D501" s="3">
        <v>12100</v>
      </c>
      <c r="E501" s="1" t="str">
        <f t="shared" si="7"/>
        <v>Jul 2012</v>
      </c>
    </row>
    <row r="502" spans="1:5" ht="10.199999999999999" x14ac:dyDescent="0.25">
      <c r="A502" s="1">
        <v>31</v>
      </c>
      <c r="B502" s="1" t="s">
        <v>9</v>
      </c>
      <c r="C502" s="2">
        <v>41125</v>
      </c>
      <c r="D502" s="3">
        <v>12100</v>
      </c>
      <c r="E502" s="1" t="str">
        <f t="shared" si="7"/>
        <v>Aug 2012</v>
      </c>
    </row>
    <row r="503" spans="1:5" ht="10.199999999999999" x14ac:dyDescent="0.25">
      <c r="A503" s="1">
        <v>31</v>
      </c>
      <c r="B503" s="1" t="s">
        <v>10</v>
      </c>
      <c r="C503" s="2">
        <v>41167</v>
      </c>
      <c r="D503" s="3">
        <v>13</v>
      </c>
      <c r="E503" s="1" t="str">
        <f t="shared" si="7"/>
        <v>Sep 2012</v>
      </c>
    </row>
    <row r="504" spans="1:5" ht="10.199999999999999" x14ac:dyDescent="0.25">
      <c r="A504" s="1">
        <v>31</v>
      </c>
      <c r="B504" s="1" t="s">
        <v>10</v>
      </c>
      <c r="C504" s="2">
        <v>41193</v>
      </c>
      <c r="D504" s="3">
        <v>13</v>
      </c>
      <c r="E504" s="1" t="str">
        <f t="shared" si="7"/>
        <v>Oct 2012</v>
      </c>
    </row>
    <row r="505" spans="1:5" ht="10.199999999999999" x14ac:dyDescent="0.25">
      <c r="A505" s="1">
        <v>31</v>
      </c>
      <c r="B505" s="1" t="s">
        <v>10</v>
      </c>
      <c r="C505" s="2">
        <v>41228</v>
      </c>
      <c r="D505" s="3">
        <v>13</v>
      </c>
      <c r="E505" s="1" t="str">
        <f t="shared" si="7"/>
        <v>Nov 2012</v>
      </c>
    </row>
    <row r="506" spans="1:5" ht="10.199999999999999" x14ac:dyDescent="0.25">
      <c r="A506" s="1">
        <v>32</v>
      </c>
      <c r="B506" s="1" t="s">
        <v>9</v>
      </c>
      <c r="C506" s="2">
        <v>41233</v>
      </c>
      <c r="D506" s="3">
        <v>14000</v>
      </c>
      <c r="E506" s="1" t="str">
        <f t="shared" si="7"/>
        <v>Nov 2012</v>
      </c>
    </row>
    <row r="507" spans="1:5" ht="10.199999999999999" x14ac:dyDescent="0.25">
      <c r="A507" s="1">
        <v>32</v>
      </c>
      <c r="B507" s="1" t="s">
        <v>9</v>
      </c>
      <c r="C507" s="2">
        <v>41236</v>
      </c>
      <c r="D507" s="3">
        <v>14000</v>
      </c>
      <c r="E507" s="1" t="str">
        <f t="shared" si="7"/>
        <v>Nov 2012</v>
      </c>
    </row>
    <row r="508" spans="1:5" ht="10.199999999999999" x14ac:dyDescent="0.25">
      <c r="A508" s="1">
        <v>33</v>
      </c>
      <c r="B508" s="1" t="s">
        <v>9</v>
      </c>
      <c r="C508" s="2">
        <v>41093</v>
      </c>
      <c r="D508" s="3">
        <v>6000</v>
      </c>
      <c r="E508" s="1" t="str">
        <f t="shared" si="7"/>
        <v>Jul 2012</v>
      </c>
    </row>
    <row r="509" spans="1:5" ht="10.199999999999999" x14ac:dyDescent="0.25">
      <c r="A509" s="1">
        <v>33</v>
      </c>
      <c r="B509" s="1" t="s">
        <v>9</v>
      </c>
      <c r="C509" s="2">
        <v>41095</v>
      </c>
      <c r="D509" s="3">
        <v>6000</v>
      </c>
      <c r="E509" s="1" t="str">
        <f t="shared" si="7"/>
        <v>Jul 2012</v>
      </c>
    </row>
    <row r="510" spans="1:5" ht="10.199999999999999" x14ac:dyDescent="0.25">
      <c r="A510" s="1">
        <v>33</v>
      </c>
      <c r="B510" s="1" t="s">
        <v>9</v>
      </c>
      <c r="C510" s="2">
        <v>41097</v>
      </c>
      <c r="D510" s="3">
        <v>6000</v>
      </c>
      <c r="E510" s="1" t="str">
        <f t="shared" si="7"/>
        <v>Jul 2012</v>
      </c>
    </row>
    <row r="511" spans="1:5" ht="10.199999999999999" x14ac:dyDescent="0.25">
      <c r="A511" s="1">
        <v>33</v>
      </c>
      <c r="B511" s="1" t="s">
        <v>9</v>
      </c>
      <c r="C511" s="2">
        <v>41100</v>
      </c>
      <c r="D511" s="3">
        <v>6000</v>
      </c>
      <c r="E511" s="1" t="str">
        <f t="shared" si="7"/>
        <v>Jul 2012</v>
      </c>
    </row>
    <row r="512" spans="1:5" ht="10.199999999999999" x14ac:dyDescent="0.25">
      <c r="A512" s="1">
        <v>33</v>
      </c>
      <c r="B512" s="1" t="s">
        <v>9</v>
      </c>
      <c r="C512" s="2">
        <v>41102</v>
      </c>
      <c r="D512" s="3">
        <v>6000</v>
      </c>
      <c r="E512" s="1" t="str">
        <f t="shared" si="7"/>
        <v>Jul 2012</v>
      </c>
    </row>
    <row r="513" spans="1:5" ht="10.199999999999999" x14ac:dyDescent="0.25">
      <c r="A513" s="1">
        <v>33</v>
      </c>
      <c r="B513" s="1" t="s">
        <v>9</v>
      </c>
      <c r="C513" s="2">
        <v>41104</v>
      </c>
      <c r="D513" s="3">
        <v>6000</v>
      </c>
      <c r="E513" s="1" t="str">
        <f t="shared" si="7"/>
        <v>Jul 2012</v>
      </c>
    </row>
    <row r="514" spans="1:5" ht="10.199999999999999" x14ac:dyDescent="0.25">
      <c r="A514" s="1">
        <v>33</v>
      </c>
      <c r="B514" s="1" t="s">
        <v>9</v>
      </c>
      <c r="C514" s="2">
        <v>41107</v>
      </c>
      <c r="D514" s="3">
        <v>6000</v>
      </c>
      <c r="E514" s="1" t="str">
        <f t="shared" si="7"/>
        <v>Jul 2012</v>
      </c>
    </row>
    <row r="515" spans="1:5" ht="10.199999999999999" x14ac:dyDescent="0.25">
      <c r="A515" s="1">
        <v>33</v>
      </c>
      <c r="B515" s="1" t="s">
        <v>9</v>
      </c>
      <c r="C515" s="2">
        <v>41109</v>
      </c>
      <c r="D515" s="3">
        <v>6000</v>
      </c>
      <c r="E515" s="1" t="str">
        <f t="shared" ref="E515:E578" si="8">TEXT(C515,"mmm yyyy")</f>
        <v>Jul 2012</v>
      </c>
    </row>
    <row r="516" spans="1:5" ht="10.199999999999999" x14ac:dyDescent="0.25">
      <c r="A516" s="1">
        <v>33</v>
      </c>
      <c r="B516" s="1" t="s">
        <v>9</v>
      </c>
      <c r="C516" s="2">
        <v>41139</v>
      </c>
      <c r="D516" s="3">
        <v>6000</v>
      </c>
      <c r="E516" s="1" t="str">
        <f t="shared" si="8"/>
        <v>Aug 2012</v>
      </c>
    </row>
    <row r="517" spans="1:5" ht="10.199999999999999" x14ac:dyDescent="0.25">
      <c r="A517" s="1">
        <v>33</v>
      </c>
      <c r="B517" s="1" t="s">
        <v>9</v>
      </c>
      <c r="C517" s="2">
        <v>41142</v>
      </c>
      <c r="D517" s="3">
        <v>6000</v>
      </c>
      <c r="E517" s="1" t="str">
        <f t="shared" si="8"/>
        <v>Aug 2012</v>
      </c>
    </row>
    <row r="518" spans="1:5" ht="10.199999999999999" x14ac:dyDescent="0.25">
      <c r="A518" s="1">
        <v>33</v>
      </c>
      <c r="B518" s="1" t="s">
        <v>9</v>
      </c>
      <c r="C518" s="2">
        <v>41144</v>
      </c>
      <c r="D518" s="3">
        <v>6000</v>
      </c>
      <c r="E518" s="1" t="str">
        <f t="shared" si="8"/>
        <v>Aug 2012</v>
      </c>
    </row>
    <row r="519" spans="1:5" ht="10.199999999999999" x14ac:dyDescent="0.25">
      <c r="A519" s="1">
        <v>33</v>
      </c>
      <c r="B519" s="1" t="s">
        <v>9</v>
      </c>
      <c r="C519" s="2">
        <v>41146</v>
      </c>
      <c r="D519" s="3">
        <v>6000</v>
      </c>
      <c r="E519" s="1" t="str">
        <f t="shared" si="8"/>
        <v>Aug 2012</v>
      </c>
    </row>
    <row r="520" spans="1:5" ht="10.199999999999999" x14ac:dyDescent="0.25">
      <c r="A520" s="1">
        <v>33</v>
      </c>
      <c r="B520" s="1" t="s">
        <v>9</v>
      </c>
      <c r="C520" s="2">
        <v>41149</v>
      </c>
      <c r="D520" s="3">
        <v>6000</v>
      </c>
      <c r="E520" s="1" t="str">
        <f t="shared" si="8"/>
        <v>Aug 2012</v>
      </c>
    </row>
    <row r="521" spans="1:5" ht="10.199999999999999" x14ac:dyDescent="0.25">
      <c r="A521" s="1">
        <v>33</v>
      </c>
      <c r="B521" s="1" t="s">
        <v>9</v>
      </c>
      <c r="C521" s="2">
        <v>41151</v>
      </c>
      <c r="D521" s="3">
        <v>6000</v>
      </c>
      <c r="E521" s="1" t="str">
        <f t="shared" si="8"/>
        <v>Aug 2012</v>
      </c>
    </row>
    <row r="522" spans="1:5" ht="10.199999999999999" x14ac:dyDescent="0.25">
      <c r="A522" s="1">
        <v>33</v>
      </c>
      <c r="B522" s="1" t="s">
        <v>9</v>
      </c>
      <c r="C522" s="2">
        <v>41156</v>
      </c>
      <c r="D522" s="3">
        <v>6000</v>
      </c>
      <c r="E522" s="1" t="str">
        <f t="shared" si="8"/>
        <v>Sep 2012</v>
      </c>
    </row>
    <row r="523" spans="1:5" ht="10.199999999999999" x14ac:dyDescent="0.25">
      <c r="A523" s="1">
        <v>33</v>
      </c>
      <c r="B523" s="1" t="s">
        <v>10</v>
      </c>
      <c r="C523" s="2">
        <v>41205</v>
      </c>
      <c r="D523" s="3">
        <v>5</v>
      </c>
      <c r="E523" s="1" t="str">
        <f t="shared" si="8"/>
        <v>Oct 2012</v>
      </c>
    </row>
    <row r="524" spans="1:5" ht="10.199999999999999" x14ac:dyDescent="0.25">
      <c r="A524" s="1">
        <v>33</v>
      </c>
      <c r="B524" s="1" t="s">
        <v>10</v>
      </c>
      <c r="C524" s="2">
        <v>41229</v>
      </c>
      <c r="D524" s="3">
        <v>5</v>
      </c>
      <c r="E524" s="1" t="str">
        <f t="shared" si="8"/>
        <v>Nov 2012</v>
      </c>
    </row>
    <row r="525" spans="1:5" ht="10.199999999999999" x14ac:dyDescent="0.25">
      <c r="A525" s="1">
        <v>34</v>
      </c>
      <c r="B525" s="1" t="s">
        <v>10</v>
      </c>
      <c r="C525" s="2">
        <v>41192</v>
      </c>
      <c r="D525" s="3">
        <v>3</v>
      </c>
      <c r="E525" s="1" t="str">
        <f t="shared" si="8"/>
        <v>Oct 2012</v>
      </c>
    </row>
    <row r="526" spans="1:5" ht="10.199999999999999" x14ac:dyDescent="0.25">
      <c r="A526" s="1">
        <v>34</v>
      </c>
      <c r="B526" s="1" t="s">
        <v>10</v>
      </c>
      <c r="C526" s="2">
        <v>41227</v>
      </c>
      <c r="D526" s="3">
        <v>3</v>
      </c>
      <c r="E526" s="1" t="str">
        <f t="shared" si="8"/>
        <v>Nov 2012</v>
      </c>
    </row>
    <row r="527" spans="1:5" ht="10.199999999999999" x14ac:dyDescent="0.25">
      <c r="A527" s="1">
        <v>35</v>
      </c>
      <c r="B527" s="1" t="s">
        <v>9</v>
      </c>
      <c r="C527" s="2">
        <v>41104</v>
      </c>
      <c r="D527" s="3">
        <v>6700</v>
      </c>
      <c r="E527" s="1" t="str">
        <f t="shared" si="8"/>
        <v>Jul 2012</v>
      </c>
    </row>
    <row r="528" spans="1:5" ht="10.199999999999999" x14ac:dyDescent="0.25">
      <c r="A528" s="1">
        <v>35</v>
      </c>
      <c r="B528" s="1" t="s">
        <v>9</v>
      </c>
      <c r="C528" s="2">
        <v>41107</v>
      </c>
      <c r="D528" s="3">
        <v>6700</v>
      </c>
      <c r="E528" s="1" t="str">
        <f t="shared" si="8"/>
        <v>Jul 2012</v>
      </c>
    </row>
    <row r="529" spans="1:5" ht="10.199999999999999" x14ac:dyDescent="0.25">
      <c r="A529" s="1">
        <v>35</v>
      </c>
      <c r="B529" s="1" t="s">
        <v>9</v>
      </c>
      <c r="C529" s="2">
        <v>41109</v>
      </c>
      <c r="D529" s="3">
        <v>6700</v>
      </c>
      <c r="E529" s="1" t="str">
        <f t="shared" si="8"/>
        <v>Jul 2012</v>
      </c>
    </row>
    <row r="530" spans="1:5" ht="10.199999999999999" x14ac:dyDescent="0.25">
      <c r="A530" s="1">
        <v>35</v>
      </c>
      <c r="B530" s="1" t="s">
        <v>9</v>
      </c>
      <c r="C530" s="2">
        <v>41114</v>
      </c>
      <c r="D530" s="3">
        <v>10000</v>
      </c>
      <c r="E530" s="1" t="str">
        <f t="shared" si="8"/>
        <v>Jul 2012</v>
      </c>
    </row>
    <row r="531" spans="1:5" ht="10.199999999999999" x14ac:dyDescent="0.25">
      <c r="A531" s="1">
        <v>35</v>
      </c>
      <c r="B531" s="1" t="s">
        <v>9</v>
      </c>
      <c r="C531" s="2">
        <v>41116</v>
      </c>
      <c r="D531" s="3">
        <v>10000</v>
      </c>
      <c r="E531" s="1" t="str">
        <f t="shared" si="8"/>
        <v>Jul 2012</v>
      </c>
    </row>
    <row r="532" spans="1:5" ht="10.199999999999999" x14ac:dyDescent="0.25">
      <c r="A532" s="1">
        <v>35</v>
      </c>
      <c r="B532" s="1" t="s">
        <v>9</v>
      </c>
      <c r="C532" s="2">
        <v>41121</v>
      </c>
      <c r="D532" s="3">
        <v>10000</v>
      </c>
      <c r="E532" s="1" t="str">
        <f t="shared" si="8"/>
        <v>Jul 2012</v>
      </c>
    </row>
    <row r="533" spans="1:5" ht="10.199999999999999" x14ac:dyDescent="0.25">
      <c r="A533" s="1">
        <v>35</v>
      </c>
      <c r="B533" s="1" t="s">
        <v>9</v>
      </c>
      <c r="C533" s="2">
        <v>41123</v>
      </c>
      <c r="D533" s="3">
        <v>10000</v>
      </c>
      <c r="E533" s="1" t="str">
        <f t="shared" si="8"/>
        <v>Aug 2012</v>
      </c>
    </row>
    <row r="534" spans="1:5" ht="10.199999999999999" x14ac:dyDescent="0.25">
      <c r="A534" s="1">
        <v>35</v>
      </c>
      <c r="B534" s="1" t="s">
        <v>9</v>
      </c>
      <c r="C534" s="2">
        <v>41125</v>
      </c>
      <c r="D534" s="3">
        <v>13000</v>
      </c>
      <c r="E534" s="1" t="str">
        <f t="shared" si="8"/>
        <v>Aug 2012</v>
      </c>
    </row>
    <row r="535" spans="1:5" ht="10.199999999999999" x14ac:dyDescent="0.25">
      <c r="A535" s="1">
        <v>35</v>
      </c>
      <c r="B535" s="1" t="s">
        <v>9</v>
      </c>
      <c r="C535" s="2">
        <v>41130</v>
      </c>
      <c r="D535" s="3">
        <v>13000</v>
      </c>
      <c r="E535" s="1" t="str">
        <f t="shared" si="8"/>
        <v>Aug 2012</v>
      </c>
    </row>
    <row r="536" spans="1:5" ht="10.199999999999999" x14ac:dyDescent="0.25">
      <c r="A536" s="1">
        <v>35</v>
      </c>
      <c r="B536" s="1" t="s">
        <v>9</v>
      </c>
      <c r="C536" s="2">
        <v>41132</v>
      </c>
      <c r="D536" s="3">
        <v>13000</v>
      </c>
      <c r="E536" s="1" t="str">
        <f t="shared" si="8"/>
        <v>Aug 2012</v>
      </c>
    </row>
    <row r="537" spans="1:5" ht="10.199999999999999" x14ac:dyDescent="0.25">
      <c r="A537" s="1">
        <v>35</v>
      </c>
      <c r="B537" s="1" t="s">
        <v>9</v>
      </c>
      <c r="C537" s="2">
        <v>41135</v>
      </c>
      <c r="D537" s="3">
        <v>13000</v>
      </c>
      <c r="E537" s="1" t="str">
        <f t="shared" si="8"/>
        <v>Aug 2012</v>
      </c>
    </row>
    <row r="538" spans="1:5" ht="10.199999999999999" x14ac:dyDescent="0.25">
      <c r="A538" s="1">
        <v>35</v>
      </c>
      <c r="B538" s="1" t="s">
        <v>9</v>
      </c>
      <c r="C538" s="2">
        <v>41137</v>
      </c>
      <c r="D538" s="3">
        <v>13000</v>
      </c>
      <c r="E538" s="1" t="str">
        <f t="shared" si="8"/>
        <v>Aug 2012</v>
      </c>
    </row>
    <row r="539" spans="1:5" ht="10.199999999999999" x14ac:dyDescent="0.25">
      <c r="A539" s="1">
        <v>35</v>
      </c>
      <c r="B539" s="1" t="s">
        <v>9</v>
      </c>
      <c r="C539" s="2">
        <v>41139</v>
      </c>
      <c r="D539" s="3">
        <v>15600</v>
      </c>
      <c r="E539" s="1" t="str">
        <f t="shared" si="8"/>
        <v>Aug 2012</v>
      </c>
    </row>
    <row r="540" spans="1:5" ht="10.199999999999999" x14ac:dyDescent="0.25">
      <c r="A540" s="1">
        <v>35</v>
      </c>
      <c r="B540" s="1" t="s">
        <v>9</v>
      </c>
      <c r="C540" s="2">
        <v>41142</v>
      </c>
      <c r="D540" s="3">
        <v>15600</v>
      </c>
      <c r="E540" s="1" t="str">
        <f t="shared" si="8"/>
        <v>Aug 2012</v>
      </c>
    </row>
    <row r="541" spans="1:5" ht="10.199999999999999" x14ac:dyDescent="0.25">
      <c r="A541" s="1">
        <v>35</v>
      </c>
      <c r="B541" s="1" t="s">
        <v>9</v>
      </c>
      <c r="C541" s="2">
        <v>41144</v>
      </c>
      <c r="D541" s="3">
        <v>15600</v>
      </c>
      <c r="E541" s="1" t="str">
        <f t="shared" si="8"/>
        <v>Aug 2012</v>
      </c>
    </row>
    <row r="542" spans="1:5" ht="10.199999999999999" x14ac:dyDescent="0.25">
      <c r="A542" s="1">
        <v>35</v>
      </c>
      <c r="B542" s="1" t="s">
        <v>9</v>
      </c>
      <c r="C542" s="2">
        <v>41149</v>
      </c>
      <c r="D542" s="3">
        <v>15600</v>
      </c>
      <c r="E542" s="1" t="str">
        <f t="shared" si="8"/>
        <v>Aug 2012</v>
      </c>
    </row>
    <row r="543" spans="1:5" ht="10.199999999999999" x14ac:dyDescent="0.25">
      <c r="A543" s="1">
        <v>35</v>
      </c>
      <c r="B543" s="1" t="s">
        <v>10</v>
      </c>
      <c r="C543" s="2">
        <v>41200</v>
      </c>
      <c r="D543" s="3">
        <v>3</v>
      </c>
      <c r="E543" s="1" t="str">
        <f t="shared" si="8"/>
        <v>Oct 2012</v>
      </c>
    </row>
    <row r="544" spans="1:5" ht="10.199999999999999" x14ac:dyDescent="0.25">
      <c r="A544" s="1">
        <v>35</v>
      </c>
      <c r="B544" s="1" t="s">
        <v>10</v>
      </c>
      <c r="C544" s="2">
        <v>41228</v>
      </c>
      <c r="D544" s="3">
        <v>5</v>
      </c>
      <c r="E544" s="1" t="str">
        <f t="shared" si="8"/>
        <v>Nov 2012</v>
      </c>
    </row>
    <row r="545" spans="1:5" ht="10.199999999999999" x14ac:dyDescent="0.25">
      <c r="A545" s="1">
        <v>36</v>
      </c>
      <c r="B545" s="1" t="s">
        <v>9</v>
      </c>
      <c r="C545" s="2">
        <v>41092</v>
      </c>
      <c r="D545" s="3">
        <v>3700</v>
      </c>
      <c r="E545" s="1" t="str">
        <f t="shared" si="8"/>
        <v>Jul 2012</v>
      </c>
    </row>
    <row r="546" spans="1:5" ht="10.199999999999999" x14ac:dyDescent="0.25">
      <c r="A546" s="1">
        <v>36</v>
      </c>
      <c r="B546" s="1" t="s">
        <v>9</v>
      </c>
      <c r="C546" s="2">
        <v>41094</v>
      </c>
      <c r="D546" s="3">
        <v>3700</v>
      </c>
      <c r="E546" s="1" t="str">
        <f t="shared" si="8"/>
        <v>Jul 2012</v>
      </c>
    </row>
    <row r="547" spans="1:5" ht="10.199999999999999" x14ac:dyDescent="0.25">
      <c r="A547" s="1">
        <v>36</v>
      </c>
      <c r="B547" s="1" t="s">
        <v>9</v>
      </c>
      <c r="C547" s="2">
        <v>41096</v>
      </c>
      <c r="D547" s="3">
        <v>3700</v>
      </c>
      <c r="E547" s="1" t="str">
        <f t="shared" si="8"/>
        <v>Jul 2012</v>
      </c>
    </row>
    <row r="548" spans="1:5" ht="10.199999999999999" x14ac:dyDescent="0.25">
      <c r="A548" s="1">
        <v>36</v>
      </c>
      <c r="B548" s="1" t="s">
        <v>9</v>
      </c>
      <c r="C548" s="2">
        <v>41099</v>
      </c>
      <c r="D548" s="3">
        <v>3700</v>
      </c>
      <c r="E548" s="1" t="str">
        <f t="shared" si="8"/>
        <v>Jul 2012</v>
      </c>
    </row>
    <row r="549" spans="1:5" ht="10.199999999999999" x14ac:dyDescent="0.25">
      <c r="A549" s="1">
        <v>36</v>
      </c>
      <c r="B549" s="1" t="s">
        <v>9</v>
      </c>
      <c r="C549" s="2">
        <v>41101</v>
      </c>
      <c r="D549" s="3">
        <v>3700</v>
      </c>
      <c r="E549" s="1" t="str">
        <f t="shared" si="8"/>
        <v>Jul 2012</v>
      </c>
    </row>
    <row r="550" spans="1:5" ht="10.199999999999999" x14ac:dyDescent="0.25">
      <c r="A550" s="1">
        <v>36</v>
      </c>
      <c r="B550" s="1" t="s">
        <v>9</v>
      </c>
      <c r="C550" s="2">
        <v>41103</v>
      </c>
      <c r="D550" s="3">
        <v>3700</v>
      </c>
      <c r="E550" s="1" t="str">
        <f t="shared" si="8"/>
        <v>Jul 2012</v>
      </c>
    </row>
    <row r="551" spans="1:5" ht="10.199999999999999" x14ac:dyDescent="0.25">
      <c r="A551" s="1">
        <v>36</v>
      </c>
      <c r="B551" s="1" t="s">
        <v>9</v>
      </c>
      <c r="C551" s="2">
        <v>41106</v>
      </c>
      <c r="D551" s="3">
        <v>3700</v>
      </c>
      <c r="E551" s="1" t="str">
        <f t="shared" si="8"/>
        <v>Jul 2012</v>
      </c>
    </row>
    <row r="552" spans="1:5" ht="10.199999999999999" x14ac:dyDescent="0.25">
      <c r="A552" s="1">
        <v>36</v>
      </c>
      <c r="B552" s="1" t="s">
        <v>9</v>
      </c>
      <c r="C552" s="2">
        <v>41108</v>
      </c>
      <c r="D552" s="3">
        <v>3700</v>
      </c>
      <c r="E552" s="1" t="str">
        <f t="shared" si="8"/>
        <v>Jul 2012</v>
      </c>
    </row>
    <row r="553" spans="1:5" ht="10.199999999999999" x14ac:dyDescent="0.25">
      <c r="A553" s="1">
        <v>36</v>
      </c>
      <c r="B553" s="1" t="s">
        <v>9</v>
      </c>
      <c r="C553" s="2">
        <v>41110</v>
      </c>
      <c r="D553" s="3">
        <v>3700</v>
      </c>
      <c r="E553" s="1" t="str">
        <f t="shared" si="8"/>
        <v>Jul 2012</v>
      </c>
    </row>
    <row r="554" spans="1:5" ht="10.199999999999999" x14ac:dyDescent="0.25">
      <c r="A554" s="1">
        <v>36</v>
      </c>
      <c r="B554" s="1" t="s">
        <v>9</v>
      </c>
      <c r="C554" s="2">
        <v>41127</v>
      </c>
      <c r="D554" s="3">
        <v>3700</v>
      </c>
      <c r="E554" s="1" t="str">
        <f t="shared" si="8"/>
        <v>Aug 2012</v>
      </c>
    </row>
    <row r="555" spans="1:5" ht="10.199999999999999" x14ac:dyDescent="0.25">
      <c r="A555" s="1">
        <v>36</v>
      </c>
      <c r="B555" s="1" t="s">
        <v>9</v>
      </c>
      <c r="C555" s="2">
        <v>41129</v>
      </c>
      <c r="D555" s="3">
        <v>3700</v>
      </c>
      <c r="E555" s="1" t="str">
        <f t="shared" si="8"/>
        <v>Aug 2012</v>
      </c>
    </row>
    <row r="556" spans="1:5" ht="10.199999999999999" x14ac:dyDescent="0.25">
      <c r="A556" s="1">
        <v>36</v>
      </c>
      <c r="B556" s="1" t="s">
        <v>9</v>
      </c>
      <c r="C556" s="2">
        <v>41131</v>
      </c>
      <c r="D556" s="3">
        <v>3700</v>
      </c>
      <c r="E556" s="1" t="str">
        <f t="shared" si="8"/>
        <v>Aug 2012</v>
      </c>
    </row>
    <row r="557" spans="1:5" ht="10.199999999999999" x14ac:dyDescent="0.25">
      <c r="A557" s="1">
        <v>36</v>
      </c>
      <c r="B557" s="1" t="s">
        <v>9</v>
      </c>
      <c r="C557" s="2">
        <v>41134</v>
      </c>
      <c r="D557" s="3">
        <v>3700</v>
      </c>
      <c r="E557" s="1" t="str">
        <f t="shared" si="8"/>
        <v>Aug 2012</v>
      </c>
    </row>
    <row r="558" spans="1:5" ht="10.199999999999999" x14ac:dyDescent="0.25">
      <c r="A558" s="1">
        <v>36</v>
      </c>
      <c r="B558" s="1" t="s">
        <v>9</v>
      </c>
      <c r="C558" s="2">
        <v>41136</v>
      </c>
      <c r="D558" s="3">
        <v>3700</v>
      </c>
      <c r="E558" s="1" t="str">
        <f t="shared" si="8"/>
        <v>Aug 2012</v>
      </c>
    </row>
    <row r="559" spans="1:5" ht="10.199999999999999" x14ac:dyDescent="0.25">
      <c r="A559" s="1">
        <v>36</v>
      </c>
      <c r="B559" s="1" t="s">
        <v>9</v>
      </c>
      <c r="C559" s="2">
        <v>41138</v>
      </c>
      <c r="D559" s="3">
        <v>3700</v>
      </c>
      <c r="E559" s="1" t="str">
        <f t="shared" si="8"/>
        <v>Aug 2012</v>
      </c>
    </row>
    <row r="560" spans="1:5" ht="10.199999999999999" x14ac:dyDescent="0.25">
      <c r="A560" s="1">
        <v>36</v>
      </c>
      <c r="B560" s="1" t="s">
        <v>10</v>
      </c>
      <c r="C560" s="2">
        <v>41164</v>
      </c>
      <c r="D560" s="3">
        <v>6</v>
      </c>
      <c r="E560" s="1" t="str">
        <f t="shared" si="8"/>
        <v>Sep 2012</v>
      </c>
    </row>
    <row r="561" spans="1:5" ht="10.199999999999999" x14ac:dyDescent="0.25">
      <c r="A561" s="1">
        <v>36</v>
      </c>
      <c r="B561" s="1" t="s">
        <v>10</v>
      </c>
      <c r="C561" s="2">
        <v>41199</v>
      </c>
      <c r="D561" s="3">
        <v>5</v>
      </c>
      <c r="E561" s="1" t="str">
        <f t="shared" si="8"/>
        <v>Oct 2012</v>
      </c>
    </row>
    <row r="562" spans="1:5" ht="10.199999999999999" x14ac:dyDescent="0.25">
      <c r="A562" s="1">
        <v>36</v>
      </c>
      <c r="B562" s="1" t="s">
        <v>10</v>
      </c>
      <c r="C562" s="2">
        <v>41227</v>
      </c>
      <c r="D562" s="3">
        <v>4</v>
      </c>
      <c r="E562" s="1" t="str">
        <f t="shared" si="8"/>
        <v>Nov 2012</v>
      </c>
    </row>
    <row r="563" spans="1:5" ht="10.199999999999999" x14ac:dyDescent="0.25">
      <c r="A563" s="1">
        <v>37</v>
      </c>
      <c r="B563" s="1" t="s">
        <v>10</v>
      </c>
      <c r="C563" s="2">
        <v>41193</v>
      </c>
      <c r="D563" s="3">
        <v>1</v>
      </c>
      <c r="E563" s="1" t="str">
        <f t="shared" si="8"/>
        <v>Oct 2012</v>
      </c>
    </row>
    <row r="564" spans="1:5" ht="10.199999999999999" x14ac:dyDescent="0.25">
      <c r="A564" s="1">
        <v>37</v>
      </c>
      <c r="B564" s="1" t="s">
        <v>10</v>
      </c>
      <c r="C564" s="2">
        <v>41228</v>
      </c>
      <c r="D564" s="3">
        <v>1</v>
      </c>
      <c r="E564" s="1" t="str">
        <f t="shared" si="8"/>
        <v>Nov 2012</v>
      </c>
    </row>
    <row r="565" spans="1:5" ht="10.199999999999999" x14ac:dyDescent="0.25">
      <c r="A565" s="1">
        <v>38</v>
      </c>
      <c r="B565" s="1" t="s">
        <v>9</v>
      </c>
      <c r="C565" s="2">
        <v>41158</v>
      </c>
      <c r="D565" s="3">
        <v>2600</v>
      </c>
      <c r="E565" s="1" t="str">
        <f t="shared" si="8"/>
        <v>Sep 2012</v>
      </c>
    </row>
    <row r="566" spans="1:5" ht="10.199999999999999" x14ac:dyDescent="0.25">
      <c r="A566" s="1">
        <v>38</v>
      </c>
      <c r="B566" s="1" t="s">
        <v>10</v>
      </c>
      <c r="C566" s="2">
        <v>41167</v>
      </c>
      <c r="D566" s="3">
        <v>5</v>
      </c>
      <c r="E566" s="1" t="str">
        <f t="shared" si="8"/>
        <v>Sep 2012</v>
      </c>
    </row>
    <row r="567" spans="1:5" ht="10.199999999999999" x14ac:dyDescent="0.25">
      <c r="A567" s="1">
        <v>39</v>
      </c>
      <c r="B567" s="1" t="s">
        <v>9</v>
      </c>
      <c r="C567" s="2">
        <v>41093</v>
      </c>
      <c r="D567" s="3">
        <v>4500</v>
      </c>
      <c r="E567" s="1" t="str">
        <f t="shared" si="8"/>
        <v>Jul 2012</v>
      </c>
    </row>
    <row r="568" spans="1:5" ht="10.199999999999999" x14ac:dyDescent="0.25">
      <c r="A568" s="1">
        <v>39</v>
      </c>
      <c r="B568" s="1" t="s">
        <v>9</v>
      </c>
      <c r="C568" s="2">
        <v>41100</v>
      </c>
      <c r="D568" s="3">
        <v>4500</v>
      </c>
      <c r="E568" s="1" t="str">
        <f t="shared" si="8"/>
        <v>Jul 2012</v>
      </c>
    </row>
    <row r="569" spans="1:5" ht="10.199999999999999" x14ac:dyDescent="0.25">
      <c r="A569" s="1">
        <v>39</v>
      </c>
      <c r="B569" s="1" t="s">
        <v>9</v>
      </c>
      <c r="C569" s="2">
        <v>41102</v>
      </c>
      <c r="D569" s="3">
        <v>4500</v>
      </c>
      <c r="E569" s="1" t="str">
        <f t="shared" si="8"/>
        <v>Jul 2012</v>
      </c>
    </row>
    <row r="570" spans="1:5" ht="10.199999999999999" x14ac:dyDescent="0.25">
      <c r="A570" s="1">
        <v>39</v>
      </c>
      <c r="B570" s="1" t="s">
        <v>9</v>
      </c>
      <c r="C570" s="2">
        <v>41104</v>
      </c>
      <c r="D570" s="3">
        <v>4500</v>
      </c>
      <c r="E570" s="1" t="str">
        <f t="shared" si="8"/>
        <v>Jul 2012</v>
      </c>
    </row>
    <row r="571" spans="1:5" ht="10.199999999999999" x14ac:dyDescent="0.25">
      <c r="A571" s="1">
        <v>39</v>
      </c>
      <c r="B571" s="1" t="s">
        <v>9</v>
      </c>
      <c r="C571" s="2">
        <v>41107</v>
      </c>
      <c r="D571" s="3">
        <v>4500</v>
      </c>
      <c r="E571" s="1" t="str">
        <f t="shared" si="8"/>
        <v>Jul 2012</v>
      </c>
    </row>
    <row r="572" spans="1:5" ht="10.199999999999999" x14ac:dyDescent="0.25">
      <c r="A572" s="1">
        <v>39</v>
      </c>
      <c r="B572" s="1" t="s">
        <v>9</v>
      </c>
      <c r="C572" s="2">
        <v>41111</v>
      </c>
      <c r="D572" s="3">
        <v>4500</v>
      </c>
      <c r="E572" s="1" t="str">
        <f t="shared" si="8"/>
        <v>Jul 2012</v>
      </c>
    </row>
    <row r="573" spans="1:5" ht="10.199999999999999" x14ac:dyDescent="0.25">
      <c r="A573" s="1">
        <v>39</v>
      </c>
      <c r="B573" s="1" t="s">
        <v>9</v>
      </c>
      <c r="C573" s="2">
        <v>41118</v>
      </c>
      <c r="D573" s="3">
        <v>4500</v>
      </c>
      <c r="E573" s="1" t="str">
        <f t="shared" si="8"/>
        <v>Jul 2012</v>
      </c>
    </row>
    <row r="574" spans="1:5" ht="10.199999999999999" x14ac:dyDescent="0.25">
      <c r="A574" s="1">
        <v>39</v>
      </c>
      <c r="B574" s="1" t="s">
        <v>9</v>
      </c>
      <c r="C574" s="2">
        <v>41121</v>
      </c>
      <c r="D574" s="3">
        <v>4500</v>
      </c>
      <c r="E574" s="1" t="str">
        <f t="shared" si="8"/>
        <v>Jul 2012</v>
      </c>
    </row>
    <row r="575" spans="1:5" ht="10.199999999999999" x14ac:dyDescent="0.25">
      <c r="A575" s="1">
        <v>39</v>
      </c>
      <c r="B575" s="1" t="s">
        <v>9</v>
      </c>
      <c r="C575" s="2">
        <v>41123</v>
      </c>
      <c r="D575" s="3">
        <v>4500</v>
      </c>
      <c r="E575" s="1" t="str">
        <f t="shared" si="8"/>
        <v>Aug 2012</v>
      </c>
    </row>
    <row r="576" spans="1:5" ht="10.199999999999999" x14ac:dyDescent="0.25">
      <c r="A576" s="1">
        <v>39</v>
      </c>
      <c r="B576" s="1" t="s">
        <v>9</v>
      </c>
      <c r="C576" s="2">
        <v>41128</v>
      </c>
      <c r="D576" s="3">
        <v>4500</v>
      </c>
      <c r="E576" s="1" t="str">
        <f t="shared" si="8"/>
        <v>Aug 2012</v>
      </c>
    </row>
    <row r="577" spans="1:5" ht="10.199999999999999" x14ac:dyDescent="0.25">
      <c r="A577" s="1">
        <v>39</v>
      </c>
      <c r="B577" s="1" t="s">
        <v>9</v>
      </c>
      <c r="C577" s="2">
        <v>41132</v>
      </c>
      <c r="D577" s="3">
        <v>4500</v>
      </c>
      <c r="E577" s="1" t="str">
        <f t="shared" si="8"/>
        <v>Aug 2012</v>
      </c>
    </row>
    <row r="578" spans="1:5" ht="10.199999999999999" x14ac:dyDescent="0.25">
      <c r="A578" s="1">
        <v>39</v>
      </c>
      <c r="B578" s="1" t="s">
        <v>9</v>
      </c>
      <c r="C578" s="2">
        <v>41137</v>
      </c>
      <c r="D578" s="3">
        <v>4500</v>
      </c>
      <c r="E578" s="1" t="str">
        <f t="shared" si="8"/>
        <v>Aug 2012</v>
      </c>
    </row>
    <row r="579" spans="1:5" ht="10.199999999999999" x14ac:dyDescent="0.25">
      <c r="A579" s="1">
        <v>39</v>
      </c>
      <c r="B579" s="1" t="s">
        <v>9</v>
      </c>
      <c r="C579" s="2">
        <v>41139</v>
      </c>
      <c r="D579" s="3">
        <v>4500</v>
      </c>
      <c r="E579" s="1" t="str">
        <f t="shared" ref="E579:E642" si="9">TEXT(C579,"mmm yyyy")</f>
        <v>Aug 2012</v>
      </c>
    </row>
    <row r="580" spans="1:5" ht="10.199999999999999" x14ac:dyDescent="0.25">
      <c r="A580" s="1">
        <v>39</v>
      </c>
      <c r="B580" s="1" t="s">
        <v>9</v>
      </c>
      <c r="C580" s="2">
        <v>41144</v>
      </c>
      <c r="D580" s="3">
        <v>4500</v>
      </c>
      <c r="E580" s="1" t="str">
        <f t="shared" si="9"/>
        <v>Aug 2012</v>
      </c>
    </row>
    <row r="581" spans="1:5" ht="10.199999999999999" x14ac:dyDescent="0.25">
      <c r="A581" s="1">
        <v>39</v>
      </c>
      <c r="B581" s="1" t="s">
        <v>9</v>
      </c>
      <c r="C581" s="2">
        <v>41151</v>
      </c>
      <c r="D581" s="3">
        <v>4500</v>
      </c>
      <c r="E581" s="1" t="str">
        <f t="shared" si="9"/>
        <v>Aug 2012</v>
      </c>
    </row>
    <row r="582" spans="1:5" ht="10.199999999999999" x14ac:dyDescent="0.25">
      <c r="A582" s="1">
        <v>39</v>
      </c>
      <c r="B582" s="1" t="s">
        <v>9</v>
      </c>
      <c r="C582" s="2">
        <v>41157</v>
      </c>
      <c r="D582" s="3">
        <v>4500</v>
      </c>
      <c r="E582" s="1" t="str">
        <f t="shared" si="9"/>
        <v>Sep 2012</v>
      </c>
    </row>
    <row r="583" spans="1:5" ht="10.199999999999999" x14ac:dyDescent="0.25">
      <c r="A583" s="1">
        <v>39</v>
      </c>
      <c r="B583" s="1" t="s">
        <v>10</v>
      </c>
      <c r="C583" s="2">
        <v>41165</v>
      </c>
      <c r="D583" s="3">
        <v>8</v>
      </c>
      <c r="E583" s="1" t="str">
        <f t="shared" si="9"/>
        <v>Sep 2012</v>
      </c>
    </row>
    <row r="584" spans="1:5" ht="10.199999999999999" x14ac:dyDescent="0.25">
      <c r="A584" s="1">
        <v>40</v>
      </c>
      <c r="B584" s="1" t="s">
        <v>9</v>
      </c>
      <c r="C584" s="2">
        <v>41097</v>
      </c>
      <c r="D584" s="3">
        <v>3400</v>
      </c>
      <c r="E584" s="1" t="str">
        <f t="shared" si="9"/>
        <v>Jul 2012</v>
      </c>
    </row>
    <row r="585" spans="1:5" ht="10.199999999999999" x14ac:dyDescent="0.25">
      <c r="A585" s="1">
        <v>40</v>
      </c>
      <c r="B585" s="1" t="s">
        <v>9</v>
      </c>
      <c r="C585" s="2">
        <v>41100</v>
      </c>
      <c r="D585" s="3">
        <v>3400</v>
      </c>
      <c r="E585" s="1" t="str">
        <f t="shared" si="9"/>
        <v>Jul 2012</v>
      </c>
    </row>
    <row r="586" spans="1:5" ht="10.199999999999999" x14ac:dyDescent="0.25">
      <c r="A586" s="1">
        <v>40</v>
      </c>
      <c r="B586" s="1" t="s">
        <v>9</v>
      </c>
      <c r="C586" s="2">
        <v>41102</v>
      </c>
      <c r="D586" s="3">
        <v>3400</v>
      </c>
      <c r="E586" s="1" t="str">
        <f t="shared" si="9"/>
        <v>Jul 2012</v>
      </c>
    </row>
    <row r="587" spans="1:5" ht="10.199999999999999" x14ac:dyDescent="0.25">
      <c r="A587" s="1">
        <v>40</v>
      </c>
      <c r="B587" s="1" t="s">
        <v>9</v>
      </c>
      <c r="C587" s="2">
        <v>41104</v>
      </c>
      <c r="D587" s="3">
        <v>3400</v>
      </c>
      <c r="E587" s="1" t="str">
        <f t="shared" si="9"/>
        <v>Jul 2012</v>
      </c>
    </row>
    <row r="588" spans="1:5" ht="10.199999999999999" x14ac:dyDescent="0.25">
      <c r="A588" s="1">
        <v>40</v>
      </c>
      <c r="B588" s="1" t="s">
        <v>9</v>
      </c>
      <c r="C588" s="2">
        <v>41107</v>
      </c>
      <c r="D588" s="3">
        <v>3400</v>
      </c>
      <c r="E588" s="1" t="str">
        <f t="shared" si="9"/>
        <v>Jul 2012</v>
      </c>
    </row>
    <row r="589" spans="1:5" ht="10.199999999999999" x14ac:dyDescent="0.25">
      <c r="A589" s="1">
        <v>40</v>
      </c>
      <c r="B589" s="1" t="s">
        <v>9</v>
      </c>
      <c r="C589" s="2">
        <v>41109</v>
      </c>
      <c r="D589" s="3">
        <v>3400</v>
      </c>
      <c r="E589" s="1" t="str">
        <f t="shared" si="9"/>
        <v>Jul 2012</v>
      </c>
    </row>
    <row r="590" spans="1:5" ht="10.199999999999999" x14ac:dyDescent="0.25">
      <c r="A590" s="1">
        <v>40</v>
      </c>
      <c r="B590" s="1" t="s">
        <v>9</v>
      </c>
      <c r="C590" s="2">
        <v>41111</v>
      </c>
      <c r="D590" s="3">
        <v>3400</v>
      </c>
      <c r="E590" s="1" t="str">
        <f t="shared" si="9"/>
        <v>Jul 2012</v>
      </c>
    </row>
    <row r="591" spans="1:5" ht="10.199999999999999" x14ac:dyDescent="0.25">
      <c r="A591" s="1">
        <v>40</v>
      </c>
      <c r="B591" s="1" t="s">
        <v>9</v>
      </c>
      <c r="C591" s="2">
        <v>41114</v>
      </c>
      <c r="D591" s="3">
        <v>3400</v>
      </c>
      <c r="E591" s="1" t="str">
        <f t="shared" si="9"/>
        <v>Jul 2012</v>
      </c>
    </row>
    <row r="592" spans="1:5" ht="10.199999999999999" x14ac:dyDescent="0.25">
      <c r="A592" s="1">
        <v>40</v>
      </c>
      <c r="B592" s="1" t="s">
        <v>9</v>
      </c>
      <c r="C592" s="2">
        <v>41116</v>
      </c>
      <c r="D592" s="3">
        <v>3400</v>
      </c>
      <c r="E592" s="1" t="str">
        <f t="shared" si="9"/>
        <v>Jul 2012</v>
      </c>
    </row>
    <row r="593" spans="1:5" ht="10.199999999999999" x14ac:dyDescent="0.25">
      <c r="A593" s="1">
        <v>40</v>
      </c>
      <c r="B593" s="1" t="s">
        <v>9</v>
      </c>
      <c r="C593" s="2">
        <v>41118</v>
      </c>
      <c r="D593" s="3">
        <v>3400</v>
      </c>
      <c r="E593" s="1" t="str">
        <f t="shared" si="9"/>
        <v>Jul 2012</v>
      </c>
    </row>
    <row r="594" spans="1:5" ht="10.199999999999999" x14ac:dyDescent="0.25">
      <c r="A594" s="1">
        <v>40</v>
      </c>
      <c r="B594" s="1" t="s">
        <v>9</v>
      </c>
      <c r="C594" s="2">
        <v>41121</v>
      </c>
      <c r="D594" s="3">
        <v>3400</v>
      </c>
      <c r="E594" s="1" t="str">
        <f t="shared" si="9"/>
        <v>Jul 2012</v>
      </c>
    </row>
    <row r="595" spans="1:5" ht="10.199999999999999" x14ac:dyDescent="0.25">
      <c r="A595" s="1">
        <v>40</v>
      </c>
      <c r="B595" s="1" t="s">
        <v>9</v>
      </c>
      <c r="C595" s="2">
        <v>41123</v>
      </c>
      <c r="D595" s="3">
        <v>3400</v>
      </c>
      <c r="E595" s="1" t="str">
        <f t="shared" si="9"/>
        <v>Aug 2012</v>
      </c>
    </row>
    <row r="596" spans="1:5" ht="10.199999999999999" x14ac:dyDescent="0.25">
      <c r="A596" s="1">
        <v>40</v>
      </c>
      <c r="B596" s="1" t="s">
        <v>9</v>
      </c>
      <c r="C596" s="2">
        <v>41125</v>
      </c>
      <c r="D596" s="3">
        <v>3400</v>
      </c>
      <c r="E596" s="1" t="str">
        <f t="shared" si="9"/>
        <v>Aug 2012</v>
      </c>
    </row>
    <row r="597" spans="1:5" ht="10.199999999999999" x14ac:dyDescent="0.25">
      <c r="A597" s="1">
        <v>40</v>
      </c>
      <c r="B597" s="1" t="s">
        <v>9</v>
      </c>
      <c r="C597" s="2">
        <v>41128</v>
      </c>
      <c r="D597" s="3">
        <v>3400</v>
      </c>
      <c r="E597" s="1" t="str">
        <f t="shared" si="9"/>
        <v>Aug 2012</v>
      </c>
    </row>
    <row r="598" spans="1:5" ht="10.199999999999999" x14ac:dyDescent="0.25">
      <c r="A598" s="1">
        <v>40</v>
      </c>
      <c r="B598" s="1" t="s">
        <v>9</v>
      </c>
      <c r="C598" s="2">
        <v>41130</v>
      </c>
      <c r="D598" s="3">
        <v>3400</v>
      </c>
      <c r="E598" s="1" t="str">
        <f t="shared" si="9"/>
        <v>Aug 2012</v>
      </c>
    </row>
    <row r="599" spans="1:5" ht="10.199999999999999" x14ac:dyDescent="0.25">
      <c r="A599" s="1">
        <v>40</v>
      </c>
      <c r="B599" s="1" t="s">
        <v>9</v>
      </c>
      <c r="C599" s="2">
        <v>41135</v>
      </c>
      <c r="D599" s="3">
        <v>3400</v>
      </c>
      <c r="E599" s="1" t="str">
        <f t="shared" si="9"/>
        <v>Aug 2012</v>
      </c>
    </row>
    <row r="600" spans="1:5" ht="10.199999999999999" x14ac:dyDescent="0.25">
      <c r="A600" s="1">
        <v>40</v>
      </c>
      <c r="B600" s="1" t="s">
        <v>9</v>
      </c>
      <c r="C600" s="2">
        <v>41137</v>
      </c>
      <c r="D600" s="3">
        <v>3400</v>
      </c>
      <c r="E600" s="1" t="str">
        <f t="shared" si="9"/>
        <v>Aug 2012</v>
      </c>
    </row>
    <row r="601" spans="1:5" ht="10.199999999999999" x14ac:dyDescent="0.25">
      <c r="A601" s="1">
        <v>41</v>
      </c>
      <c r="B601" s="1" t="s">
        <v>10</v>
      </c>
      <c r="C601" s="2">
        <v>41165</v>
      </c>
      <c r="D601" s="3">
        <v>6</v>
      </c>
      <c r="E601" s="1" t="str">
        <f t="shared" si="9"/>
        <v>Sep 2012</v>
      </c>
    </row>
    <row r="602" spans="1:5" ht="10.199999999999999" x14ac:dyDescent="0.25">
      <c r="A602" s="1">
        <v>41</v>
      </c>
      <c r="B602" s="1" t="s">
        <v>10</v>
      </c>
      <c r="C602" s="2">
        <v>41193</v>
      </c>
      <c r="D602" s="3">
        <v>6</v>
      </c>
      <c r="E602" s="1" t="str">
        <f t="shared" si="9"/>
        <v>Oct 2012</v>
      </c>
    </row>
    <row r="603" spans="1:5" ht="10.199999999999999" x14ac:dyDescent="0.25">
      <c r="A603" s="1">
        <v>42</v>
      </c>
      <c r="B603" s="1" t="s">
        <v>9</v>
      </c>
      <c r="C603" s="2">
        <v>41103</v>
      </c>
      <c r="D603" s="3">
        <v>2600</v>
      </c>
      <c r="E603" s="1" t="str">
        <f t="shared" si="9"/>
        <v>Jul 2012</v>
      </c>
    </row>
    <row r="604" spans="1:5" ht="10.199999999999999" x14ac:dyDescent="0.25">
      <c r="A604" s="1">
        <v>42</v>
      </c>
      <c r="B604" s="1" t="s">
        <v>9</v>
      </c>
      <c r="C604" s="2">
        <v>41106</v>
      </c>
      <c r="D604" s="3">
        <v>2600</v>
      </c>
      <c r="E604" s="1" t="str">
        <f t="shared" si="9"/>
        <v>Jul 2012</v>
      </c>
    </row>
    <row r="605" spans="1:5" ht="10.199999999999999" x14ac:dyDescent="0.25">
      <c r="A605" s="1">
        <v>42</v>
      </c>
      <c r="B605" s="1" t="s">
        <v>9</v>
      </c>
      <c r="C605" s="2">
        <v>41108</v>
      </c>
      <c r="D605" s="3">
        <v>2600</v>
      </c>
      <c r="E605" s="1" t="str">
        <f t="shared" si="9"/>
        <v>Jul 2012</v>
      </c>
    </row>
    <row r="606" spans="1:5" ht="10.199999999999999" x14ac:dyDescent="0.25">
      <c r="A606" s="1">
        <v>42</v>
      </c>
      <c r="B606" s="1" t="s">
        <v>10</v>
      </c>
      <c r="C606" s="2">
        <v>41194</v>
      </c>
      <c r="D606" s="3">
        <v>2</v>
      </c>
      <c r="E606" s="1" t="str">
        <f t="shared" si="9"/>
        <v>Oct 2012</v>
      </c>
    </row>
    <row r="607" spans="1:5" ht="10.199999999999999" x14ac:dyDescent="0.25">
      <c r="A607" s="1">
        <v>42</v>
      </c>
      <c r="B607" s="1" t="s">
        <v>10</v>
      </c>
      <c r="C607" s="2">
        <v>41227</v>
      </c>
      <c r="D607" s="3">
        <v>3</v>
      </c>
      <c r="E607" s="1" t="str">
        <f t="shared" si="9"/>
        <v>Nov 2012</v>
      </c>
    </row>
    <row r="608" spans="1:5" ht="10.199999999999999" x14ac:dyDescent="0.25">
      <c r="A608" s="1">
        <v>43</v>
      </c>
      <c r="B608" s="1" t="s">
        <v>9</v>
      </c>
      <c r="C608" s="2">
        <v>41092</v>
      </c>
      <c r="D608" s="3">
        <v>3000</v>
      </c>
      <c r="E608" s="1" t="str">
        <f t="shared" si="9"/>
        <v>Jul 2012</v>
      </c>
    </row>
    <row r="609" spans="1:5" ht="10.199999999999999" x14ac:dyDescent="0.25">
      <c r="A609" s="1">
        <v>43</v>
      </c>
      <c r="B609" s="1" t="s">
        <v>9</v>
      </c>
      <c r="C609" s="2">
        <v>41094</v>
      </c>
      <c r="D609" s="3">
        <v>3000</v>
      </c>
      <c r="E609" s="1" t="str">
        <f t="shared" si="9"/>
        <v>Jul 2012</v>
      </c>
    </row>
    <row r="610" spans="1:5" ht="10.199999999999999" x14ac:dyDescent="0.25">
      <c r="A610" s="1">
        <v>43</v>
      </c>
      <c r="B610" s="1" t="s">
        <v>9</v>
      </c>
      <c r="C610" s="2">
        <v>41096</v>
      </c>
      <c r="D610" s="3">
        <v>3000</v>
      </c>
      <c r="E610" s="1" t="str">
        <f t="shared" si="9"/>
        <v>Jul 2012</v>
      </c>
    </row>
    <row r="611" spans="1:5" ht="10.199999999999999" x14ac:dyDescent="0.25">
      <c r="A611" s="1">
        <v>44</v>
      </c>
      <c r="B611" s="1" t="s">
        <v>10</v>
      </c>
      <c r="C611" s="2">
        <v>41195</v>
      </c>
      <c r="D611" s="3">
        <v>2</v>
      </c>
      <c r="E611" s="1" t="str">
        <f t="shared" si="9"/>
        <v>Oct 2012</v>
      </c>
    </row>
    <row r="612" spans="1:5" ht="10.199999999999999" x14ac:dyDescent="0.25">
      <c r="A612" s="1">
        <v>45</v>
      </c>
      <c r="B612" s="1" t="s">
        <v>10</v>
      </c>
      <c r="C612" s="2">
        <v>41227</v>
      </c>
      <c r="D612" s="3">
        <v>2</v>
      </c>
      <c r="E612" s="1" t="str">
        <f t="shared" si="9"/>
        <v>Nov 2012</v>
      </c>
    </row>
    <row r="613" spans="1:5" ht="10.199999999999999" x14ac:dyDescent="0.25">
      <c r="A613" s="1">
        <v>46</v>
      </c>
      <c r="B613" s="1" t="s">
        <v>9</v>
      </c>
      <c r="C613" s="2">
        <v>41096</v>
      </c>
      <c r="D613" s="3">
        <v>10600</v>
      </c>
      <c r="E613" s="1" t="str">
        <f t="shared" si="9"/>
        <v>Jul 2012</v>
      </c>
    </row>
    <row r="614" spans="1:5" ht="10.199999999999999" x14ac:dyDescent="0.25">
      <c r="A614" s="1">
        <v>46</v>
      </c>
      <c r="B614" s="1" t="s">
        <v>9</v>
      </c>
      <c r="C614" s="2">
        <v>41099</v>
      </c>
      <c r="D614" s="3">
        <v>10600</v>
      </c>
      <c r="E614" s="1" t="str">
        <f t="shared" si="9"/>
        <v>Jul 2012</v>
      </c>
    </row>
    <row r="615" spans="1:5" ht="10.199999999999999" x14ac:dyDescent="0.25">
      <c r="A615" s="1">
        <v>46</v>
      </c>
      <c r="B615" s="1" t="s">
        <v>9</v>
      </c>
      <c r="C615" s="2">
        <v>41101</v>
      </c>
      <c r="D615" s="3">
        <v>10600</v>
      </c>
      <c r="E615" s="1" t="str">
        <f t="shared" si="9"/>
        <v>Jul 2012</v>
      </c>
    </row>
    <row r="616" spans="1:5" ht="10.199999999999999" x14ac:dyDescent="0.25">
      <c r="A616" s="1">
        <v>46</v>
      </c>
      <c r="B616" s="1" t="s">
        <v>9</v>
      </c>
      <c r="C616" s="2">
        <v>41103</v>
      </c>
      <c r="D616" s="3">
        <v>10600</v>
      </c>
      <c r="E616" s="1" t="str">
        <f t="shared" si="9"/>
        <v>Jul 2012</v>
      </c>
    </row>
    <row r="617" spans="1:5" ht="10.199999999999999" x14ac:dyDescent="0.25">
      <c r="A617" s="1">
        <v>46</v>
      </c>
      <c r="B617" s="1" t="s">
        <v>9</v>
      </c>
      <c r="C617" s="2">
        <v>41106</v>
      </c>
      <c r="D617" s="3">
        <v>10600</v>
      </c>
      <c r="E617" s="1" t="str">
        <f t="shared" si="9"/>
        <v>Jul 2012</v>
      </c>
    </row>
    <row r="618" spans="1:5" ht="10.199999999999999" x14ac:dyDescent="0.25">
      <c r="A618" s="1">
        <v>46</v>
      </c>
      <c r="B618" s="1" t="s">
        <v>9</v>
      </c>
      <c r="C618" s="2">
        <v>41108</v>
      </c>
      <c r="D618" s="3">
        <v>10600</v>
      </c>
      <c r="E618" s="1" t="str">
        <f t="shared" si="9"/>
        <v>Jul 2012</v>
      </c>
    </row>
    <row r="619" spans="1:5" ht="10.199999999999999" x14ac:dyDescent="0.25">
      <c r="A619" s="1">
        <v>46</v>
      </c>
      <c r="B619" s="1" t="s">
        <v>9</v>
      </c>
      <c r="C619" s="2">
        <v>41110</v>
      </c>
      <c r="D619" s="3">
        <v>10600</v>
      </c>
      <c r="E619" s="1" t="str">
        <f t="shared" si="9"/>
        <v>Jul 2012</v>
      </c>
    </row>
    <row r="620" spans="1:5" ht="10.199999999999999" x14ac:dyDescent="0.25">
      <c r="A620" s="1">
        <v>46</v>
      </c>
      <c r="B620" s="1" t="s">
        <v>9</v>
      </c>
      <c r="C620" s="2">
        <v>41113</v>
      </c>
      <c r="D620" s="3">
        <v>10600</v>
      </c>
      <c r="E620" s="1" t="str">
        <f t="shared" si="9"/>
        <v>Jul 2012</v>
      </c>
    </row>
    <row r="621" spans="1:5" ht="10.199999999999999" x14ac:dyDescent="0.25">
      <c r="A621" s="1">
        <v>46</v>
      </c>
      <c r="B621" s="1" t="s">
        <v>9</v>
      </c>
      <c r="C621" s="2">
        <v>41115</v>
      </c>
      <c r="D621" s="3">
        <v>10600</v>
      </c>
      <c r="E621" s="1" t="str">
        <f t="shared" si="9"/>
        <v>Jul 2012</v>
      </c>
    </row>
    <row r="622" spans="1:5" ht="10.199999999999999" x14ac:dyDescent="0.25">
      <c r="A622" s="1">
        <v>46</v>
      </c>
      <c r="B622" s="1" t="s">
        <v>9</v>
      </c>
      <c r="C622" s="2">
        <v>41117</v>
      </c>
      <c r="D622" s="3">
        <v>10600</v>
      </c>
      <c r="E622" s="1" t="str">
        <f t="shared" si="9"/>
        <v>Jul 2012</v>
      </c>
    </row>
    <row r="623" spans="1:5" ht="10.199999999999999" x14ac:dyDescent="0.25">
      <c r="A623" s="1">
        <v>46</v>
      </c>
      <c r="B623" s="1" t="s">
        <v>9</v>
      </c>
      <c r="C623" s="2">
        <v>41120</v>
      </c>
      <c r="D623" s="3">
        <v>10600</v>
      </c>
      <c r="E623" s="1" t="str">
        <f t="shared" si="9"/>
        <v>Jul 2012</v>
      </c>
    </row>
    <row r="624" spans="1:5" ht="10.199999999999999" x14ac:dyDescent="0.25">
      <c r="A624" s="1">
        <v>46</v>
      </c>
      <c r="B624" s="1" t="s">
        <v>9</v>
      </c>
      <c r="C624" s="2">
        <v>41122</v>
      </c>
      <c r="D624" s="3">
        <v>10600</v>
      </c>
      <c r="E624" s="1" t="str">
        <f t="shared" si="9"/>
        <v>Aug 2012</v>
      </c>
    </row>
    <row r="625" spans="1:5" ht="10.199999999999999" x14ac:dyDescent="0.25">
      <c r="A625" s="1">
        <v>46</v>
      </c>
      <c r="B625" s="1" t="s">
        <v>9</v>
      </c>
      <c r="C625" s="2">
        <v>41124</v>
      </c>
      <c r="D625" s="3">
        <v>10600</v>
      </c>
      <c r="E625" s="1" t="str">
        <f t="shared" si="9"/>
        <v>Aug 2012</v>
      </c>
    </row>
    <row r="626" spans="1:5" ht="10.199999999999999" x14ac:dyDescent="0.25">
      <c r="A626" s="1">
        <v>46</v>
      </c>
      <c r="B626" s="1" t="s">
        <v>9</v>
      </c>
      <c r="C626" s="2">
        <v>41127</v>
      </c>
      <c r="D626" s="3">
        <v>11700</v>
      </c>
      <c r="E626" s="1" t="str">
        <f t="shared" si="9"/>
        <v>Aug 2012</v>
      </c>
    </row>
    <row r="627" spans="1:5" ht="10.199999999999999" x14ac:dyDescent="0.25">
      <c r="A627" s="1">
        <v>46</v>
      </c>
      <c r="B627" s="1" t="s">
        <v>9</v>
      </c>
      <c r="C627" s="2">
        <v>41129</v>
      </c>
      <c r="D627" s="3">
        <v>11700</v>
      </c>
      <c r="E627" s="1" t="str">
        <f t="shared" si="9"/>
        <v>Aug 2012</v>
      </c>
    </row>
    <row r="628" spans="1:5" ht="10.199999999999999" x14ac:dyDescent="0.25">
      <c r="A628" s="1">
        <v>46</v>
      </c>
      <c r="B628" s="1" t="s">
        <v>9</v>
      </c>
      <c r="C628" s="2">
        <v>41131</v>
      </c>
      <c r="D628" s="3">
        <v>11700</v>
      </c>
      <c r="E628" s="1" t="str">
        <f t="shared" si="9"/>
        <v>Aug 2012</v>
      </c>
    </row>
    <row r="629" spans="1:5" ht="10.199999999999999" x14ac:dyDescent="0.25">
      <c r="A629" s="1">
        <v>46</v>
      </c>
      <c r="B629" s="1" t="s">
        <v>9</v>
      </c>
      <c r="C629" s="2">
        <v>41134</v>
      </c>
      <c r="D629" s="3">
        <v>11700</v>
      </c>
      <c r="E629" s="1" t="str">
        <f t="shared" si="9"/>
        <v>Aug 2012</v>
      </c>
    </row>
    <row r="630" spans="1:5" ht="10.199999999999999" x14ac:dyDescent="0.25">
      <c r="A630" s="1">
        <v>46</v>
      </c>
      <c r="B630" s="1" t="s">
        <v>9</v>
      </c>
      <c r="C630" s="2">
        <v>41136</v>
      </c>
      <c r="D630" s="3">
        <v>11700</v>
      </c>
      <c r="E630" s="1" t="str">
        <f t="shared" si="9"/>
        <v>Aug 2012</v>
      </c>
    </row>
    <row r="631" spans="1:5" ht="10.199999999999999" x14ac:dyDescent="0.25">
      <c r="A631" s="1">
        <v>46</v>
      </c>
      <c r="B631" s="1" t="s">
        <v>9</v>
      </c>
      <c r="C631" s="2">
        <v>41138</v>
      </c>
      <c r="D631" s="3">
        <v>11700</v>
      </c>
      <c r="E631" s="1" t="str">
        <f t="shared" si="9"/>
        <v>Aug 2012</v>
      </c>
    </row>
    <row r="632" spans="1:5" ht="10.199999999999999" x14ac:dyDescent="0.25">
      <c r="A632" s="1">
        <v>46</v>
      </c>
      <c r="B632" s="1" t="s">
        <v>9</v>
      </c>
      <c r="C632" s="2">
        <v>41141</v>
      </c>
      <c r="D632" s="3">
        <v>11700</v>
      </c>
      <c r="E632" s="1" t="str">
        <f t="shared" si="9"/>
        <v>Aug 2012</v>
      </c>
    </row>
    <row r="633" spans="1:5" ht="10.199999999999999" x14ac:dyDescent="0.25">
      <c r="A633" s="1">
        <v>46</v>
      </c>
      <c r="B633" s="1" t="s">
        <v>9</v>
      </c>
      <c r="C633" s="2">
        <v>41143</v>
      </c>
      <c r="D633" s="3">
        <v>11700</v>
      </c>
      <c r="E633" s="1" t="str">
        <f t="shared" si="9"/>
        <v>Aug 2012</v>
      </c>
    </row>
    <row r="634" spans="1:5" ht="10.199999999999999" x14ac:dyDescent="0.25">
      <c r="A634" s="1">
        <v>46</v>
      </c>
      <c r="B634" s="1" t="s">
        <v>9</v>
      </c>
      <c r="C634" s="2">
        <v>41145</v>
      </c>
      <c r="D634" s="3">
        <v>11700</v>
      </c>
      <c r="E634" s="1" t="str">
        <f t="shared" si="9"/>
        <v>Aug 2012</v>
      </c>
    </row>
    <row r="635" spans="1:5" ht="10.199999999999999" x14ac:dyDescent="0.25">
      <c r="A635" s="1">
        <v>46</v>
      </c>
      <c r="B635" s="1" t="s">
        <v>9</v>
      </c>
      <c r="C635" s="2">
        <v>41148</v>
      </c>
      <c r="D635" s="3">
        <v>11700</v>
      </c>
      <c r="E635" s="1" t="str">
        <f t="shared" si="9"/>
        <v>Aug 2012</v>
      </c>
    </row>
    <row r="636" spans="1:5" ht="10.199999999999999" x14ac:dyDescent="0.25">
      <c r="A636" s="1">
        <v>46</v>
      </c>
      <c r="B636" s="1" t="s">
        <v>9</v>
      </c>
      <c r="C636" s="2">
        <v>41150</v>
      </c>
      <c r="D636" s="3">
        <v>11700</v>
      </c>
      <c r="E636" s="1" t="str">
        <f t="shared" si="9"/>
        <v>Aug 2012</v>
      </c>
    </row>
    <row r="637" spans="1:5" ht="10.199999999999999" x14ac:dyDescent="0.25">
      <c r="A637" s="1">
        <v>46</v>
      </c>
      <c r="B637" s="1" t="s">
        <v>9</v>
      </c>
      <c r="C637" s="2">
        <v>41152</v>
      </c>
      <c r="D637" s="3">
        <v>11700</v>
      </c>
      <c r="E637" s="1" t="str">
        <f t="shared" si="9"/>
        <v>Aug 2012</v>
      </c>
    </row>
    <row r="638" spans="1:5" ht="10.199999999999999" x14ac:dyDescent="0.25">
      <c r="A638" s="1">
        <v>46</v>
      </c>
      <c r="B638" s="1" t="s">
        <v>9</v>
      </c>
      <c r="C638" s="2">
        <v>41155</v>
      </c>
      <c r="D638" s="3">
        <v>11700</v>
      </c>
      <c r="E638" s="1" t="str">
        <f t="shared" si="9"/>
        <v>Sep 2012</v>
      </c>
    </row>
    <row r="639" spans="1:5" ht="10.199999999999999" x14ac:dyDescent="0.25">
      <c r="A639" s="1">
        <v>46</v>
      </c>
      <c r="B639" s="1" t="s">
        <v>9</v>
      </c>
      <c r="C639" s="2">
        <v>41157</v>
      </c>
      <c r="D639" s="3">
        <v>11700</v>
      </c>
      <c r="E639" s="1" t="str">
        <f t="shared" si="9"/>
        <v>Sep 2012</v>
      </c>
    </row>
    <row r="640" spans="1:5" ht="10.199999999999999" x14ac:dyDescent="0.25">
      <c r="A640" s="1">
        <v>46</v>
      </c>
      <c r="B640" s="1" t="s">
        <v>10</v>
      </c>
      <c r="C640" s="2">
        <v>41164</v>
      </c>
      <c r="D640" s="3">
        <v>13</v>
      </c>
      <c r="E640" s="1" t="str">
        <f t="shared" si="9"/>
        <v>Sep 2012</v>
      </c>
    </row>
    <row r="641" spans="1:5" ht="10.199999999999999" x14ac:dyDescent="0.25">
      <c r="A641" s="1">
        <v>46</v>
      </c>
      <c r="B641" s="1" t="s">
        <v>10</v>
      </c>
      <c r="C641" s="2">
        <v>41197</v>
      </c>
      <c r="D641" s="3">
        <v>8</v>
      </c>
      <c r="E641" s="1" t="str">
        <f t="shared" si="9"/>
        <v>Oct 2012</v>
      </c>
    </row>
    <row r="642" spans="1:5" ht="10.199999999999999" x14ac:dyDescent="0.25">
      <c r="A642" s="1">
        <v>46</v>
      </c>
      <c r="B642" s="1" t="s">
        <v>10</v>
      </c>
      <c r="C642" s="2">
        <v>41227</v>
      </c>
      <c r="D642" s="3">
        <v>10</v>
      </c>
      <c r="E642" s="1" t="str">
        <f t="shared" si="9"/>
        <v>Nov 2012</v>
      </c>
    </row>
    <row r="643" spans="1:5" ht="10.199999999999999" x14ac:dyDescent="0.25">
      <c r="A643" s="1">
        <v>47</v>
      </c>
      <c r="B643" s="1" t="s">
        <v>9</v>
      </c>
      <c r="C643" s="2">
        <v>41092</v>
      </c>
      <c r="D643" s="3">
        <v>20000</v>
      </c>
      <c r="E643" s="1" t="str">
        <f t="shared" ref="E643:E706" si="10">TEXT(C643,"mmm yyyy")</f>
        <v>Jul 2012</v>
      </c>
    </row>
    <row r="644" spans="1:5" ht="10.199999999999999" x14ac:dyDescent="0.25">
      <c r="A644" s="1">
        <v>47</v>
      </c>
      <c r="B644" s="1" t="s">
        <v>9</v>
      </c>
      <c r="C644" s="2">
        <v>41094</v>
      </c>
      <c r="D644" s="3">
        <v>20000</v>
      </c>
      <c r="E644" s="1" t="str">
        <f t="shared" si="10"/>
        <v>Jul 2012</v>
      </c>
    </row>
    <row r="645" spans="1:5" ht="10.199999999999999" x14ac:dyDescent="0.25">
      <c r="A645" s="1">
        <v>47</v>
      </c>
      <c r="B645" s="1" t="s">
        <v>9</v>
      </c>
      <c r="C645" s="2">
        <v>41096</v>
      </c>
      <c r="D645" s="3">
        <v>20000</v>
      </c>
      <c r="E645" s="1" t="str">
        <f t="shared" si="10"/>
        <v>Jul 2012</v>
      </c>
    </row>
    <row r="646" spans="1:5" ht="10.199999999999999" x14ac:dyDescent="0.25">
      <c r="A646" s="1">
        <v>47</v>
      </c>
      <c r="B646" s="1" t="s">
        <v>9</v>
      </c>
      <c r="C646" s="2">
        <v>41099</v>
      </c>
      <c r="D646" s="3">
        <v>20000</v>
      </c>
      <c r="E646" s="1" t="str">
        <f t="shared" si="10"/>
        <v>Jul 2012</v>
      </c>
    </row>
    <row r="647" spans="1:5" ht="10.199999999999999" x14ac:dyDescent="0.25">
      <c r="A647" s="1">
        <v>47</v>
      </c>
      <c r="B647" s="1" t="s">
        <v>9</v>
      </c>
      <c r="C647" s="2">
        <v>41101</v>
      </c>
      <c r="D647" s="3">
        <v>20000</v>
      </c>
      <c r="E647" s="1" t="str">
        <f t="shared" si="10"/>
        <v>Jul 2012</v>
      </c>
    </row>
    <row r="648" spans="1:5" ht="10.199999999999999" x14ac:dyDescent="0.25">
      <c r="A648" s="1">
        <v>47</v>
      </c>
      <c r="B648" s="1" t="s">
        <v>9</v>
      </c>
      <c r="C648" s="2">
        <v>41103</v>
      </c>
      <c r="D648" s="3">
        <v>20000</v>
      </c>
      <c r="E648" s="1" t="str">
        <f t="shared" si="10"/>
        <v>Jul 2012</v>
      </c>
    </row>
    <row r="649" spans="1:5" ht="10.199999999999999" x14ac:dyDescent="0.25">
      <c r="A649" s="1">
        <v>47</v>
      </c>
      <c r="B649" s="1" t="s">
        <v>9</v>
      </c>
      <c r="C649" s="2">
        <v>41106</v>
      </c>
      <c r="D649" s="3">
        <v>20000</v>
      </c>
      <c r="E649" s="1" t="str">
        <f t="shared" si="10"/>
        <v>Jul 2012</v>
      </c>
    </row>
    <row r="650" spans="1:5" ht="10.199999999999999" x14ac:dyDescent="0.25">
      <c r="A650" s="1">
        <v>47</v>
      </c>
      <c r="B650" s="1" t="s">
        <v>9</v>
      </c>
      <c r="C650" s="2">
        <v>41108</v>
      </c>
      <c r="D650" s="3">
        <v>20000</v>
      </c>
      <c r="E650" s="1" t="str">
        <f t="shared" si="10"/>
        <v>Jul 2012</v>
      </c>
    </row>
    <row r="651" spans="1:5" ht="10.199999999999999" x14ac:dyDescent="0.25">
      <c r="A651" s="1">
        <v>47</v>
      </c>
      <c r="B651" s="1" t="s">
        <v>9</v>
      </c>
      <c r="C651" s="2">
        <v>41110</v>
      </c>
      <c r="D651" s="3">
        <v>18000</v>
      </c>
      <c r="E651" s="1" t="str">
        <f t="shared" si="10"/>
        <v>Jul 2012</v>
      </c>
    </row>
    <row r="652" spans="1:5" ht="10.199999999999999" x14ac:dyDescent="0.25">
      <c r="A652" s="1">
        <v>47</v>
      </c>
      <c r="B652" s="1" t="s">
        <v>9</v>
      </c>
      <c r="C652" s="2">
        <v>41113</v>
      </c>
      <c r="D652" s="3">
        <v>18000</v>
      </c>
      <c r="E652" s="1" t="str">
        <f t="shared" si="10"/>
        <v>Jul 2012</v>
      </c>
    </row>
    <row r="653" spans="1:5" ht="10.199999999999999" x14ac:dyDescent="0.25">
      <c r="A653" s="1">
        <v>47</v>
      </c>
      <c r="B653" s="1" t="s">
        <v>9</v>
      </c>
      <c r="C653" s="2">
        <v>41115</v>
      </c>
      <c r="D653" s="3">
        <v>18000</v>
      </c>
      <c r="E653" s="1" t="str">
        <f t="shared" si="10"/>
        <v>Jul 2012</v>
      </c>
    </row>
    <row r="654" spans="1:5" ht="10.199999999999999" x14ac:dyDescent="0.25">
      <c r="A654" s="1">
        <v>47</v>
      </c>
      <c r="B654" s="1" t="s">
        <v>9</v>
      </c>
      <c r="C654" s="2">
        <v>41117</v>
      </c>
      <c r="D654" s="3">
        <v>18000</v>
      </c>
      <c r="E654" s="1" t="str">
        <f t="shared" si="10"/>
        <v>Jul 2012</v>
      </c>
    </row>
    <row r="655" spans="1:5" ht="10.199999999999999" x14ac:dyDescent="0.25">
      <c r="A655" s="1">
        <v>47</v>
      </c>
      <c r="B655" s="1" t="s">
        <v>9</v>
      </c>
      <c r="C655" s="2">
        <v>41120</v>
      </c>
      <c r="D655" s="3">
        <v>18000</v>
      </c>
      <c r="E655" s="1" t="str">
        <f t="shared" si="10"/>
        <v>Jul 2012</v>
      </c>
    </row>
    <row r="656" spans="1:5" ht="10.199999999999999" x14ac:dyDescent="0.25">
      <c r="A656" s="1">
        <v>47</v>
      </c>
      <c r="B656" s="1" t="s">
        <v>9</v>
      </c>
      <c r="C656" s="2">
        <v>41122</v>
      </c>
      <c r="D656" s="3">
        <v>18000</v>
      </c>
      <c r="E656" s="1" t="str">
        <f t="shared" si="10"/>
        <v>Aug 2012</v>
      </c>
    </row>
    <row r="657" spans="1:5" ht="10.199999999999999" x14ac:dyDescent="0.25">
      <c r="A657" s="1">
        <v>47</v>
      </c>
      <c r="B657" s="1" t="s">
        <v>9</v>
      </c>
      <c r="C657" s="2">
        <v>41124</v>
      </c>
      <c r="D657" s="3">
        <v>18000</v>
      </c>
      <c r="E657" s="1" t="str">
        <f t="shared" si="10"/>
        <v>Aug 2012</v>
      </c>
    </row>
    <row r="658" spans="1:5" ht="10.199999999999999" x14ac:dyDescent="0.25">
      <c r="A658" s="1">
        <v>47</v>
      </c>
      <c r="B658" s="1" t="s">
        <v>9</v>
      </c>
      <c r="C658" s="2">
        <v>41127</v>
      </c>
      <c r="D658" s="3">
        <v>18000</v>
      </c>
      <c r="E658" s="1" t="str">
        <f t="shared" si="10"/>
        <v>Aug 2012</v>
      </c>
    </row>
    <row r="659" spans="1:5" ht="10.199999999999999" x14ac:dyDescent="0.25">
      <c r="A659" s="1">
        <v>47</v>
      </c>
      <c r="B659" s="1" t="s">
        <v>9</v>
      </c>
      <c r="C659" s="2">
        <v>41129</v>
      </c>
      <c r="D659" s="3">
        <v>18000</v>
      </c>
      <c r="E659" s="1" t="str">
        <f t="shared" si="10"/>
        <v>Aug 2012</v>
      </c>
    </row>
    <row r="660" spans="1:5" ht="10.199999999999999" x14ac:dyDescent="0.25">
      <c r="A660" s="1">
        <v>47</v>
      </c>
      <c r="B660" s="1" t="s">
        <v>9</v>
      </c>
      <c r="C660" s="2">
        <v>41131</v>
      </c>
      <c r="D660" s="3">
        <v>18000</v>
      </c>
      <c r="E660" s="1" t="str">
        <f t="shared" si="10"/>
        <v>Aug 2012</v>
      </c>
    </row>
    <row r="661" spans="1:5" ht="10.199999999999999" x14ac:dyDescent="0.25">
      <c r="A661" s="1">
        <v>47</v>
      </c>
      <c r="B661" s="1" t="s">
        <v>9</v>
      </c>
      <c r="C661" s="2">
        <v>41134</v>
      </c>
      <c r="D661" s="3">
        <v>18000</v>
      </c>
      <c r="E661" s="1" t="str">
        <f t="shared" si="10"/>
        <v>Aug 2012</v>
      </c>
    </row>
    <row r="662" spans="1:5" ht="10.199999999999999" x14ac:dyDescent="0.25">
      <c r="A662" s="1">
        <v>47</v>
      </c>
      <c r="B662" s="1" t="s">
        <v>9</v>
      </c>
      <c r="C662" s="2">
        <v>41136</v>
      </c>
      <c r="D662" s="3">
        <v>18000</v>
      </c>
      <c r="E662" s="1" t="str">
        <f t="shared" si="10"/>
        <v>Aug 2012</v>
      </c>
    </row>
    <row r="663" spans="1:5" ht="10.199999999999999" x14ac:dyDescent="0.25">
      <c r="A663" s="1">
        <v>47</v>
      </c>
      <c r="B663" s="1" t="s">
        <v>9</v>
      </c>
      <c r="C663" s="2">
        <v>41138</v>
      </c>
      <c r="D663" s="3">
        <v>18000</v>
      </c>
      <c r="E663" s="1" t="str">
        <f t="shared" si="10"/>
        <v>Aug 2012</v>
      </c>
    </row>
    <row r="664" spans="1:5" ht="10.199999999999999" x14ac:dyDescent="0.25">
      <c r="A664" s="1">
        <v>47</v>
      </c>
      <c r="B664" s="1" t="s">
        <v>9</v>
      </c>
      <c r="C664" s="2">
        <v>41141</v>
      </c>
      <c r="D664" s="3">
        <v>18000</v>
      </c>
      <c r="E664" s="1" t="str">
        <f t="shared" si="10"/>
        <v>Aug 2012</v>
      </c>
    </row>
    <row r="665" spans="1:5" ht="10.199999999999999" x14ac:dyDescent="0.25">
      <c r="A665" s="1">
        <v>47</v>
      </c>
      <c r="B665" s="1" t="s">
        <v>9</v>
      </c>
      <c r="C665" s="2">
        <v>41143</v>
      </c>
      <c r="D665" s="3">
        <v>18000</v>
      </c>
      <c r="E665" s="1" t="str">
        <f t="shared" si="10"/>
        <v>Aug 2012</v>
      </c>
    </row>
    <row r="666" spans="1:5" ht="10.199999999999999" x14ac:dyDescent="0.25">
      <c r="A666" s="1">
        <v>47</v>
      </c>
      <c r="B666" s="1" t="s">
        <v>9</v>
      </c>
      <c r="C666" s="2">
        <v>41145</v>
      </c>
      <c r="D666" s="3">
        <v>18000</v>
      </c>
      <c r="E666" s="1" t="str">
        <f t="shared" si="10"/>
        <v>Aug 2012</v>
      </c>
    </row>
    <row r="667" spans="1:5" ht="10.199999999999999" x14ac:dyDescent="0.25">
      <c r="A667" s="1">
        <v>47</v>
      </c>
      <c r="B667" s="1" t="s">
        <v>9</v>
      </c>
      <c r="C667" s="2">
        <v>41148</v>
      </c>
      <c r="D667" s="3">
        <v>18000</v>
      </c>
      <c r="E667" s="1" t="str">
        <f t="shared" si="10"/>
        <v>Aug 2012</v>
      </c>
    </row>
    <row r="668" spans="1:5" ht="10.199999999999999" x14ac:dyDescent="0.25">
      <c r="A668" s="1">
        <v>47</v>
      </c>
      <c r="B668" s="1" t="s">
        <v>9</v>
      </c>
      <c r="C668" s="2">
        <v>41150</v>
      </c>
      <c r="D668" s="3">
        <v>18000</v>
      </c>
      <c r="E668" s="1" t="str">
        <f t="shared" si="10"/>
        <v>Aug 2012</v>
      </c>
    </row>
    <row r="669" spans="1:5" ht="10.199999999999999" x14ac:dyDescent="0.25">
      <c r="A669" s="1">
        <v>47</v>
      </c>
      <c r="B669" s="1" t="s">
        <v>9</v>
      </c>
      <c r="C669" s="2">
        <v>41152</v>
      </c>
      <c r="D669" s="3">
        <v>18000</v>
      </c>
      <c r="E669" s="1" t="str">
        <f t="shared" si="10"/>
        <v>Aug 2012</v>
      </c>
    </row>
    <row r="670" spans="1:5" ht="10.199999999999999" x14ac:dyDescent="0.25">
      <c r="A670" s="1">
        <v>47</v>
      </c>
      <c r="B670" s="1" t="s">
        <v>9</v>
      </c>
      <c r="C670" s="2">
        <v>41155</v>
      </c>
      <c r="D670" s="3">
        <v>18000</v>
      </c>
      <c r="E670" s="1" t="str">
        <f t="shared" si="10"/>
        <v>Sep 2012</v>
      </c>
    </row>
    <row r="671" spans="1:5" ht="10.199999999999999" x14ac:dyDescent="0.25">
      <c r="A671" s="1">
        <v>47</v>
      </c>
      <c r="B671" s="1" t="s">
        <v>9</v>
      </c>
      <c r="C671" s="2">
        <v>41157</v>
      </c>
      <c r="D671" s="3">
        <v>18000</v>
      </c>
      <c r="E671" s="1" t="str">
        <f t="shared" si="10"/>
        <v>Sep 2012</v>
      </c>
    </row>
    <row r="672" spans="1:5" ht="10.199999999999999" x14ac:dyDescent="0.25">
      <c r="A672" s="1">
        <v>47</v>
      </c>
      <c r="B672" s="1" t="s">
        <v>10</v>
      </c>
      <c r="C672" s="2">
        <v>41164</v>
      </c>
      <c r="D672" s="3">
        <v>16</v>
      </c>
      <c r="E672" s="1" t="str">
        <f t="shared" si="10"/>
        <v>Sep 2012</v>
      </c>
    </row>
    <row r="673" spans="1:5" ht="10.199999999999999" x14ac:dyDescent="0.25">
      <c r="A673" s="1">
        <v>47</v>
      </c>
      <c r="B673" s="1" t="s">
        <v>10</v>
      </c>
      <c r="C673" s="2">
        <v>41192</v>
      </c>
      <c r="D673" s="3">
        <v>20</v>
      </c>
      <c r="E673" s="1" t="str">
        <f t="shared" si="10"/>
        <v>Oct 2012</v>
      </c>
    </row>
    <row r="674" spans="1:5" ht="10.199999999999999" x14ac:dyDescent="0.25">
      <c r="A674" s="1">
        <v>47</v>
      </c>
      <c r="B674" s="1" t="s">
        <v>10</v>
      </c>
      <c r="C674" s="2">
        <v>41227</v>
      </c>
      <c r="D674" s="3">
        <v>20</v>
      </c>
      <c r="E674" s="1" t="str">
        <f t="shared" si="10"/>
        <v>Nov 2012</v>
      </c>
    </row>
    <row r="675" spans="1:5" ht="10.199999999999999" x14ac:dyDescent="0.25">
      <c r="A675" s="1">
        <v>48</v>
      </c>
      <c r="B675" s="1" t="s">
        <v>9</v>
      </c>
      <c r="C675" s="2">
        <v>41092</v>
      </c>
      <c r="D675" s="3">
        <v>3200</v>
      </c>
      <c r="E675" s="1" t="str">
        <f t="shared" si="10"/>
        <v>Jul 2012</v>
      </c>
    </row>
    <row r="676" spans="1:5" ht="10.199999999999999" x14ac:dyDescent="0.25">
      <c r="A676" s="1">
        <v>48</v>
      </c>
      <c r="B676" s="1" t="s">
        <v>9</v>
      </c>
      <c r="C676" s="2">
        <v>41094</v>
      </c>
      <c r="D676" s="3">
        <v>3200</v>
      </c>
      <c r="E676" s="1" t="str">
        <f t="shared" si="10"/>
        <v>Jul 2012</v>
      </c>
    </row>
    <row r="677" spans="1:5" ht="10.199999999999999" x14ac:dyDescent="0.25">
      <c r="A677" s="1">
        <v>48</v>
      </c>
      <c r="B677" s="1" t="s">
        <v>9</v>
      </c>
      <c r="C677" s="2">
        <v>41096</v>
      </c>
      <c r="D677" s="3">
        <v>3200</v>
      </c>
      <c r="E677" s="1" t="str">
        <f t="shared" si="10"/>
        <v>Jul 2012</v>
      </c>
    </row>
    <row r="678" spans="1:5" ht="10.199999999999999" x14ac:dyDescent="0.25">
      <c r="A678" s="1">
        <v>48</v>
      </c>
      <c r="B678" s="1" t="s">
        <v>9</v>
      </c>
      <c r="C678" s="2">
        <v>41099</v>
      </c>
      <c r="D678" s="3">
        <v>3200</v>
      </c>
      <c r="E678" s="1" t="str">
        <f t="shared" si="10"/>
        <v>Jul 2012</v>
      </c>
    </row>
    <row r="679" spans="1:5" ht="10.199999999999999" x14ac:dyDescent="0.25">
      <c r="A679" s="1">
        <v>48</v>
      </c>
      <c r="B679" s="1" t="s">
        <v>9</v>
      </c>
      <c r="C679" s="2">
        <v>41101</v>
      </c>
      <c r="D679" s="3">
        <v>3200</v>
      </c>
      <c r="E679" s="1" t="str">
        <f t="shared" si="10"/>
        <v>Jul 2012</v>
      </c>
    </row>
    <row r="680" spans="1:5" ht="10.199999999999999" x14ac:dyDescent="0.25">
      <c r="A680" s="1">
        <v>48</v>
      </c>
      <c r="B680" s="1" t="s">
        <v>9</v>
      </c>
      <c r="C680" s="2">
        <v>41103</v>
      </c>
      <c r="D680" s="3">
        <v>3200</v>
      </c>
      <c r="E680" s="1" t="str">
        <f t="shared" si="10"/>
        <v>Jul 2012</v>
      </c>
    </row>
    <row r="681" spans="1:5" ht="10.199999999999999" x14ac:dyDescent="0.25">
      <c r="A681" s="1">
        <v>48</v>
      </c>
      <c r="B681" s="1" t="s">
        <v>9</v>
      </c>
      <c r="C681" s="2">
        <v>41106</v>
      </c>
      <c r="D681" s="3">
        <v>3200</v>
      </c>
      <c r="E681" s="1" t="str">
        <f t="shared" si="10"/>
        <v>Jul 2012</v>
      </c>
    </row>
    <row r="682" spans="1:5" ht="10.199999999999999" x14ac:dyDescent="0.25">
      <c r="A682" s="1">
        <v>48</v>
      </c>
      <c r="B682" s="1" t="s">
        <v>9</v>
      </c>
      <c r="C682" s="2">
        <v>41108</v>
      </c>
      <c r="D682" s="3">
        <v>3200</v>
      </c>
      <c r="E682" s="1" t="str">
        <f t="shared" si="10"/>
        <v>Jul 2012</v>
      </c>
    </row>
    <row r="683" spans="1:5" ht="10.199999999999999" x14ac:dyDescent="0.25">
      <c r="A683" s="1">
        <v>48</v>
      </c>
      <c r="B683" s="1" t="s">
        <v>9</v>
      </c>
      <c r="C683" s="2">
        <v>41110</v>
      </c>
      <c r="D683" s="3">
        <v>2900</v>
      </c>
      <c r="E683" s="1" t="str">
        <f t="shared" si="10"/>
        <v>Jul 2012</v>
      </c>
    </row>
    <row r="684" spans="1:5" ht="10.199999999999999" x14ac:dyDescent="0.25">
      <c r="A684" s="1">
        <v>48</v>
      </c>
      <c r="B684" s="1" t="s">
        <v>9</v>
      </c>
      <c r="C684" s="2">
        <v>41113</v>
      </c>
      <c r="D684" s="3">
        <v>2900</v>
      </c>
      <c r="E684" s="1" t="str">
        <f t="shared" si="10"/>
        <v>Jul 2012</v>
      </c>
    </row>
    <row r="685" spans="1:5" ht="10.199999999999999" x14ac:dyDescent="0.25">
      <c r="A685" s="1">
        <v>48</v>
      </c>
      <c r="B685" s="1" t="s">
        <v>9</v>
      </c>
      <c r="C685" s="2">
        <v>41115</v>
      </c>
      <c r="D685" s="3">
        <v>2900</v>
      </c>
      <c r="E685" s="1" t="str">
        <f t="shared" si="10"/>
        <v>Jul 2012</v>
      </c>
    </row>
    <row r="686" spans="1:5" ht="10.199999999999999" x14ac:dyDescent="0.25">
      <c r="A686" s="1">
        <v>48</v>
      </c>
      <c r="B686" s="1" t="s">
        <v>9</v>
      </c>
      <c r="C686" s="2">
        <v>41117</v>
      </c>
      <c r="D686" s="3">
        <v>2900</v>
      </c>
      <c r="E686" s="1" t="str">
        <f t="shared" si="10"/>
        <v>Jul 2012</v>
      </c>
    </row>
    <row r="687" spans="1:5" ht="10.199999999999999" x14ac:dyDescent="0.25">
      <c r="A687" s="1">
        <v>48</v>
      </c>
      <c r="B687" s="1" t="s">
        <v>9</v>
      </c>
      <c r="C687" s="2">
        <v>41120</v>
      </c>
      <c r="D687" s="3">
        <v>2900</v>
      </c>
      <c r="E687" s="1" t="str">
        <f t="shared" si="10"/>
        <v>Jul 2012</v>
      </c>
    </row>
    <row r="688" spans="1:5" ht="10.199999999999999" x14ac:dyDescent="0.25">
      <c r="A688" s="1">
        <v>48</v>
      </c>
      <c r="B688" s="1" t="s">
        <v>9</v>
      </c>
      <c r="C688" s="2">
        <v>41122</v>
      </c>
      <c r="D688" s="3">
        <v>2900</v>
      </c>
      <c r="E688" s="1" t="str">
        <f t="shared" si="10"/>
        <v>Aug 2012</v>
      </c>
    </row>
    <row r="689" spans="1:5" ht="10.199999999999999" x14ac:dyDescent="0.25">
      <c r="A689" s="1">
        <v>48</v>
      </c>
      <c r="B689" s="1" t="s">
        <v>9</v>
      </c>
      <c r="C689" s="2">
        <v>41124</v>
      </c>
      <c r="D689" s="3">
        <v>2900</v>
      </c>
      <c r="E689" s="1" t="str">
        <f t="shared" si="10"/>
        <v>Aug 2012</v>
      </c>
    </row>
    <row r="690" spans="1:5" ht="10.199999999999999" x14ac:dyDescent="0.25">
      <c r="A690" s="1">
        <v>48</v>
      </c>
      <c r="B690" s="1" t="s">
        <v>9</v>
      </c>
      <c r="C690" s="2">
        <v>41127</v>
      </c>
      <c r="D690" s="3">
        <v>2900</v>
      </c>
      <c r="E690" s="1" t="str">
        <f t="shared" si="10"/>
        <v>Aug 2012</v>
      </c>
    </row>
    <row r="691" spans="1:5" ht="10.199999999999999" x14ac:dyDescent="0.25">
      <c r="A691" s="1">
        <v>48</v>
      </c>
      <c r="B691" s="1" t="s">
        <v>9</v>
      </c>
      <c r="C691" s="2">
        <v>41129</v>
      </c>
      <c r="D691" s="3">
        <v>2900</v>
      </c>
      <c r="E691" s="1" t="str">
        <f t="shared" si="10"/>
        <v>Aug 2012</v>
      </c>
    </row>
    <row r="692" spans="1:5" ht="10.199999999999999" x14ac:dyDescent="0.25">
      <c r="A692" s="1">
        <v>48</v>
      </c>
      <c r="B692" s="1" t="s">
        <v>9</v>
      </c>
      <c r="C692" s="2">
        <v>41131</v>
      </c>
      <c r="D692" s="3">
        <v>2900</v>
      </c>
      <c r="E692" s="1" t="str">
        <f t="shared" si="10"/>
        <v>Aug 2012</v>
      </c>
    </row>
    <row r="693" spans="1:5" ht="10.199999999999999" x14ac:dyDescent="0.25">
      <c r="A693" s="1">
        <v>48</v>
      </c>
      <c r="B693" s="1" t="s">
        <v>9</v>
      </c>
      <c r="C693" s="2">
        <v>41134</v>
      </c>
      <c r="D693" s="3">
        <v>2900</v>
      </c>
      <c r="E693" s="1" t="str">
        <f t="shared" si="10"/>
        <v>Aug 2012</v>
      </c>
    </row>
    <row r="694" spans="1:5" ht="10.199999999999999" x14ac:dyDescent="0.25">
      <c r="A694" s="1">
        <v>48</v>
      </c>
      <c r="B694" s="1" t="s">
        <v>9</v>
      </c>
      <c r="C694" s="2">
        <v>41136</v>
      </c>
      <c r="D694" s="3">
        <v>2900</v>
      </c>
      <c r="E694" s="1" t="str">
        <f t="shared" si="10"/>
        <v>Aug 2012</v>
      </c>
    </row>
    <row r="695" spans="1:5" ht="10.199999999999999" x14ac:dyDescent="0.25">
      <c r="A695" s="1">
        <v>48</v>
      </c>
      <c r="B695" s="1" t="s">
        <v>9</v>
      </c>
      <c r="C695" s="2">
        <v>41155</v>
      </c>
      <c r="D695" s="3">
        <v>2000</v>
      </c>
      <c r="E695" s="1" t="str">
        <f t="shared" si="10"/>
        <v>Sep 2012</v>
      </c>
    </row>
    <row r="696" spans="1:5" ht="10.199999999999999" x14ac:dyDescent="0.25">
      <c r="A696" s="1">
        <v>48</v>
      </c>
      <c r="B696" s="1" t="s">
        <v>9</v>
      </c>
      <c r="C696" s="2">
        <v>41157</v>
      </c>
      <c r="D696" s="3">
        <v>2000</v>
      </c>
      <c r="E696" s="1" t="str">
        <f t="shared" si="10"/>
        <v>Sep 2012</v>
      </c>
    </row>
    <row r="697" spans="1:5" ht="10.199999999999999" x14ac:dyDescent="0.25">
      <c r="A697" s="1">
        <v>48</v>
      </c>
      <c r="B697" s="1" t="s">
        <v>10</v>
      </c>
      <c r="C697" s="2">
        <v>41164</v>
      </c>
      <c r="D697" s="3">
        <v>4</v>
      </c>
      <c r="E697" s="1" t="str">
        <f t="shared" si="10"/>
        <v>Sep 2012</v>
      </c>
    </row>
    <row r="698" spans="1:5" ht="10.199999999999999" x14ac:dyDescent="0.25">
      <c r="A698" s="1">
        <v>48</v>
      </c>
      <c r="B698" s="1" t="s">
        <v>10</v>
      </c>
      <c r="C698" s="2">
        <v>41192</v>
      </c>
      <c r="D698" s="3">
        <v>3</v>
      </c>
      <c r="E698" s="1" t="str">
        <f t="shared" si="10"/>
        <v>Oct 2012</v>
      </c>
    </row>
    <row r="699" spans="1:5" ht="10.199999999999999" x14ac:dyDescent="0.25">
      <c r="A699" s="1">
        <v>48</v>
      </c>
      <c r="B699" s="1" t="s">
        <v>10</v>
      </c>
      <c r="C699" s="2">
        <v>41227</v>
      </c>
      <c r="D699" s="3">
        <v>5</v>
      </c>
      <c r="E699" s="1" t="str">
        <f t="shared" si="10"/>
        <v>Nov 2012</v>
      </c>
    </row>
    <row r="700" spans="1:5" ht="10.199999999999999" x14ac:dyDescent="0.25">
      <c r="A700" s="1">
        <v>49</v>
      </c>
      <c r="B700" s="1" t="s">
        <v>9</v>
      </c>
      <c r="C700" s="2">
        <v>41093</v>
      </c>
      <c r="D700" s="3">
        <v>1700</v>
      </c>
      <c r="E700" s="1" t="str">
        <f t="shared" si="10"/>
        <v>Jul 2012</v>
      </c>
    </row>
    <row r="701" spans="1:5" ht="10.199999999999999" x14ac:dyDescent="0.25">
      <c r="A701" s="1">
        <v>49</v>
      </c>
      <c r="B701" s="1" t="s">
        <v>9</v>
      </c>
      <c r="C701" s="2">
        <v>41095</v>
      </c>
      <c r="D701" s="3">
        <v>1700</v>
      </c>
      <c r="E701" s="1" t="str">
        <f t="shared" si="10"/>
        <v>Jul 2012</v>
      </c>
    </row>
    <row r="702" spans="1:5" ht="10.199999999999999" x14ac:dyDescent="0.25">
      <c r="A702" s="1">
        <v>49</v>
      </c>
      <c r="B702" s="1" t="s">
        <v>9</v>
      </c>
      <c r="C702" s="2">
        <v>41111</v>
      </c>
      <c r="D702" s="3">
        <v>1700</v>
      </c>
      <c r="E702" s="1" t="str">
        <f t="shared" si="10"/>
        <v>Jul 2012</v>
      </c>
    </row>
    <row r="703" spans="1:5" ht="10.199999999999999" x14ac:dyDescent="0.25">
      <c r="A703" s="1">
        <v>49</v>
      </c>
      <c r="B703" s="1" t="s">
        <v>9</v>
      </c>
      <c r="C703" s="2">
        <v>41114</v>
      </c>
      <c r="D703" s="3">
        <v>1700</v>
      </c>
      <c r="E703" s="1" t="str">
        <f t="shared" si="10"/>
        <v>Jul 2012</v>
      </c>
    </row>
    <row r="704" spans="1:5" ht="10.199999999999999" x14ac:dyDescent="0.25">
      <c r="A704" s="1">
        <v>49</v>
      </c>
      <c r="B704" s="1" t="s">
        <v>9</v>
      </c>
      <c r="C704" s="2">
        <v>41116</v>
      </c>
      <c r="D704" s="3">
        <v>1700</v>
      </c>
      <c r="E704" s="1" t="str">
        <f t="shared" si="10"/>
        <v>Jul 2012</v>
      </c>
    </row>
    <row r="705" spans="1:5" ht="10.199999999999999" x14ac:dyDescent="0.25">
      <c r="A705" s="1">
        <v>49</v>
      </c>
      <c r="B705" s="1" t="s">
        <v>9</v>
      </c>
      <c r="C705" s="2">
        <v>41118</v>
      </c>
      <c r="D705" s="3">
        <v>1700</v>
      </c>
      <c r="E705" s="1" t="str">
        <f t="shared" si="10"/>
        <v>Jul 2012</v>
      </c>
    </row>
    <row r="706" spans="1:5" ht="10.199999999999999" x14ac:dyDescent="0.25">
      <c r="A706" s="1">
        <v>49</v>
      </c>
      <c r="B706" s="1" t="s">
        <v>9</v>
      </c>
      <c r="C706" s="2">
        <v>41121</v>
      </c>
      <c r="D706" s="3">
        <v>1700</v>
      </c>
      <c r="E706" s="1" t="str">
        <f t="shared" si="10"/>
        <v>Jul 2012</v>
      </c>
    </row>
    <row r="707" spans="1:5" ht="10.199999999999999" x14ac:dyDescent="0.25">
      <c r="A707" s="1">
        <v>49</v>
      </c>
      <c r="B707" s="1" t="s">
        <v>9</v>
      </c>
      <c r="C707" s="2">
        <v>41123</v>
      </c>
      <c r="D707" s="3">
        <v>1700</v>
      </c>
      <c r="E707" s="1" t="str">
        <f t="shared" ref="E707:E770" si="11">TEXT(C707,"mmm yyyy")</f>
        <v>Aug 2012</v>
      </c>
    </row>
    <row r="708" spans="1:5" ht="10.199999999999999" x14ac:dyDescent="0.25">
      <c r="A708" s="1">
        <v>49</v>
      </c>
      <c r="B708" s="1" t="s">
        <v>9</v>
      </c>
      <c r="C708" s="2">
        <v>41125</v>
      </c>
      <c r="D708" s="3">
        <v>1700</v>
      </c>
      <c r="E708" s="1" t="str">
        <f t="shared" si="11"/>
        <v>Aug 2012</v>
      </c>
    </row>
    <row r="709" spans="1:5" ht="10.199999999999999" x14ac:dyDescent="0.25">
      <c r="A709" s="1">
        <v>49</v>
      </c>
      <c r="B709" s="1" t="s">
        <v>9</v>
      </c>
      <c r="C709" s="2">
        <v>41128</v>
      </c>
      <c r="D709" s="3">
        <v>1700</v>
      </c>
      <c r="E709" s="1" t="str">
        <f t="shared" si="11"/>
        <v>Aug 2012</v>
      </c>
    </row>
    <row r="710" spans="1:5" ht="10.199999999999999" x14ac:dyDescent="0.25">
      <c r="A710" s="1">
        <v>49</v>
      </c>
      <c r="B710" s="1" t="s">
        <v>9</v>
      </c>
      <c r="C710" s="2">
        <v>41130</v>
      </c>
      <c r="D710" s="3">
        <v>1700</v>
      </c>
      <c r="E710" s="1" t="str">
        <f t="shared" si="11"/>
        <v>Aug 2012</v>
      </c>
    </row>
    <row r="711" spans="1:5" ht="10.199999999999999" x14ac:dyDescent="0.25">
      <c r="A711" s="1">
        <v>49</v>
      </c>
      <c r="B711" s="1" t="s">
        <v>9</v>
      </c>
      <c r="C711" s="2">
        <v>41132</v>
      </c>
      <c r="D711" s="3">
        <v>1700</v>
      </c>
      <c r="E711" s="1" t="str">
        <f t="shared" si="11"/>
        <v>Aug 2012</v>
      </c>
    </row>
    <row r="712" spans="1:5" ht="10.199999999999999" x14ac:dyDescent="0.25">
      <c r="A712" s="1">
        <v>49</v>
      </c>
      <c r="B712" s="1" t="s">
        <v>9</v>
      </c>
      <c r="C712" s="2">
        <v>41135</v>
      </c>
      <c r="D712" s="3">
        <v>1700</v>
      </c>
      <c r="E712" s="1" t="str">
        <f t="shared" si="11"/>
        <v>Aug 2012</v>
      </c>
    </row>
    <row r="713" spans="1:5" ht="10.199999999999999" x14ac:dyDescent="0.25">
      <c r="A713" s="1">
        <v>49</v>
      </c>
      <c r="B713" s="1" t="s">
        <v>9</v>
      </c>
      <c r="C713" s="2">
        <v>41137</v>
      </c>
      <c r="D713" s="3">
        <v>1700</v>
      </c>
      <c r="E713" s="1" t="str">
        <f t="shared" si="11"/>
        <v>Aug 2012</v>
      </c>
    </row>
    <row r="714" spans="1:5" ht="10.199999999999999" x14ac:dyDescent="0.25">
      <c r="A714" s="1">
        <v>49</v>
      </c>
      <c r="B714" s="1" t="s">
        <v>9</v>
      </c>
      <c r="C714" s="2">
        <v>41142</v>
      </c>
      <c r="D714" s="3">
        <v>1700</v>
      </c>
      <c r="E714" s="1" t="str">
        <f t="shared" si="11"/>
        <v>Aug 2012</v>
      </c>
    </row>
    <row r="715" spans="1:5" ht="10.199999999999999" x14ac:dyDescent="0.25">
      <c r="A715" s="1">
        <v>49</v>
      </c>
      <c r="B715" s="1" t="s">
        <v>9</v>
      </c>
      <c r="C715" s="2">
        <v>41144</v>
      </c>
      <c r="D715" s="3">
        <v>1700</v>
      </c>
      <c r="E715" s="1" t="str">
        <f t="shared" si="11"/>
        <v>Aug 2012</v>
      </c>
    </row>
    <row r="716" spans="1:5" ht="10.199999999999999" x14ac:dyDescent="0.25">
      <c r="A716" s="1">
        <v>49</v>
      </c>
      <c r="B716" s="1" t="s">
        <v>9</v>
      </c>
      <c r="C716" s="2">
        <v>41146</v>
      </c>
      <c r="D716" s="3">
        <v>1700</v>
      </c>
      <c r="E716" s="1" t="str">
        <f t="shared" si="11"/>
        <v>Aug 2012</v>
      </c>
    </row>
    <row r="717" spans="1:5" ht="10.199999999999999" x14ac:dyDescent="0.25">
      <c r="A717" s="1">
        <v>49</v>
      </c>
      <c r="B717" s="1" t="s">
        <v>9</v>
      </c>
      <c r="C717" s="2">
        <v>41149</v>
      </c>
      <c r="D717" s="3">
        <v>1700</v>
      </c>
      <c r="E717" s="1" t="str">
        <f t="shared" si="11"/>
        <v>Aug 2012</v>
      </c>
    </row>
    <row r="718" spans="1:5" ht="10.199999999999999" x14ac:dyDescent="0.25">
      <c r="A718" s="1">
        <v>49</v>
      </c>
      <c r="B718" s="1" t="s">
        <v>9</v>
      </c>
      <c r="C718" s="2">
        <v>41151</v>
      </c>
      <c r="D718" s="3">
        <v>1700</v>
      </c>
      <c r="E718" s="1" t="str">
        <f t="shared" si="11"/>
        <v>Aug 2012</v>
      </c>
    </row>
    <row r="719" spans="1:5" ht="10.199999999999999" x14ac:dyDescent="0.25">
      <c r="A719" s="1">
        <v>49</v>
      </c>
      <c r="B719" s="1" t="s">
        <v>9</v>
      </c>
      <c r="C719" s="2">
        <v>41153</v>
      </c>
      <c r="D719" s="3">
        <v>1700</v>
      </c>
      <c r="E719" s="1" t="str">
        <f t="shared" si="11"/>
        <v>Sep 2012</v>
      </c>
    </row>
    <row r="720" spans="1:5" ht="10.199999999999999" x14ac:dyDescent="0.25">
      <c r="A720" s="1">
        <v>49</v>
      </c>
      <c r="B720" s="1" t="s">
        <v>9</v>
      </c>
      <c r="C720" s="2">
        <v>41156</v>
      </c>
      <c r="D720" s="3">
        <v>1700</v>
      </c>
      <c r="E720" s="1" t="str">
        <f t="shared" si="11"/>
        <v>Sep 2012</v>
      </c>
    </row>
    <row r="721" spans="1:5" ht="10.199999999999999" x14ac:dyDescent="0.25">
      <c r="A721" s="1">
        <v>49</v>
      </c>
      <c r="B721" s="1" t="s">
        <v>9</v>
      </c>
      <c r="C721" s="2">
        <v>41158</v>
      </c>
      <c r="D721" s="3">
        <v>1700</v>
      </c>
      <c r="E721" s="1" t="str">
        <f t="shared" si="11"/>
        <v>Sep 2012</v>
      </c>
    </row>
    <row r="722" spans="1:5" ht="10.199999999999999" x14ac:dyDescent="0.25">
      <c r="A722" s="1">
        <v>49</v>
      </c>
      <c r="B722" s="1" t="s">
        <v>10</v>
      </c>
      <c r="C722" s="2">
        <v>41165</v>
      </c>
      <c r="D722" s="3">
        <v>4</v>
      </c>
      <c r="E722" s="1" t="str">
        <f t="shared" si="11"/>
        <v>Sep 2012</v>
      </c>
    </row>
    <row r="723" spans="1:5" ht="10.199999999999999" x14ac:dyDescent="0.25">
      <c r="A723" s="1">
        <v>50</v>
      </c>
      <c r="B723" s="1" t="s">
        <v>9</v>
      </c>
      <c r="C723" s="2">
        <v>41093</v>
      </c>
      <c r="D723" s="3">
        <v>8000</v>
      </c>
      <c r="E723" s="1" t="str">
        <f t="shared" si="11"/>
        <v>Jul 2012</v>
      </c>
    </row>
    <row r="724" spans="1:5" ht="10.199999999999999" x14ac:dyDescent="0.25">
      <c r="A724" s="1">
        <v>50</v>
      </c>
      <c r="B724" s="1" t="s">
        <v>9</v>
      </c>
      <c r="C724" s="2">
        <v>41095</v>
      </c>
      <c r="D724" s="3">
        <v>8000</v>
      </c>
      <c r="E724" s="1" t="str">
        <f t="shared" si="11"/>
        <v>Jul 2012</v>
      </c>
    </row>
    <row r="725" spans="1:5" ht="10.199999999999999" x14ac:dyDescent="0.25">
      <c r="A725" s="1">
        <v>50</v>
      </c>
      <c r="B725" s="1" t="s">
        <v>9</v>
      </c>
      <c r="C725" s="2">
        <v>41097</v>
      </c>
      <c r="D725" s="3">
        <v>8000</v>
      </c>
      <c r="E725" s="1" t="str">
        <f t="shared" si="11"/>
        <v>Jul 2012</v>
      </c>
    </row>
    <row r="726" spans="1:5" ht="10.199999999999999" x14ac:dyDescent="0.25">
      <c r="A726" s="1">
        <v>50</v>
      </c>
      <c r="B726" s="1" t="s">
        <v>9</v>
      </c>
      <c r="C726" s="2">
        <v>41100</v>
      </c>
      <c r="D726" s="3">
        <v>8000</v>
      </c>
      <c r="E726" s="1" t="str">
        <f t="shared" si="11"/>
        <v>Jul 2012</v>
      </c>
    </row>
    <row r="727" spans="1:5" ht="10.199999999999999" x14ac:dyDescent="0.25">
      <c r="A727" s="1">
        <v>50</v>
      </c>
      <c r="B727" s="1" t="s">
        <v>9</v>
      </c>
      <c r="C727" s="2">
        <v>41102</v>
      </c>
      <c r="D727" s="3">
        <v>8000</v>
      </c>
      <c r="E727" s="1" t="str">
        <f t="shared" si="11"/>
        <v>Jul 2012</v>
      </c>
    </row>
    <row r="728" spans="1:5" ht="10.199999999999999" x14ac:dyDescent="0.25">
      <c r="A728" s="1">
        <v>50</v>
      </c>
      <c r="B728" s="1" t="s">
        <v>9</v>
      </c>
      <c r="C728" s="2">
        <v>41104</v>
      </c>
      <c r="D728" s="3">
        <v>8000</v>
      </c>
      <c r="E728" s="1" t="str">
        <f t="shared" si="11"/>
        <v>Jul 2012</v>
      </c>
    </row>
    <row r="729" spans="1:5" ht="10.199999999999999" x14ac:dyDescent="0.25">
      <c r="A729" s="1">
        <v>50</v>
      </c>
      <c r="B729" s="1" t="s">
        <v>9</v>
      </c>
      <c r="C729" s="2">
        <v>41107</v>
      </c>
      <c r="D729" s="3">
        <v>8000</v>
      </c>
      <c r="E729" s="1" t="str">
        <f t="shared" si="11"/>
        <v>Jul 2012</v>
      </c>
    </row>
    <row r="730" spans="1:5" ht="10.199999999999999" x14ac:dyDescent="0.25">
      <c r="A730" s="1">
        <v>50</v>
      </c>
      <c r="B730" s="1" t="s">
        <v>9</v>
      </c>
      <c r="C730" s="2">
        <v>41109</v>
      </c>
      <c r="D730" s="3">
        <v>8000</v>
      </c>
      <c r="E730" s="1" t="str">
        <f t="shared" si="11"/>
        <v>Jul 2012</v>
      </c>
    </row>
    <row r="731" spans="1:5" ht="10.199999999999999" x14ac:dyDescent="0.25">
      <c r="A731" s="1">
        <v>50</v>
      </c>
      <c r="B731" s="1" t="s">
        <v>9</v>
      </c>
      <c r="C731" s="2">
        <v>41118</v>
      </c>
      <c r="D731" s="3">
        <v>7200</v>
      </c>
      <c r="E731" s="1" t="str">
        <f t="shared" si="11"/>
        <v>Jul 2012</v>
      </c>
    </row>
    <row r="732" spans="1:5" ht="10.199999999999999" x14ac:dyDescent="0.25">
      <c r="A732" s="1">
        <v>50</v>
      </c>
      <c r="B732" s="1" t="s">
        <v>9</v>
      </c>
      <c r="C732" s="2">
        <v>41121</v>
      </c>
      <c r="D732" s="3">
        <v>7200</v>
      </c>
      <c r="E732" s="1" t="str">
        <f t="shared" si="11"/>
        <v>Jul 2012</v>
      </c>
    </row>
    <row r="733" spans="1:5" ht="10.199999999999999" x14ac:dyDescent="0.25">
      <c r="A733" s="1">
        <v>50</v>
      </c>
      <c r="B733" s="1" t="s">
        <v>9</v>
      </c>
      <c r="C733" s="2">
        <v>41123</v>
      </c>
      <c r="D733" s="3">
        <v>7200</v>
      </c>
      <c r="E733" s="1" t="str">
        <f t="shared" si="11"/>
        <v>Aug 2012</v>
      </c>
    </row>
    <row r="734" spans="1:5" ht="10.199999999999999" x14ac:dyDescent="0.25">
      <c r="A734" s="1">
        <v>50</v>
      </c>
      <c r="B734" s="1" t="s">
        <v>9</v>
      </c>
      <c r="C734" s="2">
        <v>41125</v>
      </c>
      <c r="D734" s="3">
        <v>7200</v>
      </c>
      <c r="E734" s="1" t="str">
        <f t="shared" si="11"/>
        <v>Aug 2012</v>
      </c>
    </row>
    <row r="735" spans="1:5" ht="10.199999999999999" x14ac:dyDescent="0.25">
      <c r="A735" s="1">
        <v>50</v>
      </c>
      <c r="B735" s="1" t="s">
        <v>9</v>
      </c>
      <c r="C735" s="2">
        <v>41128</v>
      </c>
      <c r="D735" s="3">
        <v>7200</v>
      </c>
      <c r="E735" s="1" t="str">
        <f t="shared" si="11"/>
        <v>Aug 2012</v>
      </c>
    </row>
    <row r="736" spans="1:5" ht="10.199999999999999" x14ac:dyDescent="0.25">
      <c r="A736" s="1">
        <v>50</v>
      </c>
      <c r="B736" s="1" t="s">
        <v>9</v>
      </c>
      <c r="C736" s="2">
        <v>41130</v>
      </c>
      <c r="D736" s="3">
        <v>7200</v>
      </c>
      <c r="E736" s="1" t="str">
        <f t="shared" si="11"/>
        <v>Aug 2012</v>
      </c>
    </row>
    <row r="737" spans="1:5" ht="10.199999999999999" x14ac:dyDescent="0.25">
      <c r="A737" s="1">
        <v>50</v>
      </c>
      <c r="B737" s="1" t="s">
        <v>9</v>
      </c>
      <c r="C737" s="2">
        <v>41132</v>
      </c>
      <c r="D737" s="3">
        <v>7200</v>
      </c>
      <c r="E737" s="1" t="str">
        <f t="shared" si="11"/>
        <v>Aug 2012</v>
      </c>
    </row>
    <row r="738" spans="1:5" ht="10.199999999999999" x14ac:dyDescent="0.25">
      <c r="A738" s="1">
        <v>50</v>
      </c>
      <c r="B738" s="1" t="s">
        <v>9</v>
      </c>
      <c r="C738" s="2">
        <v>41135</v>
      </c>
      <c r="D738" s="3">
        <v>7200</v>
      </c>
      <c r="E738" s="1" t="str">
        <f t="shared" si="11"/>
        <v>Aug 2012</v>
      </c>
    </row>
    <row r="739" spans="1:5" ht="10.199999999999999" x14ac:dyDescent="0.25">
      <c r="A739" s="1">
        <v>50</v>
      </c>
      <c r="B739" s="1" t="s">
        <v>9</v>
      </c>
      <c r="C739" s="2">
        <v>41137</v>
      </c>
      <c r="D739" s="3">
        <v>7200</v>
      </c>
      <c r="E739" s="1" t="str">
        <f t="shared" si="11"/>
        <v>Aug 2012</v>
      </c>
    </row>
    <row r="740" spans="1:5" ht="10.199999999999999" x14ac:dyDescent="0.25">
      <c r="A740" s="1">
        <v>50</v>
      </c>
      <c r="B740" s="1" t="s">
        <v>9</v>
      </c>
      <c r="C740" s="2">
        <v>41139</v>
      </c>
      <c r="D740" s="3">
        <v>7200</v>
      </c>
      <c r="E740" s="1" t="str">
        <f t="shared" si="11"/>
        <v>Aug 2012</v>
      </c>
    </row>
    <row r="741" spans="1:5" ht="10.199999999999999" x14ac:dyDescent="0.25">
      <c r="A741" s="1">
        <v>50</v>
      </c>
      <c r="B741" s="1" t="s">
        <v>9</v>
      </c>
      <c r="C741" s="2">
        <v>41142</v>
      </c>
      <c r="D741" s="3">
        <v>7200</v>
      </c>
      <c r="E741" s="1" t="str">
        <f t="shared" si="11"/>
        <v>Aug 2012</v>
      </c>
    </row>
    <row r="742" spans="1:5" ht="10.199999999999999" x14ac:dyDescent="0.25">
      <c r="A742" s="1">
        <v>50</v>
      </c>
      <c r="B742" s="1" t="s">
        <v>9</v>
      </c>
      <c r="C742" s="2">
        <v>41144</v>
      </c>
      <c r="D742" s="3">
        <v>7200</v>
      </c>
      <c r="E742" s="1" t="str">
        <f t="shared" si="11"/>
        <v>Aug 2012</v>
      </c>
    </row>
    <row r="743" spans="1:5" ht="10.199999999999999" x14ac:dyDescent="0.25">
      <c r="A743" s="1">
        <v>50</v>
      </c>
      <c r="B743" s="1" t="s">
        <v>9</v>
      </c>
      <c r="C743" s="2">
        <v>41146</v>
      </c>
      <c r="D743" s="3">
        <v>7200</v>
      </c>
      <c r="E743" s="1" t="str">
        <f t="shared" si="11"/>
        <v>Aug 2012</v>
      </c>
    </row>
    <row r="744" spans="1:5" ht="10.199999999999999" x14ac:dyDescent="0.25">
      <c r="A744" s="1">
        <v>50</v>
      </c>
      <c r="B744" s="1" t="s">
        <v>9</v>
      </c>
      <c r="C744" s="2">
        <v>41149</v>
      </c>
      <c r="D744" s="3">
        <v>7200</v>
      </c>
      <c r="E744" s="1" t="str">
        <f t="shared" si="11"/>
        <v>Aug 2012</v>
      </c>
    </row>
    <row r="745" spans="1:5" ht="10.199999999999999" x14ac:dyDescent="0.25">
      <c r="A745" s="1">
        <v>50</v>
      </c>
      <c r="B745" s="1" t="s">
        <v>9</v>
      </c>
      <c r="C745" s="2">
        <v>41151</v>
      </c>
      <c r="D745" s="3">
        <v>7200</v>
      </c>
      <c r="E745" s="1" t="str">
        <f t="shared" si="11"/>
        <v>Aug 2012</v>
      </c>
    </row>
    <row r="746" spans="1:5" ht="10.199999999999999" x14ac:dyDescent="0.25">
      <c r="A746" s="1">
        <v>50</v>
      </c>
      <c r="B746" s="1" t="s">
        <v>9</v>
      </c>
      <c r="C746" s="2">
        <v>41153</v>
      </c>
      <c r="D746" s="3">
        <v>7200</v>
      </c>
      <c r="E746" s="1" t="str">
        <f t="shared" si="11"/>
        <v>Sep 2012</v>
      </c>
    </row>
    <row r="747" spans="1:5" ht="10.199999999999999" x14ac:dyDescent="0.25">
      <c r="A747" s="1">
        <v>50</v>
      </c>
      <c r="B747" s="1" t="s">
        <v>9</v>
      </c>
      <c r="C747" s="2">
        <v>41156</v>
      </c>
      <c r="D747" s="3">
        <v>7200</v>
      </c>
      <c r="E747" s="1" t="str">
        <f t="shared" si="11"/>
        <v>Sep 2012</v>
      </c>
    </row>
    <row r="748" spans="1:5" ht="10.199999999999999" x14ac:dyDescent="0.25">
      <c r="A748" s="1">
        <v>50</v>
      </c>
      <c r="B748" s="1" t="s">
        <v>9</v>
      </c>
      <c r="C748" s="2">
        <v>41158</v>
      </c>
      <c r="D748" s="3">
        <v>6500</v>
      </c>
      <c r="E748" s="1" t="str">
        <f t="shared" si="11"/>
        <v>Sep 2012</v>
      </c>
    </row>
    <row r="749" spans="1:5" ht="10.199999999999999" x14ac:dyDescent="0.25">
      <c r="A749" s="1">
        <v>51</v>
      </c>
      <c r="B749" s="1" t="s">
        <v>9</v>
      </c>
      <c r="C749" s="2">
        <v>41093</v>
      </c>
      <c r="D749" s="3">
        <v>5000</v>
      </c>
      <c r="E749" s="1" t="str">
        <f t="shared" si="11"/>
        <v>Jul 2012</v>
      </c>
    </row>
    <row r="750" spans="1:5" ht="10.199999999999999" x14ac:dyDescent="0.25">
      <c r="A750" s="1">
        <v>52</v>
      </c>
      <c r="B750" s="1" t="s">
        <v>9</v>
      </c>
      <c r="C750" s="2">
        <v>41125</v>
      </c>
      <c r="D750" s="3">
        <v>4200</v>
      </c>
      <c r="E750" s="1" t="str">
        <f t="shared" si="11"/>
        <v>Aug 2012</v>
      </c>
    </row>
    <row r="751" spans="1:5" ht="10.199999999999999" x14ac:dyDescent="0.25">
      <c r="A751" s="1">
        <v>52</v>
      </c>
      <c r="B751" s="1" t="s">
        <v>9</v>
      </c>
      <c r="C751" s="2">
        <v>41128</v>
      </c>
      <c r="D751" s="3">
        <v>4200</v>
      </c>
      <c r="E751" s="1" t="str">
        <f t="shared" si="11"/>
        <v>Aug 2012</v>
      </c>
    </row>
    <row r="752" spans="1:5" ht="10.199999999999999" x14ac:dyDescent="0.25">
      <c r="A752" s="1">
        <v>52</v>
      </c>
      <c r="B752" s="1" t="s">
        <v>9</v>
      </c>
      <c r="C752" s="2">
        <v>41130</v>
      </c>
      <c r="D752" s="3">
        <v>4200</v>
      </c>
      <c r="E752" s="1" t="str">
        <f t="shared" si="11"/>
        <v>Aug 2012</v>
      </c>
    </row>
    <row r="753" spans="1:5" ht="10.199999999999999" x14ac:dyDescent="0.25">
      <c r="A753" s="1">
        <v>52</v>
      </c>
      <c r="B753" s="1" t="s">
        <v>9</v>
      </c>
      <c r="C753" s="2">
        <v>41132</v>
      </c>
      <c r="D753" s="3">
        <v>4200</v>
      </c>
      <c r="E753" s="1" t="str">
        <f t="shared" si="11"/>
        <v>Aug 2012</v>
      </c>
    </row>
    <row r="754" spans="1:5" ht="10.199999999999999" x14ac:dyDescent="0.25">
      <c r="A754" s="1">
        <v>52</v>
      </c>
      <c r="B754" s="1" t="s">
        <v>9</v>
      </c>
      <c r="C754" s="2">
        <v>41135</v>
      </c>
      <c r="D754" s="3">
        <v>4200</v>
      </c>
      <c r="E754" s="1" t="str">
        <f t="shared" si="11"/>
        <v>Aug 2012</v>
      </c>
    </row>
    <row r="755" spans="1:5" ht="10.199999999999999" x14ac:dyDescent="0.25">
      <c r="A755" s="1">
        <v>52</v>
      </c>
      <c r="B755" s="1" t="s">
        <v>9</v>
      </c>
      <c r="C755" s="2">
        <v>41137</v>
      </c>
      <c r="D755" s="3">
        <v>4200</v>
      </c>
      <c r="E755" s="1" t="str">
        <f t="shared" si="11"/>
        <v>Aug 2012</v>
      </c>
    </row>
    <row r="756" spans="1:5" ht="10.199999999999999" x14ac:dyDescent="0.25">
      <c r="A756" s="1">
        <v>52</v>
      </c>
      <c r="B756" s="1" t="s">
        <v>9</v>
      </c>
      <c r="C756" s="2">
        <v>41139</v>
      </c>
      <c r="D756" s="3">
        <v>4600</v>
      </c>
      <c r="E756" s="1" t="str">
        <f t="shared" si="11"/>
        <v>Aug 2012</v>
      </c>
    </row>
    <row r="757" spans="1:5" ht="10.199999999999999" x14ac:dyDescent="0.25">
      <c r="A757" s="1">
        <v>52</v>
      </c>
      <c r="B757" s="1" t="s">
        <v>9</v>
      </c>
      <c r="C757" s="2">
        <v>41142</v>
      </c>
      <c r="D757" s="3">
        <v>4600</v>
      </c>
      <c r="E757" s="1" t="str">
        <f t="shared" si="11"/>
        <v>Aug 2012</v>
      </c>
    </row>
    <row r="758" spans="1:5" ht="10.199999999999999" x14ac:dyDescent="0.25">
      <c r="A758" s="1">
        <v>52</v>
      </c>
      <c r="B758" s="1" t="s">
        <v>9</v>
      </c>
      <c r="C758" s="2">
        <v>41144</v>
      </c>
      <c r="D758" s="3">
        <v>4600</v>
      </c>
      <c r="E758" s="1" t="str">
        <f t="shared" si="11"/>
        <v>Aug 2012</v>
      </c>
    </row>
    <row r="759" spans="1:5" ht="10.199999999999999" x14ac:dyDescent="0.25">
      <c r="A759" s="1">
        <v>52</v>
      </c>
      <c r="B759" s="1" t="s">
        <v>9</v>
      </c>
      <c r="C759" s="2">
        <v>41146</v>
      </c>
      <c r="D759" s="3">
        <v>4600</v>
      </c>
      <c r="E759" s="1" t="str">
        <f t="shared" si="11"/>
        <v>Aug 2012</v>
      </c>
    </row>
    <row r="760" spans="1:5" ht="10.199999999999999" x14ac:dyDescent="0.25">
      <c r="A760" s="1">
        <v>52</v>
      </c>
      <c r="B760" s="1" t="s">
        <v>9</v>
      </c>
      <c r="C760" s="2">
        <v>41149</v>
      </c>
      <c r="D760" s="3">
        <v>4600</v>
      </c>
      <c r="E760" s="1" t="str">
        <f t="shared" si="11"/>
        <v>Aug 2012</v>
      </c>
    </row>
    <row r="761" spans="1:5" ht="10.199999999999999" x14ac:dyDescent="0.25">
      <c r="A761" s="1">
        <v>52</v>
      </c>
      <c r="B761" s="1" t="s">
        <v>9</v>
      </c>
      <c r="C761" s="2">
        <v>41151</v>
      </c>
      <c r="D761" s="3">
        <v>4600</v>
      </c>
      <c r="E761" s="1" t="str">
        <f t="shared" si="11"/>
        <v>Aug 2012</v>
      </c>
    </row>
    <row r="762" spans="1:5" ht="10.199999999999999" x14ac:dyDescent="0.25">
      <c r="A762" s="1">
        <v>52</v>
      </c>
      <c r="B762" s="1" t="s">
        <v>9</v>
      </c>
      <c r="C762" s="2">
        <v>41156</v>
      </c>
      <c r="D762" s="3">
        <v>4600</v>
      </c>
      <c r="E762" s="1" t="str">
        <f t="shared" si="11"/>
        <v>Sep 2012</v>
      </c>
    </row>
    <row r="763" spans="1:5" ht="10.199999999999999" x14ac:dyDescent="0.25">
      <c r="A763" s="1">
        <v>52</v>
      </c>
      <c r="B763" s="1" t="s">
        <v>9</v>
      </c>
      <c r="C763" s="2">
        <v>41158</v>
      </c>
      <c r="D763" s="3">
        <v>4600</v>
      </c>
      <c r="E763" s="1" t="str">
        <f t="shared" si="11"/>
        <v>Sep 2012</v>
      </c>
    </row>
    <row r="764" spans="1:5" ht="10.199999999999999" x14ac:dyDescent="0.25">
      <c r="A764" s="1">
        <v>52</v>
      </c>
      <c r="B764" s="1" t="s">
        <v>10</v>
      </c>
      <c r="C764" s="2">
        <v>41165</v>
      </c>
      <c r="D764" s="3">
        <v>8</v>
      </c>
      <c r="E764" s="1" t="str">
        <f t="shared" si="11"/>
        <v>Sep 2012</v>
      </c>
    </row>
    <row r="765" spans="1:5" ht="10.199999999999999" x14ac:dyDescent="0.25">
      <c r="A765" s="1">
        <v>52</v>
      </c>
      <c r="B765" s="1" t="s">
        <v>10</v>
      </c>
      <c r="C765" s="2">
        <v>41193</v>
      </c>
      <c r="D765" s="3">
        <v>8</v>
      </c>
      <c r="E765" s="1" t="str">
        <f t="shared" si="11"/>
        <v>Oct 2012</v>
      </c>
    </row>
    <row r="766" spans="1:5" ht="10.199999999999999" x14ac:dyDescent="0.25">
      <c r="A766" s="1">
        <v>52</v>
      </c>
      <c r="B766" s="1" t="s">
        <v>10</v>
      </c>
      <c r="C766" s="2">
        <v>41230</v>
      </c>
      <c r="D766" s="3">
        <v>8</v>
      </c>
      <c r="E766" s="1" t="str">
        <f t="shared" si="11"/>
        <v>Nov 2012</v>
      </c>
    </row>
    <row r="767" spans="1:5" ht="10.199999999999999" x14ac:dyDescent="0.25">
      <c r="A767" s="1">
        <v>53</v>
      </c>
      <c r="B767" s="1" t="s">
        <v>9</v>
      </c>
      <c r="C767" s="2">
        <v>41093</v>
      </c>
      <c r="D767" s="3">
        <v>2200</v>
      </c>
      <c r="E767" s="1" t="str">
        <f t="shared" si="11"/>
        <v>Jul 2012</v>
      </c>
    </row>
    <row r="768" spans="1:5" ht="10.199999999999999" x14ac:dyDescent="0.25">
      <c r="A768" s="1">
        <v>53</v>
      </c>
      <c r="B768" s="1" t="s">
        <v>9</v>
      </c>
      <c r="C768" s="2">
        <v>41095</v>
      </c>
      <c r="D768" s="3">
        <v>2200</v>
      </c>
      <c r="E768" s="1" t="str">
        <f t="shared" si="11"/>
        <v>Jul 2012</v>
      </c>
    </row>
    <row r="769" spans="1:5" ht="10.199999999999999" x14ac:dyDescent="0.25">
      <c r="A769" s="1">
        <v>53</v>
      </c>
      <c r="B769" s="1" t="s">
        <v>9</v>
      </c>
      <c r="C769" s="2">
        <v>41097</v>
      </c>
      <c r="D769" s="3">
        <v>2200</v>
      </c>
      <c r="E769" s="1" t="str">
        <f t="shared" si="11"/>
        <v>Jul 2012</v>
      </c>
    </row>
    <row r="770" spans="1:5" ht="10.199999999999999" x14ac:dyDescent="0.25">
      <c r="A770" s="1">
        <v>53</v>
      </c>
      <c r="B770" s="1" t="s">
        <v>9</v>
      </c>
      <c r="C770" s="2">
        <v>41149</v>
      </c>
      <c r="D770" s="3">
        <v>1800</v>
      </c>
      <c r="E770" s="1" t="str">
        <f t="shared" si="11"/>
        <v>Aug 2012</v>
      </c>
    </row>
    <row r="771" spans="1:5" ht="10.199999999999999" x14ac:dyDescent="0.25">
      <c r="A771" s="1">
        <v>53</v>
      </c>
      <c r="B771" s="1" t="s">
        <v>9</v>
      </c>
      <c r="C771" s="2">
        <v>41151</v>
      </c>
      <c r="D771" s="3">
        <v>1800</v>
      </c>
      <c r="E771" s="1" t="str">
        <f t="shared" ref="E771:E834" si="12">TEXT(C771,"mmm yyyy")</f>
        <v>Aug 2012</v>
      </c>
    </row>
    <row r="772" spans="1:5" ht="10.199999999999999" x14ac:dyDescent="0.25">
      <c r="A772" s="1">
        <v>53</v>
      </c>
      <c r="B772" s="1" t="s">
        <v>9</v>
      </c>
      <c r="C772" s="2">
        <v>41153</v>
      </c>
      <c r="D772" s="3">
        <v>1800</v>
      </c>
      <c r="E772" s="1" t="str">
        <f t="shared" si="12"/>
        <v>Sep 2012</v>
      </c>
    </row>
    <row r="773" spans="1:5" ht="10.199999999999999" x14ac:dyDescent="0.25">
      <c r="A773" s="1">
        <v>53</v>
      </c>
      <c r="B773" s="1" t="s">
        <v>9</v>
      </c>
      <c r="C773" s="2">
        <v>41156</v>
      </c>
      <c r="D773" s="3">
        <v>1800</v>
      </c>
      <c r="E773" s="1" t="str">
        <f t="shared" si="12"/>
        <v>Sep 2012</v>
      </c>
    </row>
    <row r="774" spans="1:5" ht="10.199999999999999" x14ac:dyDescent="0.25">
      <c r="A774" s="1">
        <v>53</v>
      </c>
      <c r="B774" s="1" t="s">
        <v>9</v>
      </c>
      <c r="C774" s="2">
        <v>41158</v>
      </c>
      <c r="D774" s="3">
        <v>1800</v>
      </c>
      <c r="E774" s="1" t="str">
        <f t="shared" si="12"/>
        <v>Sep 2012</v>
      </c>
    </row>
    <row r="775" spans="1:5" ht="10.199999999999999" x14ac:dyDescent="0.25">
      <c r="A775" s="1">
        <v>53</v>
      </c>
      <c r="B775" s="1" t="s">
        <v>10</v>
      </c>
      <c r="C775" s="2">
        <v>41165</v>
      </c>
      <c r="D775" s="3">
        <v>4</v>
      </c>
      <c r="E775" s="1" t="str">
        <f t="shared" si="12"/>
        <v>Sep 2012</v>
      </c>
    </row>
    <row r="776" spans="1:5" ht="10.199999999999999" x14ac:dyDescent="0.25">
      <c r="A776" s="1">
        <v>53</v>
      </c>
      <c r="B776" s="1" t="s">
        <v>10</v>
      </c>
      <c r="C776" s="2">
        <v>41193</v>
      </c>
      <c r="D776" s="3">
        <v>4</v>
      </c>
      <c r="E776" s="1" t="str">
        <f t="shared" si="12"/>
        <v>Oct 2012</v>
      </c>
    </row>
    <row r="777" spans="1:5" ht="10.199999999999999" x14ac:dyDescent="0.25">
      <c r="A777" s="1">
        <v>53</v>
      </c>
      <c r="B777" s="1" t="s">
        <v>10</v>
      </c>
      <c r="C777" s="2">
        <v>41228</v>
      </c>
      <c r="D777" s="3">
        <v>3</v>
      </c>
      <c r="E777" s="1" t="str">
        <f t="shared" si="12"/>
        <v>Nov 2012</v>
      </c>
    </row>
    <row r="778" spans="1:5" ht="10.199999999999999" x14ac:dyDescent="0.25">
      <c r="A778" s="1">
        <v>54</v>
      </c>
      <c r="B778" s="1" t="s">
        <v>9</v>
      </c>
      <c r="C778" s="2">
        <v>41092</v>
      </c>
      <c r="D778" s="3">
        <v>4500</v>
      </c>
      <c r="E778" s="1" t="str">
        <f t="shared" si="12"/>
        <v>Jul 2012</v>
      </c>
    </row>
    <row r="779" spans="1:5" ht="10.199999999999999" x14ac:dyDescent="0.25">
      <c r="A779" s="1">
        <v>54</v>
      </c>
      <c r="B779" s="1" t="s">
        <v>9</v>
      </c>
      <c r="C779" s="2">
        <v>41094</v>
      </c>
      <c r="D779" s="3">
        <v>4500</v>
      </c>
      <c r="E779" s="1" t="str">
        <f t="shared" si="12"/>
        <v>Jul 2012</v>
      </c>
    </row>
    <row r="780" spans="1:5" ht="10.199999999999999" x14ac:dyDescent="0.25">
      <c r="A780" s="1">
        <v>54</v>
      </c>
      <c r="B780" s="1" t="s">
        <v>9</v>
      </c>
      <c r="C780" s="2">
        <v>41096</v>
      </c>
      <c r="D780" s="3">
        <v>4700</v>
      </c>
      <c r="E780" s="1" t="str">
        <f t="shared" si="12"/>
        <v>Jul 2012</v>
      </c>
    </row>
    <row r="781" spans="1:5" ht="10.199999999999999" x14ac:dyDescent="0.25">
      <c r="A781" s="1">
        <v>54</v>
      </c>
      <c r="B781" s="1" t="s">
        <v>9</v>
      </c>
      <c r="C781" s="2">
        <v>41099</v>
      </c>
      <c r="D781" s="3">
        <v>4700</v>
      </c>
      <c r="E781" s="1" t="str">
        <f t="shared" si="12"/>
        <v>Jul 2012</v>
      </c>
    </row>
    <row r="782" spans="1:5" ht="10.199999999999999" x14ac:dyDescent="0.25">
      <c r="A782" s="1">
        <v>54</v>
      </c>
      <c r="B782" s="1" t="s">
        <v>9</v>
      </c>
      <c r="C782" s="2">
        <v>41101</v>
      </c>
      <c r="D782" s="3">
        <v>4700</v>
      </c>
      <c r="E782" s="1" t="str">
        <f t="shared" si="12"/>
        <v>Jul 2012</v>
      </c>
    </row>
    <row r="783" spans="1:5" ht="10.199999999999999" x14ac:dyDescent="0.25">
      <c r="A783" s="1">
        <v>54</v>
      </c>
      <c r="B783" s="1" t="s">
        <v>9</v>
      </c>
      <c r="C783" s="2">
        <v>41103</v>
      </c>
      <c r="D783" s="3">
        <v>4700</v>
      </c>
      <c r="E783" s="1" t="str">
        <f t="shared" si="12"/>
        <v>Jul 2012</v>
      </c>
    </row>
    <row r="784" spans="1:5" ht="10.199999999999999" x14ac:dyDescent="0.25">
      <c r="A784" s="1">
        <v>54</v>
      </c>
      <c r="B784" s="1" t="s">
        <v>9</v>
      </c>
      <c r="C784" s="2">
        <v>41106</v>
      </c>
      <c r="D784" s="3">
        <v>4700</v>
      </c>
      <c r="E784" s="1" t="str">
        <f t="shared" si="12"/>
        <v>Jul 2012</v>
      </c>
    </row>
    <row r="785" spans="1:5" ht="10.199999999999999" x14ac:dyDescent="0.25">
      <c r="A785" s="1">
        <v>54</v>
      </c>
      <c r="B785" s="1" t="s">
        <v>9</v>
      </c>
      <c r="C785" s="2">
        <v>41108</v>
      </c>
      <c r="D785" s="3">
        <v>4700</v>
      </c>
      <c r="E785" s="1" t="str">
        <f t="shared" si="12"/>
        <v>Jul 2012</v>
      </c>
    </row>
    <row r="786" spans="1:5" ht="10.199999999999999" x14ac:dyDescent="0.25">
      <c r="A786" s="1">
        <v>54</v>
      </c>
      <c r="B786" s="1" t="s">
        <v>9</v>
      </c>
      <c r="C786" s="2">
        <v>41113</v>
      </c>
      <c r="D786" s="3">
        <v>5200</v>
      </c>
      <c r="E786" s="1" t="str">
        <f t="shared" si="12"/>
        <v>Jul 2012</v>
      </c>
    </row>
    <row r="787" spans="1:5" ht="10.199999999999999" x14ac:dyDescent="0.25">
      <c r="A787" s="1">
        <v>54</v>
      </c>
      <c r="B787" s="1" t="s">
        <v>9</v>
      </c>
      <c r="C787" s="2">
        <v>41116</v>
      </c>
      <c r="D787" s="3">
        <v>5200</v>
      </c>
      <c r="E787" s="1" t="str">
        <f t="shared" si="12"/>
        <v>Jul 2012</v>
      </c>
    </row>
    <row r="788" spans="1:5" ht="10.199999999999999" x14ac:dyDescent="0.25">
      <c r="A788" s="1">
        <v>54</v>
      </c>
      <c r="B788" s="1" t="s">
        <v>9</v>
      </c>
      <c r="C788" s="2">
        <v>41117</v>
      </c>
      <c r="D788" s="3">
        <v>5200</v>
      </c>
      <c r="E788" s="1" t="str">
        <f t="shared" si="12"/>
        <v>Jul 2012</v>
      </c>
    </row>
    <row r="789" spans="1:5" ht="10.199999999999999" x14ac:dyDescent="0.25">
      <c r="A789" s="1">
        <v>54</v>
      </c>
      <c r="B789" s="1" t="s">
        <v>9</v>
      </c>
      <c r="C789" s="2">
        <v>41120</v>
      </c>
      <c r="D789" s="3">
        <v>5200</v>
      </c>
      <c r="E789" s="1" t="str">
        <f t="shared" si="12"/>
        <v>Jul 2012</v>
      </c>
    </row>
    <row r="790" spans="1:5" ht="10.199999999999999" x14ac:dyDescent="0.25">
      <c r="A790" s="1">
        <v>54</v>
      </c>
      <c r="B790" s="1" t="s">
        <v>9</v>
      </c>
      <c r="C790" s="2">
        <v>41122</v>
      </c>
      <c r="D790" s="3">
        <v>5200</v>
      </c>
      <c r="E790" s="1" t="str">
        <f t="shared" si="12"/>
        <v>Aug 2012</v>
      </c>
    </row>
    <row r="791" spans="1:5" ht="10.199999999999999" x14ac:dyDescent="0.25">
      <c r="A791" s="1">
        <v>54</v>
      </c>
      <c r="B791" s="1" t="s">
        <v>9</v>
      </c>
      <c r="C791" s="2">
        <v>41124</v>
      </c>
      <c r="D791" s="3">
        <v>5200</v>
      </c>
      <c r="E791" s="1" t="str">
        <f t="shared" si="12"/>
        <v>Aug 2012</v>
      </c>
    </row>
    <row r="792" spans="1:5" ht="10.199999999999999" x14ac:dyDescent="0.25">
      <c r="A792" s="1">
        <v>54</v>
      </c>
      <c r="B792" s="1" t="s">
        <v>9</v>
      </c>
      <c r="C792" s="2">
        <v>41127</v>
      </c>
      <c r="D792" s="3">
        <v>6300</v>
      </c>
      <c r="E792" s="1" t="str">
        <f t="shared" si="12"/>
        <v>Aug 2012</v>
      </c>
    </row>
    <row r="793" spans="1:5" ht="10.199999999999999" x14ac:dyDescent="0.25">
      <c r="A793" s="1">
        <v>54</v>
      </c>
      <c r="B793" s="1" t="s">
        <v>9</v>
      </c>
      <c r="C793" s="2">
        <v>41129</v>
      </c>
      <c r="D793" s="3">
        <v>6300</v>
      </c>
      <c r="E793" s="1" t="str">
        <f t="shared" si="12"/>
        <v>Aug 2012</v>
      </c>
    </row>
    <row r="794" spans="1:5" ht="10.199999999999999" x14ac:dyDescent="0.25">
      <c r="A794" s="1">
        <v>54</v>
      </c>
      <c r="B794" s="1" t="s">
        <v>9</v>
      </c>
      <c r="C794" s="2">
        <v>41131</v>
      </c>
      <c r="D794" s="3">
        <v>6300</v>
      </c>
      <c r="E794" s="1" t="str">
        <f t="shared" si="12"/>
        <v>Aug 2012</v>
      </c>
    </row>
    <row r="795" spans="1:5" ht="10.199999999999999" x14ac:dyDescent="0.25">
      <c r="A795" s="1">
        <v>54</v>
      </c>
      <c r="B795" s="1" t="s">
        <v>9</v>
      </c>
      <c r="C795" s="2">
        <v>41134</v>
      </c>
      <c r="D795" s="3">
        <v>6300</v>
      </c>
      <c r="E795" s="1" t="str">
        <f t="shared" si="12"/>
        <v>Aug 2012</v>
      </c>
    </row>
    <row r="796" spans="1:5" ht="10.199999999999999" x14ac:dyDescent="0.25">
      <c r="A796" s="1">
        <v>54</v>
      </c>
      <c r="B796" s="1" t="s">
        <v>9</v>
      </c>
      <c r="C796" s="2">
        <v>41136</v>
      </c>
      <c r="D796" s="3">
        <v>6300</v>
      </c>
      <c r="E796" s="1" t="str">
        <f t="shared" si="12"/>
        <v>Aug 2012</v>
      </c>
    </row>
    <row r="797" spans="1:5" ht="10.199999999999999" x14ac:dyDescent="0.25">
      <c r="A797" s="1">
        <v>54</v>
      </c>
      <c r="B797" s="1" t="s">
        <v>9</v>
      </c>
      <c r="C797" s="2">
        <v>41138</v>
      </c>
      <c r="D797" s="3">
        <v>7000</v>
      </c>
      <c r="E797" s="1" t="str">
        <f t="shared" si="12"/>
        <v>Aug 2012</v>
      </c>
    </row>
    <row r="798" spans="1:5" ht="10.199999999999999" x14ac:dyDescent="0.25">
      <c r="A798" s="1">
        <v>54</v>
      </c>
      <c r="B798" s="1" t="s">
        <v>9</v>
      </c>
      <c r="C798" s="2">
        <v>41141</v>
      </c>
      <c r="D798" s="3">
        <v>7000</v>
      </c>
      <c r="E798" s="1" t="str">
        <f t="shared" si="12"/>
        <v>Aug 2012</v>
      </c>
    </row>
    <row r="799" spans="1:5" ht="10.199999999999999" x14ac:dyDescent="0.25">
      <c r="A799" s="1">
        <v>54</v>
      </c>
      <c r="B799" s="1" t="s">
        <v>9</v>
      </c>
      <c r="C799" s="2">
        <v>41143</v>
      </c>
      <c r="D799" s="3">
        <v>7000</v>
      </c>
      <c r="E799" s="1" t="str">
        <f t="shared" si="12"/>
        <v>Aug 2012</v>
      </c>
    </row>
    <row r="800" spans="1:5" ht="10.199999999999999" x14ac:dyDescent="0.25">
      <c r="A800" s="1">
        <v>54</v>
      </c>
      <c r="B800" s="1" t="s">
        <v>9</v>
      </c>
      <c r="C800" s="2">
        <v>41145</v>
      </c>
      <c r="D800" s="3">
        <v>7000</v>
      </c>
      <c r="E800" s="1" t="str">
        <f t="shared" si="12"/>
        <v>Aug 2012</v>
      </c>
    </row>
    <row r="801" spans="1:5" ht="10.199999999999999" x14ac:dyDescent="0.25">
      <c r="A801" s="1">
        <v>54</v>
      </c>
      <c r="B801" s="1" t="s">
        <v>9</v>
      </c>
      <c r="C801" s="2">
        <v>41148</v>
      </c>
      <c r="D801" s="3">
        <v>7000</v>
      </c>
      <c r="E801" s="1" t="str">
        <f t="shared" si="12"/>
        <v>Aug 2012</v>
      </c>
    </row>
    <row r="802" spans="1:5" ht="10.199999999999999" x14ac:dyDescent="0.25">
      <c r="A802" s="1">
        <v>54</v>
      </c>
      <c r="B802" s="1" t="s">
        <v>9</v>
      </c>
      <c r="C802" s="2">
        <v>41150</v>
      </c>
      <c r="D802" s="3">
        <v>7000</v>
      </c>
      <c r="E802" s="1" t="str">
        <f t="shared" si="12"/>
        <v>Aug 2012</v>
      </c>
    </row>
    <row r="803" spans="1:5" ht="10.199999999999999" x14ac:dyDescent="0.25">
      <c r="A803" s="1">
        <v>54</v>
      </c>
      <c r="B803" s="1" t="s">
        <v>9</v>
      </c>
      <c r="C803" s="2">
        <v>41152</v>
      </c>
      <c r="D803" s="3">
        <v>7000</v>
      </c>
      <c r="E803" s="1" t="str">
        <f t="shared" si="12"/>
        <v>Aug 2012</v>
      </c>
    </row>
    <row r="804" spans="1:5" ht="10.199999999999999" x14ac:dyDescent="0.25">
      <c r="A804" s="1">
        <v>54</v>
      </c>
      <c r="B804" s="1" t="s">
        <v>9</v>
      </c>
      <c r="C804" s="2">
        <v>41155</v>
      </c>
      <c r="D804" s="3">
        <v>7000</v>
      </c>
      <c r="E804" s="1" t="str">
        <f t="shared" si="12"/>
        <v>Sep 2012</v>
      </c>
    </row>
    <row r="805" spans="1:5" ht="10.199999999999999" x14ac:dyDescent="0.25">
      <c r="A805" s="1">
        <v>54</v>
      </c>
      <c r="B805" s="1" t="s">
        <v>10</v>
      </c>
      <c r="C805" s="2">
        <v>41164</v>
      </c>
      <c r="D805" s="3">
        <v>10</v>
      </c>
      <c r="E805" s="1" t="str">
        <f t="shared" si="12"/>
        <v>Sep 2012</v>
      </c>
    </row>
    <row r="806" spans="1:5" ht="10.199999999999999" x14ac:dyDescent="0.25">
      <c r="A806" s="1">
        <v>54</v>
      </c>
      <c r="B806" s="1" t="s">
        <v>10</v>
      </c>
      <c r="C806" s="2">
        <v>41192</v>
      </c>
      <c r="D806" s="3">
        <v>10</v>
      </c>
      <c r="E806" s="1" t="str">
        <f t="shared" si="12"/>
        <v>Oct 2012</v>
      </c>
    </row>
    <row r="807" spans="1:5" ht="10.199999999999999" x14ac:dyDescent="0.25">
      <c r="A807" s="1">
        <v>54</v>
      </c>
      <c r="B807" s="1" t="s">
        <v>10</v>
      </c>
      <c r="C807" s="2">
        <v>41227</v>
      </c>
      <c r="D807" s="3">
        <v>10</v>
      </c>
      <c r="E807" s="1" t="str">
        <f t="shared" si="12"/>
        <v>Nov 2012</v>
      </c>
    </row>
    <row r="808" spans="1:5" ht="10.199999999999999" x14ac:dyDescent="0.25">
      <c r="A808" s="1">
        <v>55</v>
      </c>
      <c r="B808" s="1" t="s">
        <v>9</v>
      </c>
      <c r="C808" s="2">
        <v>41094</v>
      </c>
      <c r="D808" s="3">
        <v>5700</v>
      </c>
      <c r="E808" s="1" t="str">
        <f t="shared" si="12"/>
        <v>Jul 2012</v>
      </c>
    </row>
    <row r="809" spans="1:5" ht="10.199999999999999" x14ac:dyDescent="0.25">
      <c r="A809" s="1">
        <v>55</v>
      </c>
      <c r="B809" s="1" t="s">
        <v>9</v>
      </c>
      <c r="C809" s="2">
        <v>41096</v>
      </c>
      <c r="D809" s="3">
        <v>6300</v>
      </c>
      <c r="E809" s="1" t="str">
        <f t="shared" si="12"/>
        <v>Jul 2012</v>
      </c>
    </row>
    <row r="810" spans="1:5" ht="10.199999999999999" x14ac:dyDescent="0.25">
      <c r="A810" s="1">
        <v>55</v>
      </c>
      <c r="B810" s="1" t="s">
        <v>9</v>
      </c>
      <c r="C810" s="2">
        <v>41099</v>
      </c>
      <c r="D810" s="3">
        <v>6300</v>
      </c>
      <c r="E810" s="1" t="str">
        <f t="shared" si="12"/>
        <v>Jul 2012</v>
      </c>
    </row>
    <row r="811" spans="1:5" ht="10.199999999999999" x14ac:dyDescent="0.25">
      <c r="A811" s="1">
        <v>55</v>
      </c>
      <c r="B811" s="1" t="s">
        <v>9</v>
      </c>
      <c r="C811" s="2">
        <v>41101</v>
      </c>
      <c r="D811" s="3">
        <v>6300</v>
      </c>
      <c r="E811" s="1" t="str">
        <f t="shared" si="12"/>
        <v>Jul 2012</v>
      </c>
    </row>
    <row r="812" spans="1:5" ht="10.199999999999999" x14ac:dyDescent="0.25">
      <c r="A812" s="1">
        <v>55</v>
      </c>
      <c r="B812" s="1" t="s">
        <v>9</v>
      </c>
      <c r="C812" s="2">
        <v>41103</v>
      </c>
      <c r="D812" s="3">
        <v>6300</v>
      </c>
      <c r="E812" s="1" t="str">
        <f t="shared" si="12"/>
        <v>Jul 2012</v>
      </c>
    </row>
    <row r="813" spans="1:5" ht="10.199999999999999" x14ac:dyDescent="0.25">
      <c r="A813" s="1">
        <v>55</v>
      </c>
      <c r="B813" s="1" t="s">
        <v>9</v>
      </c>
      <c r="C813" s="2">
        <v>41106</v>
      </c>
      <c r="D813" s="3">
        <v>6300</v>
      </c>
      <c r="E813" s="1" t="str">
        <f t="shared" si="12"/>
        <v>Jul 2012</v>
      </c>
    </row>
    <row r="814" spans="1:5" ht="10.199999999999999" x14ac:dyDescent="0.25">
      <c r="A814" s="1">
        <v>55</v>
      </c>
      <c r="B814" s="1" t="s">
        <v>9</v>
      </c>
      <c r="C814" s="2">
        <v>41108</v>
      </c>
      <c r="D814" s="3">
        <v>6300</v>
      </c>
      <c r="E814" s="1" t="str">
        <f t="shared" si="12"/>
        <v>Jul 2012</v>
      </c>
    </row>
    <row r="815" spans="1:5" ht="10.199999999999999" x14ac:dyDescent="0.25">
      <c r="A815" s="1">
        <v>55</v>
      </c>
      <c r="B815" s="1" t="s">
        <v>9</v>
      </c>
      <c r="C815" s="2">
        <v>41110</v>
      </c>
      <c r="D815" s="3">
        <v>6300</v>
      </c>
      <c r="E815" s="1" t="str">
        <f t="shared" si="12"/>
        <v>Jul 2012</v>
      </c>
    </row>
    <row r="816" spans="1:5" ht="10.199999999999999" x14ac:dyDescent="0.25">
      <c r="A816" s="1">
        <v>55</v>
      </c>
      <c r="B816" s="1" t="s">
        <v>9</v>
      </c>
      <c r="C816" s="2">
        <v>41113</v>
      </c>
      <c r="D816" s="3">
        <v>6300</v>
      </c>
      <c r="E816" s="1" t="str">
        <f t="shared" si="12"/>
        <v>Jul 2012</v>
      </c>
    </row>
    <row r="817" spans="1:5" ht="10.199999999999999" x14ac:dyDescent="0.25">
      <c r="A817" s="1">
        <v>55</v>
      </c>
      <c r="B817" s="1" t="s">
        <v>9</v>
      </c>
      <c r="C817" s="2">
        <v>41115</v>
      </c>
      <c r="D817" s="3">
        <v>6900</v>
      </c>
      <c r="E817" s="1" t="str">
        <f t="shared" si="12"/>
        <v>Jul 2012</v>
      </c>
    </row>
    <row r="818" spans="1:5" ht="10.199999999999999" x14ac:dyDescent="0.25">
      <c r="A818" s="1">
        <v>55</v>
      </c>
      <c r="B818" s="1" t="s">
        <v>9</v>
      </c>
      <c r="C818" s="2">
        <v>41117</v>
      </c>
      <c r="D818" s="3">
        <v>6900</v>
      </c>
      <c r="E818" s="1" t="str">
        <f t="shared" si="12"/>
        <v>Jul 2012</v>
      </c>
    </row>
    <row r="819" spans="1:5" ht="10.199999999999999" x14ac:dyDescent="0.25">
      <c r="A819" s="1">
        <v>55</v>
      </c>
      <c r="B819" s="1" t="s">
        <v>9</v>
      </c>
      <c r="C819" s="2">
        <v>41122</v>
      </c>
      <c r="D819" s="3">
        <v>6900</v>
      </c>
      <c r="E819" s="1" t="str">
        <f t="shared" si="12"/>
        <v>Aug 2012</v>
      </c>
    </row>
    <row r="820" spans="1:5" ht="10.199999999999999" x14ac:dyDescent="0.25">
      <c r="A820" s="1">
        <v>55</v>
      </c>
      <c r="B820" s="1" t="s">
        <v>9</v>
      </c>
      <c r="C820" s="2">
        <v>41131</v>
      </c>
      <c r="D820" s="3">
        <v>6900</v>
      </c>
      <c r="E820" s="1" t="str">
        <f t="shared" si="12"/>
        <v>Aug 2012</v>
      </c>
    </row>
    <row r="821" spans="1:5" ht="10.199999999999999" x14ac:dyDescent="0.25">
      <c r="A821" s="1">
        <v>55</v>
      </c>
      <c r="B821" s="1" t="s">
        <v>9</v>
      </c>
      <c r="C821" s="2">
        <v>41136</v>
      </c>
      <c r="D821" s="3">
        <v>6900</v>
      </c>
      <c r="E821" s="1" t="str">
        <f t="shared" si="12"/>
        <v>Aug 2012</v>
      </c>
    </row>
    <row r="822" spans="1:5" ht="10.199999999999999" x14ac:dyDescent="0.25">
      <c r="A822" s="1">
        <v>55</v>
      </c>
      <c r="B822" s="1" t="s">
        <v>9</v>
      </c>
      <c r="C822" s="2">
        <v>41141</v>
      </c>
      <c r="D822" s="3">
        <v>9000</v>
      </c>
      <c r="E822" s="1" t="str">
        <f t="shared" si="12"/>
        <v>Aug 2012</v>
      </c>
    </row>
    <row r="823" spans="1:5" ht="10.199999999999999" x14ac:dyDescent="0.25">
      <c r="A823" s="1">
        <v>56</v>
      </c>
      <c r="B823" s="1" t="s">
        <v>10</v>
      </c>
      <c r="C823" s="2">
        <v>41179</v>
      </c>
      <c r="D823" s="3">
        <v>2</v>
      </c>
      <c r="E823" s="1" t="str">
        <f t="shared" si="12"/>
        <v>Sep 2012</v>
      </c>
    </row>
    <row r="824" spans="1:5" ht="10.199999999999999" x14ac:dyDescent="0.25">
      <c r="A824" s="1">
        <v>56</v>
      </c>
      <c r="B824" s="1" t="s">
        <v>10</v>
      </c>
      <c r="C824" s="2">
        <v>41193</v>
      </c>
      <c r="D824" s="3">
        <v>3</v>
      </c>
      <c r="E824" s="1" t="str">
        <f t="shared" si="12"/>
        <v>Oct 2012</v>
      </c>
    </row>
    <row r="825" spans="1:5" ht="10.199999999999999" x14ac:dyDescent="0.25">
      <c r="A825" s="1">
        <v>56</v>
      </c>
      <c r="B825" s="1" t="s">
        <v>10</v>
      </c>
      <c r="C825" s="2">
        <v>41228</v>
      </c>
      <c r="D825" s="3">
        <v>3</v>
      </c>
      <c r="E825" s="1" t="str">
        <f t="shared" si="12"/>
        <v>Nov 2012</v>
      </c>
    </row>
    <row r="826" spans="1:5" ht="10.199999999999999" x14ac:dyDescent="0.25">
      <c r="A826" s="1">
        <v>57</v>
      </c>
      <c r="B826" s="1" t="s">
        <v>9</v>
      </c>
      <c r="C826" s="2">
        <v>41092</v>
      </c>
      <c r="D826" s="3">
        <v>18000</v>
      </c>
      <c r="E826" s="1" t="str">
        <f t="shared" si="12"/>
        <v>Jul 2012</v>
      </c>
    </row>
    <row r="827" spans="1:5" ht="10.199999999999999" x14ac:dyDescent="0.25">
      <c r="A827" s="1">
        <v>57</v>
      </c>
      <c r="B827" s="1" t="s">
        <v>9</v>
      </c>
      <c r="C827" s="2">
        <v>41096</v>
      </c>
      <c r="D827" s="3">
        <v>18000</v>
      </c>
      <c r="E827" s="1" t="str">
        <f t="shared" si="12"/>
        <v>Jul 2012</v>
      </c>
    </row>
    <row r="828" spans="1:5" ht="10.199999999999999" x14ac:dyDescent="0.25">
      <c r="A828" s="1">
        <v>57</v>
      </c>
      <c r="B828" s="1" t="s">
        <v>9</v>
      </c>
      <c r="C828" s="2">
        <v>41099</v>
      </c>
      <c r="D828" s="3">
        <v>18000</v>
      </c>
      <c r="E828" s="1" t="str">
        <f t="shared" si="12"/>
        <v>Jul 2012</v>
      </c>
    </row>
    <row r="829" spans="1:5" ht="10.199999999999999" x14ac:dyDescent="0.25">
      <c r="A829" s="1">
        <v>57</v>
      </c>
      <c r="B829" s="1" t="s">
        <v>9</v>
      </c>
      <c r="C829" s="2">
        <v>41101</v>
      </c>
      <c r="D829" s="3">
        <v>18000</v>
      </c>
      <c r="E829" s="1" t="str">
        <f t="shared" si="12"/>
        <v>Jul 2012</v>
      </c>
    </row>
    <row r="830" spans="1:5" ht="10.199999999999999" x14ac:dyDescent="0.25">
      <c r="A830" s="1">
        <v>57</v>
      </c>
      <c r="B830" s="1" t="s">
        <v>9</v>
      </c>
      <c r="C830" s="2">
        <v>41106</v>
      </c>
      <c r="D830" s="3">
        <v>18000</v>
      </c>
      <c r="E830" s="1" t="str">
        <f t="shared" si="12"/>
        <v>Jul 2012</v>
      </c>
    </row>
    <row r="831" spans="1:5" ht="10.199999999999999" x14ac:dyDescent="0.25">
      <c r="A831" s="1">
        <v>57</v>
      </c>
      <c r="B831" s="1" t="s">
        <v>9</v>
      </c>
      <c r="C831" s="2">
        <v>41108</v>
      </c>
      <c r="D831" s="3">
        <v>18000</v>
      </c>
      <c r="E831" s="1" t="str">
        <f t="shared" si="12"/>
        <v>Jul 2012</v>
      </c>
    </row>
    <row r="832" spans="1:5" ht="10.199999999999999" x14ac:dyDescent="0.25">
      <c r="A832" s="1">
        <v>57</v>
      </c>
      <c r="B832" s="1" t="s">
        <v>9</v>
      </c>
      <c r="C832" s="2">
        <v>41110</v>
      </c>
      <c r="D832" s="3">
        <v>18000</v>
      </c>
      <c r="E832" s="1" t="str">
        <f t="shared" si="12"/>
        <v>Jul 2012</v>
      </c>
    </row>
    <row r="833" spans="1:5" ht="10.199999999999999" x14ac:dyDescent="0.25">
      <c r="A833" s="1">
        <v>57</v>
      </c>
      <c r="B833" s="1" t="s">
        <v>9</v>
      </c>
      <c r="C833" s="2">
        <v>41113</v>
      </c>
      <c r="D833" s="3">
        <v>18000</v>
      </c>
      <c r="E833" s="1" t="str">
        <f t="shared" si="12"/>
        <v>Jul 2012</v>
      </c>
    </row>
    <row r="834" spans="1:5" ht="10.199999999999999" x14ac:dyDescent="0.25">
      <c r="A834" s="1">
        <v>57</v>
      </c>
      <c r="B834" s="1" t="s">
        <v>9</v>
      </c>
      <c r="C834" s="2">
        <v>41115</v>
      </c>
      <c r="D834" s="3">
        <v>18000</v>
      </c>
      <c r="E834" s="1" t="str">
        <f t="shared" si="12"/>
        <v>Jul 2012</v>
      </c>
    </row>
    <row r="835" spans="1:5" ht="10.199999999999999" x14ac:dyDescent="0.25">
      <c r="A835" s="1">
        <v>57</v>
      </c>
      <c r="B835" s="1" t="s">
        <v>9</v>
      </c>
      <c r="C835" s="2">
        <v>41117</v>
      </c>
      <c r="D835" s="3">
        <v>18000</v>
      </c>
      <c r="E835" s="1" t="str">
        <f t="shared" ref="E835:E898" si="13">TEXT(C835,"mmm yyyy")</f>
        <v>Jul 2012</v>
      </c>
    </row>
    <row r="836" spans="1:5" ht="10.199999999999999" x14ac:dyDescent="0.25">
      <c r="A836" s="1">
        <v>57</v>
      </c>
      <c r="B836" s="1" t="s">
        <v>9</v>
      </c>
      <c r="C836" s="2">
        <v>41120</v>
      </c>
      <c r="D836" s="3">
        <v>18000</v>
      </c>
      <c r="E836" s="1" t="str">
        <f t="shared" si="13"/>
        <v>Jul 2012</v>
      </c>
    </row>
    <row r="837" spans="1:5" ht="10.199999999999999" x14ac:dyDescent="0.25">
      <c r="A837" s="1">
        <v>57</v>
      </c>
      <c r="B837" s="1" t="s">
        <v>9</v>
      </c>
      <c r="C837" s="2">
        <v>41122</v>
      </c>
      <c r="D837" s="3">
        <v>18000</v>
      </c>
      <c r="E837" s="1" t="str">
        <f t="shared" si="13"/>
        <v>Aug 2012</v>
      </c>
    </row>
    <row r="838" spans="1:5" ht="10.199999999999999" x14ac:dyDescent="0.25">
      <c r="A838" s="1">
        <v>57</v>
      </c>
      <c r="B838" s="1" t="s">
        <v>10</v>
      </c>
      <c r="C838" s="2">
        <v>41164</v>
      </c>
      <c r="D838" s="3">
        <v>16</v>
      </c>
      <c r="E838" s="1" t="str">
        <f t="shared" si="13"/>
        <v>Sep 2012</v>
      </c>
    </row>
    <row r="839" spans="1:5" ht="10.199999999999999" x14ac:dyDescent="0.25">
      <c r="A839" s="1">
        <v>57</v>
      </c>
      <c r="B839" s="1" t="s">
        <v>10</v>
      </c>
      <c r="C839" s="2">
        <v>41192</v>
      </c>
      <c r="D839" s="3">
        <v>13</v>
      </c>
      <c r="E839" s="1" t="str">
        <f t="shared" si="13"/>
        <v>Oct 2012</v>
      </c>
    </row>
    <row r="840" spans="1:5" ht="10.199999999999999" x14ac:dyDescent="0.25">
      <c r="A840" s="1">
        <v>57</v>
      </c>
      <c r="B840" s="1" t="s">
        <v>10</v>
      </c>
      <c r="C840" s="2">
        <v>41227</v>
      </c>
      <c r="D840" s="3">
        <v>13</v>
      </c>
      <c r="E840" s="1" t="str">
        <f t="shared" si="13"/>
        <v>Nov 2012</v>
      </c>
    </row>
    <row r="841" spans="1:5" ht="10.199999999999999" x14ac:dyDescent="0.25">
      <c r="A841" s="1">
        <v>58</v>
      </c>
      <c r="B841" s="1" t="s">
        <v>9</v>
      </c>
      <c r="C841" s="2">
        <v>41246</v>
      </c>
      <c r="D841" s="3">
        <v>800</v>
      </c>
      <c r="E841" s="1" t="str">
        <f t="shared" si="13"/>
        <v>Dec 2012</v>
      </c>
    </row>
    <row r="842" spans="1:5" ht="10.199999999999999" x14ac:dyDescent="0.25">
      <c r="A842" s="1">
        <v>59</v>
      </c>
      <c r="B842" s="1" t="s">
        <v>9</v>
      </c>
      <c r="C842" s="2">
        <v>41092</v>
      </c>
      <c r="D842" s="3">
        <v>1300</v>
      </c>
      <c r="E842" s="1" t="str">
        <f t="shared" si="13"/>
        <v>Jul 2012</v>
      </c>
    </row>
    <row r="843" spans="1:5" ht="10.199999999999999" x14ac:dyDescent="0.25">
      <c r="A843" s="1">
        <v>59</v>
      </c>
      <c r="B843" s="1" t="s">
        <v>9</v>
      </c>
      <c r="C843" s="2">
        <v>41094</v>
      </c>
      <c r="D843" s="3">
        <v>1300</v>
      </c>
      <c r="E843" s="1" t="str">
        <f t="shared" si="13"/>
        <v>Jul 2012</v>
      </c>
    </row>
    <row r="844" spans="1:5" ht="10.199999999999999" x14ac:dyDescent="0.25">
      <c r="A844" s="1">
        <v>59</v>
      </c>
      <c r="B844" s="1" t="s">
        <v>9</v>
      </c>
      <c r="C844" s="2">
        <v>41096</v>
      </c>
      <c r="D844" s="3">
        <v>1300</v>
      </c>
      <c r="E844" s="1" t="str">
        <f t="shared" si="13"/>
        <v>Jul 2012</v>
      </c>
    </row>
    <row r="845" spans="1:5" ht="10.199999999999999" x14ac:dyDescent="0.25">
      <c r="A845" s="1">
        <v>59</v>
      </c>
      <c r="B845" s="1" t="s">
        <v>9</v>
      </c>
      <c r="C845" s="2">
        <v>41099</v>
      </c>
      <c r="D845" s="3">
        <v>1300</v>
      </c>
      <c r="E845" s="1" t="str">
        <f t="shared" si="13"/>
        <v>Jul 2012</v>
      </c>
    </row>
    <row r="846" spans="1:5" ht="10.199999999999999" x14ac:dyDescent="0.25">
      <c r="A846" s="1">
        <v>59</v>
      </c>
      <c r="B846" s="1" t="s">
        <v>9</v>
      </c>
      <c r="C846" s="2">
        <v>41101</v>
      </c>
      <c r="D846" s="3">
        <v>1300</v>
      </c>
      <c r="E846" s="1" t="str">
        <f t="shared" si="13"/>
        <v>Jul 2012</v>
      </c>
    </row>
    <row r="847" spans="1:5" ht="10.199999999999999" x14ac:dyDescent="0.25">
      <c r="A847" s="1">
        <v>59</v>
      </c>
      <c r="B847" s="1" t="s">
        <v>9</v>
      </c>
      <c r="C847" s="2">
        <v>41103</v>
      </c>
      <c r="D847" s="3">
        <v>1300</v>
      </c>
      <c r="E847" s="1" t="str">
        <f t="shared" si="13"/>
        <v>Jul 2012</v>
      </c>
    </row>
    <row r="848" spans="1:5" ht="10.199999999999999" x14ac:dyDescent="0.25">
      <c r="A848" s="1">
        <v>59</v>
      </c>
      <c r="B848" s="1" t="s">
        <v>9</v>
      </c>
      <c r="C848" s="2">
        <v>41106</v>
      </c>
      <c r="D848" s="3">
        <v>1300</v>
      </c>
      <c r="E848" s="1" t="str">
        <f t="shared" si="13"/>
        <v>Jul 2012</v>
      </c>
    </row>
    <row r="849" spans="1:5" ht="10.199999999999999" x14ac:dyDescent="0.25">
      <c r="A849" s="1">
        <v>59</v>
      </c>
      <c r="B849" s="1" t="s">
        <v>9</v>
      </c>
      <c r="C849" s="2">
        <v>41108</v>
      </c>
      <c r="D849" s="3">
        <v>1300</v>
      </c>
      <c r="E849" s="1" t="str">
        <f t="shared" si="13"/>
        <v>Jul 2012</v>
      </c>
    </row>
    <row r="850" spans="1:5" ht="10.199999999999999" x14ac:dyDescent="0.25">
      <c r="A850" s="1">
        <v>59</v>
      </c>
      <c r="B850" s="1" t="s">
        <v>9</v>
      </c>
      <c r="C850" s="2">
        <v>41110</v>
      </c>
      <c r="D850" s="3">
        <v>1300</v>
      </c>
      <c r="E850" s="1" t="str">
        <f t="shared" si="13"/>
        <v>Jul 2012</v>
      </c>
    </row>
    <row r="851" spans="1:5" ht="10.199999999999999" x14ac:dyDescent="0.25">
      <c r="A851" s="1">
        <v>59</v>
      </c>
      <c r="B851" s="1" t="s">
        <v>9</v>
      </c>
      <c r="C851" s="2">
        <v>41113</v>
      </c>
      <c r="D851" s="3">
        <v>1300</v>
      </c>
      <c r="E851" s="1" t="str">
        <f t="shared" si="13"/>
        <v>Jul 2012</v>
      </c>
    </row>
    <row r="852" spans="1:5" ht="10.199999999999999" x14ac:dyDescent="0.25">
      <c r="A852" s="1">
        <v>59</v>
      </c>
      <c r="B852" s="1" t="s">
        <v>9</v>
      </c>
      <c r="C852" s="2">
        <v>41115</v>
      </c>
      <c r="D852" s="3">
        <v>1300</v>
      </c>
      <c r="E852" s="1" t="str">
        <f t="shared" si="13"/>
        <v>Jul 2012</v>
      </c>
    </row>
    <row r="853" spans="1:5" ht="10.199999999999999" x14ac:dyDescent="0.25">
      <c r="A853" s="1">
        <v>59</v>
      </c>
      <c r="B853" s="1" t="s">
        <v>9</v>
      </c>
      <c r="C853" s="2">
        <v>41117</v>
      </c>
      <c r="D853" s="3">
        <v>1300</v>
      </c>
      <c r="E853" s="1" t="str">
        <f t="shared" si="13"/>
        <v>Jul 2012</v>
      </c>
    </row>
    <row r="854" spans="1:5" ht="10.199999999999999" x14ac:dyDescent="0.25">
      <c r="A854" s="1">
        <v>59</v>
      </c>
      <c r="B854" s="1" t="s">
        <v>9</v>
      </c>
      <c r="C854" s="2">
        <v>41120</v>
      </c>
      <c r="D854" s="3">
        <v>1300</v>
      </c>
      <c r="E854" s="1" t="str">
        <f t="shared" si="13"/>
        <v>Jul 2012</v>
      </c>
    </row>
    <row r="855" spans="1:5" ht="10.199999999999999" x14ac:dyDescent="0.25">
      <c r="A855" s="1">
        <v>59</v>
      </c>
      <c r="B855" s="1" t="s">
        <v>9</v>
      </c>
      <c r="C855" s="2">
        <v>41122</v>
      </c>
      <c r="D855" s="3">
        <v>1300</v>
      </c>
      <c r="E855" s="1" t="str">
        <f t="shared" si="13"/>
        <v>Aug 2012</v>
      </c>
    </row>
    <row r="856" spans="1:5" ht="10.199999999999999" x14ac:dyDescent="0.25">
      <c r="A856" s="1">
        <v>60</v>
      </c>
      <c r="B856" s="1" t="s">
        <v>9</v>
      </c>
      <c r="C856" s="2">
        <v>41092</v>
      </c>
      <c r="D856" s="3">
        <v>2500</v>
      </c>
      <c r="E856" s="1" t="str">
        <f t="shared" si="13"/>
        <v>Jul 2012</v>
      </c>
    </row>
    <row r="857" spans="1:5" ht="10.199999999999999" x14ac:dyDescent="0.25">
      <c r="A857" s="1">
        <v>60</v>
      </c>
      <c r="B857" s="1" t="s">
        <v>9</v>
      </c>
      <c r="C857" s="2">
        <v>41094</v>
      </c>
      <c r="D857" s="3">
        <v>2500</v>
      </c>
      <c r="E857" s="1" t="str">
        <f t="shared" si="13"/>
        <v>Jul 2012</v>
      </c>
    </row>
    <row r="858" spans="1:5" ht="10.199999999999999" x14ac:dyDescent="0.25">
      <c r="A858" s="1">
        <v>60</v>
      </c>
      <c r="B858" s="1" t="s">
        <v>9</v>
      </c>
      <c r="C858" s="2">
        <v>41096</v>
      </c>
      <c r="D858" s="3">
        <v>2500</v>
      </c>
      <c r="E858" s="1" t="str">
        <f t="shared" si="13"/>
        <v>Jul 2012</v>
      </c>
    </row>
    <row r="859" spans="1:5" ht="10.199999999999999" x14ac:dyDescent="0.25">
      <c r="A859" s="1">
        <v>60</v>
      </c>
      <c r="B859" s="1" t="s">
        <v>9</v>
      </c>
      <c r="C859" s="2">
        <v>41099</v>
      </c>
      <c r="D859" s="3">
        <v>2500</v>
      </c>
      <c r="E859" s="1" t="str">
        <f t="shared" si="13"/>
        <v>Jul 2012</v>
      </c>
    </row>
    <row r="860" spans="1:5" ht="10.199999999999999" x14ac:dyDescent="0.25">
      <c r="A860" s="1">
        <v>60</v>
      </c>
      <c r="B860" s="1" t="s">
        <v>9</v>
      </c>
      <c r="C860" s="2">
        <v>41101</v>
      </c>
      <c r="D860" s="3">
        <v>2500</v>
      </c>
      <c r="E860" s="1" t="str">
        <f t="shared" si="13"/>
        <v>Jul 2012</v>
      </c>
    </row>
    <row r="861" spans="1:5" ht="10.199999999999999" x14ac:dyDescent="0.25">
      <c r="A861" s="1">
        <v>60</v>
      </c>
      <c r="B861" s="1" t="s">
        <v>9</v>
      </c>
      <c r="C861" s="2">
        <v>41103</v>
      </c>
      <c r="D861" s="3">
        <v>2500</v>
      </c>
      <c r="E861" s="1" t="str">
        <f t="shared" si="13"/>
        <v>Jul 2012</v>
      </c>
    </row>
    <row r="862" spans="1:5" ht="10.199999999999999" x14ac:dyDescent="0.25">
      <c r="A862" s="1">
        <v>60</v>
      </c>
      <c r="B862" s="1" t="s">
        <v>9</v>
      </c>
      <c r="C862" s="2">
        <v>41106</v>
      </c>
      <c r="D862" s="3">
        <v>2500</v>
      </c>
      <c r="E862" s="1" t="str">
        <f t="shared" si="13"/>
        <v>Jul 2012</v>
      </c>
    </row>
    <row r="863" spans="1:5" ht="10.199999999999999" x14ac:dyDescent="0.25">
      <c r="A863" s="1">
        <v>60</v>
      </c>
      <c r="B863" s="1" t="s">
        <v>9</v>
      </c>
      <c r="C863" s="2">
        <v>41107</v>
      </c>
      <c r="D863" s="3">
        <v>2500</v>
      </c>
      <c r="E863" s="1" t="str">
        <f t="shared" si="13"/>
        <v>Jul 2012</v>
      </c>
    </row>
    <row r="864" spans="1:5" ht="10.199999999999999" x14ac:dyDescent="0.25">
      <c r="A864" s="1">
        <v>60</v>
      </c>
      <c r="B864" s="1" t="s">
        <v>9</v>
      </c>
      <c r="C864" s="2">
        <v>41110</v>
      </c>
      <c r="D864" s="3">
        <v>2500</v>
      </c>
      <c r="E864" s="1" t="str">
        <f t="shared" si="13"/>
        <v>Jul 2012</v>
      </c>
    </row>
    <row r="865" spans="1:5" ht="10.199999999999999" x14ac:dyDescent="0.25">
      <c r="A865" s="1">
        <v>60</v>
      </c>
      <c r="B865" s="1" t="s">
        <v>9</v>
      </c>
      <c r="C865" s="2">
        <v>41113</v>
      </c>
      <c r="D865" s="3">
        <v>2500</v>
      </c>
      <c r="E865" s="1" t="str">
        <f t="shared" si="13"/>
        <v>Jul 2012</v>
      </c>
    </row>
    <row r="866" spans="1:5" ht="10.199999999999999" x14ac:dyDescent="0.25">
      <c r="A866" s="1">
        <v>60</v>
      </c>
      <c r="B866" s="1" t="s">
        <v>9</v>
      </c>
      <c r="C866" s="2">
        <v>41115</v>
      </c>
      <c r="D866" s="3">
        <v>2500</v>
      </c>
      <c r="E866" s="1" t="str">
        <f t="shared" si="13"/>
        <v>Jul 2012</v>
      </c>
    </row>
    <row r="867" spans="1:5" ht="10.199999999999999" x14ac:dyDescent="0.25">
      <c r="A867" s="1">
        <v>60</v>
      </c>
      <c r="B867" s="1" t="s">
        <v>9</v>
      </c>
      <c r="C867" s="2">
        <v>41117</v>
      </c>
      <c r="D867" s="3">
        <v>2500</v>
      </c>
      <c r="E867" s="1" t="str">
        <f t="shared" si="13"/>
        <v>Jul 2012</v>
      </c>
    </row>
    <row r="868" spans="1:5" ht="10.199999999999999" x14ac:dyDescent="0.25">
      <c r="A868" s="1">
        <v>60</v>
      </c>
      <c r="B868" s="1" t="s">
        <v>9</v>
      </c>
      <c r="C868" s="2">
        <v>41120</v>
      </c>
      <c r="D868" s="3">
        <v>2500</v>
      </c>
      <c r="E868" s="1" t="str">
        <f t="shared" si="13"/>
        <v>Jul 2012</v>
      </c>
    </row>
    <row r="869" spans="1:5" ht="10.199999999999999" x14ac:dyDescent="0.25">
      <c r="A869" s="1">
        <v>60</v>
      </c>
      <c r="B869" s="1" t="s">
        <v>9</v>
      </c>
      <c r="C869" s="2">
        <v>41122</v>
      </c>
      <c r="D869" s="3">
        <v>2500</v>
      </c>
      <c r="E869" s="1" t="str">
        <f t="shared" si="13"/>
        <v>Aug 2012</v>
      </c>
    </row>
    <row r="870" spans="1:5" ht="10.199999999999999" x14ac:dyDescent="0.25">
      <c r="A870" s="1">
        <v>60</v>
      </c>
      <c r="B870" s="1" t="s">
        <v>9</v>
      </c>
      <c r="C870" s="2">
        <v>41124</v>
      </c>
      <c r="D870" s="3">
        <v>2500</v>
      </c>
      <c r="E870" s="1" t="str">
        <f t="shared" si="13"/>
        <v>Aug 2012</v>
      </c>
    </row>
    <row r="871" spans="1:5" ht="10.199999999999999" x14ac:dyDescent="0.25">
      <c r="A871" s="1">
        <v>60</v>
      </c>
      <c r="B871" s="1" t="s">
        <v>9</v>
      </c>
      <c r="C871" s="2">
        <v>41127</v>
      </c>
      <c r="D871" s="3">
        <v>2500</v>
      </c>
      <c r="E871" s="1" t="str">
        <f t="shared" si="13"/>
        <v>Aug 2012</v>
      </c>
    </row>
    <row r="872" spans="1:5" ht="10.199999999999999" x14ac:dyDescent="0.25">
      <c r="A872" s="1">
        <v>60</v>
      </c>
      <c r="B872" s="1" t="s">
        <v>9</v>
      </c>
      <c r="C872" s="2">
        <v>41129</v>
      </c>
      <c r="D872" s="3">
        <v>2500</v>
      </c>
      <c r="E872" s="1" t="str">
        <f t="shared" si="13"/>
        <v>Aug 2012</v>
      </c>
    </row>
    <row r="873" spans="1:5" ht="10.199999999999999" x14ac:dyDescent="0.25">
      <c r="A873" s="1">
        <v>60</v>
      </c>
      <c r="B873" s="1" t="s">
        <v>9</v>
      </c>
      <c r="C873" s="2">
        <v>41131</v>
      </c>
      <c r="D873" s="3">
        <v>2500</v>
      </c>
      <c r="E873" s="1" t="str">
        <f t="shared" si="13"/>
        <v>Aug 2012</v>
      </c>
    </row>
    <row r="874" spans="1:5" ht="10.199999999999999" x14ac:dyDescent="0.25">
      <c r="A874" s="1">
        <v>60</v>
      </c>
      <c r="B874" s="1" t="s">
        <v>9</v>
      </c>
      <c r="C874" s="2">
        <v>41134</v>
      </c>
      <c r="D874" s="3">
        <v>2500</v>
      </c>
      <c r="E874" s="1" t="str">
        <f t="shared" si="13"/>
        <v>Aug 2012</v>
      </c>
    </row>
    <row r="875" spans="1:5" ht="10.199999999999999" x14ac:dyDescent="0.25">
      <c r="A875" s="1">
        <v>60</v>
      </c>
      <c r="B875" s="1" t="s">
        <v>9</v>
      </c>
      <c r="C875" s="2">
        <v>41136</v>
      </c>
      <c r="D875" s="3">
        <v>2500</v>
      </c>
      <c r="E875" s="1" t="str">
        <f t="shared" si="13"/>
        <v>Aug 2012</v>
      </c>
    </row>
    <row r="876" spans="1:5" ht="10.199999999999999" x14ac:dyDescent="0.25">
      <c r="A876" s="1">
        <v>60</v>
      </c>
      <c r="B876" s="1" t="s">
        <v>9</v>
      </c>
      <c r="C876" s="2">
        <v>41138</v>
      </c>
      <c r="D876" s="3">
        <v>2500</v>
      </c>
      <c r="E876" s="1" t="str">
        <f t="shared" si="13"/>
        <v>Aug 2012</v>
      </c>
    </row>
    <row r="877" spans="1:5" ht="10.199999999999999" x14ac:dyDescent="0.25">
      <c r="A877" s="1">
        <v>60</v>
      </c>
      <c r="B877" s="1" t="s">
        <v>9</v>
      </c>
      <c r="C877" s="2">
        <v>41141</v>
      </c>
      <c r="D877" s="3">
        <v>2500</v>
      </c>
      <c r="E877" s="1" t="str">
        <f t="shared" si="13"/>
        <v>Aug 2012</v>
      </c>
    </row>
    <row r="878" spans="1:5" ht="10.199999999999999" x14ac:dyDescent="0.25">
      <c r="A878" s="1">
        <v>60</v>
      </c>
      <c r="B878" s="1" t="s">
        <v>9</v>
      </c>
      <c r="C878" s="2">
        <v>41143</v>
      </c>
      <c r="D878" s="3">
        <v>2500</v>
      </c>
      <c r="E878" s="1" t="str">
        <f t="shared" si="13"/>
        <v>Aug 2012</v>
      </c>
    </row>
    <row r="879" spans="1:5" ht="10.199999999999999" x14ac:dyDescent="0.25">
      <c r="A879" s="1">
        <v>60</v>
      </c>
      <c r="B879" s="1" t="s">
        <v>9</v>
      </c>
      <c r="C879" s="2">
        <v>41145</v>
      </c>
      <c r="D879" s="3">
        <v>2500</v>
      </c>
      <c r="E879" s="1" t="str">
        <f t="shared" si="13"/>
        <v>Aug 2012</v>
      </c>
    </row>
    <row r="880" spans="1:5" ht="10.199999999999999" x14ac:dyDescent="0.25">
      <c r="A880" s="1">
        <v>60</v>
      </c>
      <c r="B880" s="1" t="s">
        <v>9</v>
      </c>
      <c r="C880" s="2">
        <v>41148</v>
      </c>
      <c r="D880" s="3">
        <v>2500</v>
      </c>
      <c r="E880" s="1" t="str">
        <f t="shared" si="13"/>
        <v>Aug 2012</v>
      </c>
    </row>
    <row r="881" spans="1:5" ht="10.199999999999999" x14ac:dyDescent="0.25">
      <c r="A881" s="1">
        <v>60</v>
      </c>
      <c r="B881" s="1" t="s">
        <v>9</v>
      </c>
      <c r="C881" s="2">
        <v>41150</v>
      </c>
      <c r="D881" s="3">
        <v>2500</v>
      </c>
      <c r="E881" s="1" t="str">
        <f t="shared" si="13"/>
        <v>Aug 2012</v>
      </c>
    </row>
    <row r="882" spans="1:5" ht="10.199999999999999" x14ac:dyDescent="0.25">
      <c r="A882" s="1">
        <v>60</v>
      </c>
      <c r="B882" s="1" t="s">
        <v>9</v>
      </c>
      <c r="C882" s="2">
        <v>41152</v>
      </c>
      <c r="D882" s="3">
        <v>2500</v>
      </c>
      <c r="E882" s="1" t="str">
        <f t="shared" si="13"/>
        <v>Aug 2012</v>
      </c>
    </row>
    <row r="883" spans="1:5" ht="10.199999999999999" x14ac:dyDescent="0.25">
      <c r="A883" s="1">
        <v>60</v>
      </c>
      <c r="B883" s="1" t="s">
        <v>9</v>
      </c>
      <c r="C883" s="2">
        <v>41155</v>
      </c>
      <c r="D883" s="3">
        <v>2500</v>
      </c>
      <c r="E883" s="1" t="str">
        <f t="shared" si="13"/>
        <v>Sep 2012</v>
      </c>
    </row>
    <row r="884" spans="1:5" ht="10.199999999999999" x14ac:dyDescent="0.25">
      <c r="A884" s="1">
        <v>60</v>
      </c>
      <c r="B884" s="1" t="s">
        <v>9</v>
      </c>
      <c r="C884" s="2">
        <v>41157</v>
      </c>
      <c r="D884" s="3">
        <v>2500</v>
      </c>
      <c r="E884" s="1" t="str">
        <f t="shared" si="13"/>
        <v>Sep 2012</v>
      </c>
    </row>
    <row r="885" spans="1:5" ht="10.199999999999999" x14ac:dyDescent="0.25">
      <c r="A885" s="1">
        <v>60</v>
      </c>
      <c r="B885" s="1" t="s">
        <v>10</v>
      </c>
      <c r="C885" s="2">
        <v>41165</v>
      </c>
      <c r="D885" s="3">
        <v>5</v>
      </c>
      <c r="E885" s="1" t="str">
        <f t="shared" si="13"/>
        <v>Sep 2012</v>
      </c>
    </row>
    <row r="886" spans="1:5" ht="10.199999999999999" x14ac:dyDescent="0.25">
      <c r="A886" s="1">
        <v>60</v>
      </c>
      <c r="B886" s="1" t="s">
        <v>10</v>
      </c>
      <c r="C886" s="2">
        <v>41192</v>
      </c>
      <c r="D886" s="3">
        <v>5</v>
      </c>
      <c r="E886" s="1" t="str">
        <f t="shared" si="13"/>
        <v>Oct 2012</v>
      </c>
    </row>
    <row r="887" spans="1:5" ht="10.199999999999999" x14ac:dyDescent="0.25">
      <c r="A887" s="1">
        <v>60</v>
      </c>
      <c r="B887" s="1" t="s">
        <v>10</v>
      </c>
      <c r="C887" s="2">
        <v>41227</v>
      </c>
      <c r="D887" s="3">
        <v>6</v>
      </c>
      <c r="E887" s="1" t="str">
        <f t="shared" si="13"/>
        <v>Nov 2012</v>
      </c>
    </row>
    <row r="888" spans="1:5" ht="10.199999999999999" x14ac:dyDescent="0.25">
      <c r="A888" s="1">
        <v>61</v>
      </c>
      <c r="B888" s="1" t="s">
        <v>9</v>
      </c>
      <c r="C888" s="2">
        <v>41093</v>
      </c>
      <c r="D888" s="3">
        <v>1000</v>
      </c>
      <c r="E888" s="1" t="str">
        <f t="shared" si="13"/>
        <v>Jul 2012</v>
      </c>
    </row>
    <row r="889" spans="1:5" ht="10.199999999999999" x14ac:dyDescent="0.25">
      <c r="A889" s="1">
        <v>61</v>
      </c>
      <c r="B889" s="1" t="s">
        <v>9</v>
      </c>
      <c r="C889" s="2">
        <v>41095</v>
      </c>
      <c r="D889" s="3">
        <v>1000</v>
      </c>
      <c r="E889" s="1" t="str">
        <f t="shared" si="13"/>
        <v>Jul 2012</v>
      </c>
    </row>
    <row r="890" spans="1:5" ht="10.199999999999999" x14ac:dyDescent="0.25">
      <c r="A890" s="1">
        <v>61</v>
      </c>
      <c r="B890" s="1" t="s">
        <v>9</v>
      </c>
      <c r="C890" s="2">
        <v>41125</v>
      </c>
      <c r="D890" s="3">
        <v>800</v>
      </c>
      <c r="E890" s="1" t="str">
        <f t="shared" si="13"/>
        <v>Aug 2012</v>
      </c>
    </row>
    <row r="891" spans="1:5" ht="10.199999999999999" x14ac:dyDescent="0.25">
      <c r="A891" s="1">
        <v>61</v>
      </c>
      <c r="B891" s="1" t="s">
        <v>9</v>
      </c>
      <c r="C891" s="2">
        <v>41130</v>
      </c>
      <c r="D891" s="3">
        <v>800</v>
      </c>
      <c r="E891" s="1" t="str">
        <f t="shared" si="13"/>
        <v>Aug 2012</v>
      </c>
    </row>
    <row r="892" spans="1:5" ht="10.199999999999999" x14ac:dyDescent="0.25">
      <c r="A892" s="1">
        <v>61</v>
      </c>
      <c r="B892" s="1" t="s">
        <v>9</v>
      </c>
      <c r="C892" s="2">
        <v>41135</v>
      </c>
      <c r="D892" s="3">
        <v>800</v>
      </c>
      <c r="E892" s="1" t="str">
        <f t="shared" si="13"/>
        <v>Aug 2012</v>
      </c>
    </row>
    <row r="893" spans="1:5" ht="10.199999999999999" x14ac:dyDescent="0.25">
      <c r="A893" s="1">
        <v>61</v>
      </c>
      <c r="B893" s="1" t="s">
        <v>9</v>
      </c>
      <c r="C893" s="2">
        <v>41137</v>
      </c>
      <c r="D893" s="3">
        <v>800</v>
      </c>
      <c r="E893" s="1" t="str">
        <f t="shared" si="13"/>
        <v>Aug 2012</v>
      </c>
    </row>
    <row r="894" spans="1:5" ht="10.199999999999999" x14ac:dyDescent="0.25">
      <c r="A894" s="1">
        <v>61</v>
      </c>
      <c r="B894" s="1" t="s">
        <v>9</v>
      </c>
      <c r="C894" s="2">
        <v>41139</v>
      </c>
      <c r="D894" s="3">
        <v>800</v>
      </c>
      <c r="E894" s="1" t="str">
        <f t="shared" si="13"/>
        <v>Aug 2012</v>
      </c>
    </row>
    <row r="895" spans="1:5" ht="10.199999999999999" x14ac:dyDescent="0.25">
      <c r="A895" s="1">
        <v>61</v>
      </c>
      <c r="B895" s="1" t="s">
        <v>9</v>
      </c>
      <c r="C895" s="2">
        <v>41144</v>
      </c>
      <c r="D895" s="3">
        <v>800</v>
      </c>
      <c r="E895" s="1" t="str">
        <f t="shared" si="13"/>
        <v>Aug 2012</v>
      </c>
    </row>
    <row r="896" spans="1:5" ht="10.199999999999999" x14ac:dyDescent="0.25">
      <c r="A896" s="1">
        <v>61</v>
      </c>
      <c r="B896" s="1" t="s">
        <v>9</v>
      </c>
      <c r="C896" s="2">
        <v>41146</v>
      </c>
      <c r="D896" s="3">
        <v>800</v>
      </c>
      <c r="E896" s="1" t="str">
        <f t="shared" si="13"/>
        <v>Aug 2012</v>
      </c>
    </row>
    <row r="897" spans="1:5" ht="10.199999999999999" x14ac:dyDescent="0.25">
      <c r="A897" s="1">
        <v>61</v>
      </c>
      <c r="B897" s="1" t="s">
        <v>9</v>
      </c>
      <c r="C897" s="2">
        <v>41149</v>
      </c>
      <c r="D897" s="3">
        <v>800</v>
      </c>
      <c r="E897" s="1" t="str">
        <f t="shared" si="13"/>
        <v>Aug 2012</v>
      </c>
    </row>
    <row r="898" spans="1:5" ht="10.199999999999999" x14ac:dyDescent="0.25">
      <c r="A898" s="1">
        <v>62</v>
      </c>
      <c r="B898" s="1" t="s">
        <v>9</v>
      </c>
      <c r="C898" s="2">
        <v>41155</v>
      </c>
      <c r="D898" s="3">
        <v>1400</v>
      </c>
      <c r="E898" s="1" t="str">
        <f t="shared" si="13"/>
        <v>Sep 2012</v>
      </c>
    </row>
    <row r="899" spans="1:5" ht="10.199999999999999" x14ac:dyDescent="0.25">
      <c r="A899" s="1">
        <v>63</v>
      </c>
      <c r="B899" s="1" t="s">
        <v>9</v>
      </c>
      <c r="C899" s="2">
        <v>41092</v>
      </c>
      <c r="D899" s="3">
        <v>4000</v>
      </c>
      <c r="E899" s="1" t="str">
        <f t="shared" ref="E899:E962" si="14">TEXT(C899,"mmm yyyy")</f>
        <v>Jul 2012</v>
      </c>
    </row>
    <row r="900" spans="1:5" ht="10.199999999999999" x14ac:dyDescent="0.25">
      <c r="A900" s="1">
        <v>63</v>
      </c>
      <c r="B900" s="1" t="s">
        <v>9</v>
      </c>
      <c r="C900" s="2">
        <v>41094</v>
      </c>
      <c r="D900" s="3">
        <v>4000</v>
      </c>
      <c r="E900" s="1" t="str">
        <f t="shared" si="14"/>
        <v>Jul 2012</v>
      </c>
    </row>
    <row r="901" spans="1:5" ht="10.199999999999999" x14ac:dyDescent="0.25">
      <c r="A901" s="1">
        <v>63</v>
      </c>
      <c r="B901" s="1" t="s">
        <v>9</v>
      </c>
      <c r="C901" s="2">
        <v>41096</v>
      </c>
      <c r="D901" s="3">
        <v>4000</v>
      </c>
      <c r="E901" s="1" t="str">
        <f t="shared" si="14"/>
        <v>Jul 2012</v>
      </c>
    </row>
    <row r="902" spans="1:5" ht="10.199999999999999" x14ac:dyDescent="0.25">
      <c r="A902" s="1">
        <v>63</v>
      </c>
      <c r="B902" s="1" t="s">
        <v>9</v>
      </c>
      <c r="C902" s="2">
        <v>41099</v>
      </c>
      <c r="D902" s="3">
        <v>4000</v>
      </c>
      <c r="E902" s="1" t="str">
        <f t="shared" si="14"/>
        <v>Jul 2012</v>
      </c>
    </row>
    <row r="903" spans="1:5" ht="10.199999999999999" x14ac:dyDescent="0.25">
      <c r="A903" s="1">
        <v>63</v>
      </c>
      <c r="B903" s="1" t="s">
        <v>9</v>
      </c>
      <c r="C903" s="2">
        <v>41101</v>
      </c>
      <c r="D903" s="3">
        <v>4000</v>
      </c>
      <c r="E903" s="1" t="str">
        <f t="shared" si="14"/>
        <v>Jul 2012</v>
      </c>
    </row>
    <row r="904" spans="1:5" ht="10.199999999999999" x14ac:dyDescent="0.25">
      <c r="A904" s="1">
        <v>63</v>
      </c>
      <c r="B904" s="1" t="s">
        <v>9</v>
      </c>
      <c r="C904" s="2">
        <v>41103</v>
      </c>
      <c r="D904" s="3">
        <v>4000</v>
      </c>
      <c r="E904" s="1" t="str">
        <f t="shared" si="14"/>
        <v>Jul 2012</v>
      </c>
    </row>
    <row r="905" spans="1:5" ht="10.199999999999999" x14ac:dyDescent="0.25">
      <c r="A905" s="1">
        <v>63</v>
      </c>
      <c r="B905" s="1" t="s">
        <v>9</v>
      </c>
      <c r="C905" s="2">
        <v>41106</v>
      </c>
      <c r="D905" s="3">
        <v>4000</v>
      </c>
      <c r="E905" s="1" t="str">
        <f t="shared" si="14"/>
        <v>Jul 2012</v>
      </c>
    </row>
    <row r="906" spans="1:5" ht="10.199999999999999" x14ac:dyDescent="0.25">
      <c r="A906" s="1">
        <v>63</v>
      </c>
      <c r="B906" s="1" t="s">
        <v>9</v>
      </c>
      <c r="C906" s="2">
        <v>41108</v>
      </c>
      <c r="D906" s="3">
        <v>4000</v>
      </c>
      <c r="E906" s="1" t="str">
        <f t="shared" si="14"/>
        <v>Jul 2012</v>
      </c>
    </row>
    <row r="907" spans="1:5" ht="10.199999999999999" x14ac:dyDescent="0.25">
      <c r="A907" s="1">
        <v>63</v>
      </c>
      <c r="B907" s="1" t="s">
        <v>9</v>
      </c>
      <c r="C907" s="2">
        <v>41110</v>
      </c>
      <c r="D907" s="3">
        <v>4000</v>
      </c>
      <c r="E907" s="1" t="str">
        <f t="shared" si="14"/>
        <v>Jul 2012</v>
      </c>
    </row>
    <row r="908" spans="1:5" ht="10.199999999999999" x14ac:dyDescent="0.25">
      <c r="A908" s="1">
        <v>63</v>
      </c>
      <c r="B908" s="1" t="s">
        <v>9</v>
      </c>
      <c r="C908" s="2">
        <v>41113</v>
      </c>
      <c r="D908" s="3">
        <v>4000</v>
      </c>
      <c r="E908" s="1" t="str">
        <f t="shared" si="14"/>
        <v>Jul 2012</v>
      </c>
    </row>
    <row r="909" spans="1:5" ht="10.199999999999999" x14ac:dyDescent="0.25">
      <c r="A909" s="1">
        <v>63</v>
      </c>
      <c r="B909" s="1" t="s">
        <v>9</v>
      </c>
      <c r="C909" s="2">
        <v>41115</v>
      </c>
      <c r="D909" s="3">
        <v>4000</v>
      </c>
      <c r="E909" s="1" t="str">
        <f t="shared" si="14"/>
        <v>Jul 2012</v>
      </c>
    </row>
    <row r="910" spans="1:5" ht="10.199999999999999" x14ac:dyDescent="0.25">
      <c r="A910" s="1">
        <v>63</v>
      </c>
      <c r="B910" s="1" t="s">
        <v>9</v>
      </c>
      <c r="C910" s="2">
        <v>41117</v>
      </c>
      <c r="D910" s="3">
        <v>4000</v>
      </c>
      <c r="E910" s="1" t="str">
        <f t="shared" si="14"/>
        <v>Jul 2012</v>
      </c>
    </row>
    <row r="911" spans="1:5" ht="10.199999999999999" x14ac:dyDescent="0.25">
      <c r="A911" s="1">
        <v>63</v>
      </c>
      <c r="B911" s="1" t="s">
        <v>9</v>
      </c>
      <c r="C911" s="2">
        <v>41120</v>
      </c>
      <c r="D911" s="3">
        <v>4000</v>
      </c>
      <c r="E911" s="1" t="str">
        <f t="shared" si="14"/>
        <v>Jul 2012</v>
      </c>
    </row>
    <row r="912" spans="1:5" ht="10.199999999999999" x14ac:dyDescent="0.25">
      <c r="A912" s="1">
        <v>63</v>
      </c>
      <c r="B912" s="1" t="s">
        <v>9</v>
      </c>
      <c r="C912" s="2">
        <v>41122</v>
      </c>
      <c r="D912" s="3">
        <v>4000</v>
      </c>
      <c r="E912" s="1" t="str">
        <f t="shared" si="14"/>
        <v>Aug 2012</v>
      </c>
    </row>
    <row r="913" spans="1:5" ht="10.199999999999999" x14ac:dyDescent="0.25">
      <c r="A913" s="1">
        <v>63</v>
      </c>
      <c r="B913" s="1" t="s">
        <v>9</v>
      </c>
      <c r="C913" s="2">
        <v>41124</v>
      </c>
      <c r="D913" s="3">
        <v>4000</v>
      </c>
      <c r="E913" s="1" t="str">
        <f t="shared" si="14"/>
        <v>Aug 2012</v>
      </c>
    </row>
    <row r="914" spans="1:5" ht="10.199999999999999" x14ac:dyDescent="0.25">
      <c r="A914" s="1">
        <v>63</v>
      </c>
      <c r="B914" s="1" t="s">
        <v>9</v>
      </c>
      <c r="C914" s="2">
        <v>41127</v>
      </c>
      <c r="D914" s="3">
        <v>4000</v>
      </c>
      <c r="E914" s="1" t="str">
        <f t="shared" si="14"/>
        <v>Aug 2012</v>
      </c>
    </row>
    <row r="915" spans="1:5" ht="10.199999999999999" x14ac:dyDescent="0.25">
      <c r="A915" s="1">
        <v>63</v>
      </c>
      <c r="B915" s="1" t="s">
        <v>9</v>
      </c>
      <c r="C915" s="2">
        <v>41129</v>
      </c>
      <c r="D915" s="3">
        <v>4000</v>
      </c>
      <c r="E915" s="1" t="str">
        <f t="shared" si="14"/>
        <v>Aug 2012</v>
      </c>
    </row>
    <row r="916" spans="1:5" ht="10.199999999999999" x14ac:dyDescent="0.25">
      <c r="A916" s="1">
        <v>63</v>
      </c>
      <c r="B916" s="1" t="s">
        <v>9</v>
      </c>
      <c r="C916" s="2">
        <v>41131</v>
      </c>
      <c r="D916" s="3">
        <v>4000</v>
      </c>
      <c r="E916" s="1" t="str">
        <f t="shared" si="14"/>
        <v>Aug 2012</v>
      </c>
    </row>
    <row r="917" spans="1:5" ht="10.199999999999999" x14ac:dyDescent="0.25">
      <c r="A917" s="1">
        <v>63</v>
      </c>
      <c r="B917" s="1" t="s">
        <v>9</v>
      </c>
      <c r="C917" s="2">
        <v>41134</v>
      </c>
      <c r="D917" s="3">
        <v>4000</v>
      </c>
      <c r="E917" s="1" t="str">
        <f t="shared" si="14"/>
        <v>Aug 2012</v>
      </c>
    </row>
    <row r="918" spans="1:5" ht="10.199999999999999" x14ac:dyDescent="0.25">
      <c r="A918" s="1">
        <v>63</v>
      </c>
      <c r="B918" s="1" t="s">
        <v>9</v>
      </c>
      <c r="C918" s="2">
        <v>41136</v>
      </c>
      <c r="D918" s="3">
        <v>4000</v>
      </c>
      <c r="E918" s="1" t="str">
        <f t="shared" si="14"/>
        <v>Aug 2012</v>
      </c>
    </row>
    <row r="919" spans="1:5" ht="10.199999999999999" x14ac:dyDescent="0.25">
      <c r="A919" s="1">
        <v>63</v>
      </c>
      <c r="B919" s="1" t="s">
        <v>9</v>
      </c>
      <c r="C919" s="2">
        <v>41138</v>
      </c>
      <c r="D919" s="3">
        <v>4000</v>
      </c>
      <c r="E919" s="1" t="str">
        <f t="shared" si="14"/>
        <v>Aug 2012</v>
      </c>
    </row>
    <row r="920" spans="1:5" ht="10.199999999999999" x14ac:dyDescent="0.25">
      <c r="A920" s="1">
        <v>63</v>
      </c>
      <c r="B920" s="1" t="s">
        <v>10</v>
      </c>
      <c r="C920" s="2">
        <v>41164</v>
      </c>
      <c r="D920" s="3">
        <v>6</v>
      </c>
      <c r="E920" s="1" t="str">
        <f t="shared" si="14"/>
        <v>Sep 2012</v>
      </c>
    </row>
    <row r="921" spans="1:5" ht="10.199999999999999" x14ac:dyDescent="0.25">
      <c r="A921" s="1">
        <v>63</v>
      </c>
      <c r="B921" s="1" t="s">
        <v>10</v>
      </c>
      <c r="C921" s="2">
        <v>41192</v>
      </c>
      <c r="D921" s="3">
        <v>5</v>
      </c>
      <c r="E921" s="1" t="str">
        <f t="shared" si="14"/>
        <v>Oct 2012</v>
      </c>
    </row>
    <row r="922" spans="1:5" ht="10.199999999999999" x14ac:dyDescent="0.25">
      <c r="A922" s="1">
        <v>64</v>
      </c>
      <c r="B922" s="1" t="s">
        <v>9</v>
      </c>
      <c r="C922" s="2">
        <v>41127</v>
      </c>
      <c r="D922" s="3">
        <v>5700</v>
      </c>
      <c r="E922" s="1" t="str">
        <f t="shared" si="14"/>
        <v>Aug 2012</v>
      </c>
    </row>
    <row r="923" spans="1:5" ht="10.199999999999999" x14ac:dyDescent="0.25">
      <c r="A923" s="1">
        <v>64</v>
      </c>
      <c r="B923" s="1" t="s">
        <v>9</v>
      </c>
      <c r="C923" s="2">
        <v>41129</v>
      </c>
      <c r="D923" s="3">
        <v>5700</v>
      </c>
      <c r="E923" s="1" t="str">
        <f t="shared" si="14"/>
        <v>Aug 2012</v>
      </c>
    </row>
    <row r="924" spans="1:5" ht="10.199999999999999" x14ac:dyDescent="0.25">
      <c r="A924" s="1">
        <v>64</v>
      </c>
      <c r="B924" s="1" t="s">
        <v>9</v>
      </c>
      <c r="C924" s="2">
        <v>41131</v>
      </c>
      <c r="D924" s="3">
        <v>5700</v>
      </c>
      <c r="E924" s="1" t="str">
        <f t="shared" si="14"/>
        <v>Aug 2012</v>
      </c>
    </row>
    <row r="925" spans="1:5" ht="10.199999999999999" x14ac:dyDescent="0.25">
      <c r="A925" s="1">
        <v>64</v>
      </c>
      <c r="B925" s="1" t="s">
        <v>9</v>
      </c>
      <c r="C925" s="2">
        <v>41134</v>
      </c>
      <c r="D925" s="3">
        <v>5700</v>
      </c>
      <c r="E925" s="1" t="str">
        <f t="shared" si="14"/>
        <v>Aug 2012</v>
      </c>
    </row>
    <row r="926" spans="1:5" ht="10.199999999999999" x14ac:dyDescent="0.25">
      <c r="A926" s="1">
        <v>64</v>
      </c>
      <c r="B926" s="1" t="s">
        <v>9</v>
      </c>
      <c r="C926" s="2">
        <v>41136</v>
      </c>
      <c r="D926" s="3">
        <v>5700</v>
      </c>
      <c r="E926" s="1" t="str">
        <f t="shared" si="14"/>
        <v>Aug 2012</v>
      </c>
    </row>
    <row r="927" spans="1:5" ht="10.199999999999999" x14ac:dyDescent="0.25">
      <c r="A927" s="1">
        <v>64</v>
      </c>
      <c r="B927" s="1" t="s">
        <v>9</v>
      </c>
      <c r="C927" s="2">
        <v>41138</v>
      </c>
      <c r="D927" s="3">
        <v>5700</v>
      </c>
      <c r="E927" s="1" t="str">
        <f t="shared" si="14"/>
        <v>Aug 2012</v>
      </c>
    </row>
    <row r="928" spans="1:5" ht="10.199999999999999" x14ac:dyDescent="0.25">
      <c r="A928" s="1">
        <v>64</v>
      </c>
      <c r="B928" s="1" t="s">
        <v>9</v>
      </c>
      <c r="C928" s="2">
        <v>41141</v>
      </c>
      <c r="D928" s="3">
        <v>5700</v>
      </c>
      <c r="E928" s="1" t="str">
        <f t="shared" si="14"/>
        <v>Aug 2012</v>
      </c>
    </row>
    <row r="929" spans="1:5" ht="10.199999999999999" x14ac:dyDescent="0.25">
      <c r="A929" s="1">
        <v>64</v>
      </c>
      <c r="B929" s="1" t="s">
        <v>9</v>
      </c>
      <c r="C929" s="2">
        <v>41143</v>
      </c>
      <c r="D929" s="3">
        <v>5700</v>
      </c>
      <c r="E929" s="1" t="str">
        <f t="shared" si="14"/>
        <v>Aug 2012</v>
      </c>
    </row>
    <row r="930" spans="1:5" ht="10.199999999999999" x14ac:dyDescent="0.25">
      <c r="A930" s="1">
        <v>64</v>
      </c>
      <c r="B930" s="1" t="s">
        <v>9</v>
      </c>
      <c r="C930" s="2">
        <v>41145</v>
      </c>
      <c r="D930" s="3">
        <v>5700</v>
      </c>
      <c r="E930" s="1" t="str">
        <f t="shared" si="14"/>
        <v>Aug 2012</v>
      </c>
    </row>
    <row r="931" spans="1:5" ht="10.199999999999999" x14ac:dyDescent="0.25">
      <c r="A931" s="1">
        <v>64</v>
      </c>
      <c r="B931" s="1" t="s">
        <v>9</v>
      </c>
      <c r="C931" s="2">
        <v>41149</v>
      </c>
      <c r="D931" s="3">
        <v>5700</v>
      </c>
      <c r="E931" s="1" t="str">
        <f t="shared" si="14"/>
        <v>Aug 2012</v>
      </c>
    </row>
    <row r="932" spans="1:5" ht="10.199999999999999" x14ac:dyDescent="0.25">
      <c r="A932" s="1">
        <v>64</v>
      </c>
      <c r="B932" s="1" t="s">
        <v>9</v>
      </c>
      <c r="C932" s="2">
        <v>41150</v>
      </c>
      <c r="D932" s="3">
        <v>5700</v>
      </c>
      <c r="E932" s="1" t="str">
        <f t="shared" si="14"/>
        <v>Aug 2012</v>
      </c>
    </row>
    <row r="933" spans="1:5" ht="10.199999999999999" x14ac:dyDescent="0.25">
      <c r="A933" s="1">
        <v>64</v>
      </c>
      <c r="B933" s="1" t="s">
        <v>9</v>
      </c>
      <c r="C933" s="2">
        <v>41152</v>
      </c>
      <c r="D933" s="3">
        <v>5700</v>
      </c>
      <c r="E933" s="1" t="str">
        <f t="shared" si="14"/>
        <v>Aug 2012</v>
      </c>
    </row>
    <row r="934" spans="1:5" ht="10.199999999999999" x14ac:dyDescent="0.25">
      <c r="A934" s="1">
        <v>64</v>
      </c>
      <c r="B934" s="1" t="s">
        <v>9</v>
      </c>
      <c r="C934" s="2">
        <v>41156</v>
      </c>
      <c r="D934" s="3">
        <v>5700</v>
      </c>
      <c r="E934" s="1" t="str">
        <f t="shared" si="14"/>
        <v>Sep 2012</v>
      </c>
    </row>
    <row r="935" spans="1:5" ht="10.199999999999999" x14ac:dyDescent="0.25">
      <c r="A935" s="1">
        <v>64</v>
      </c>
      <c r="B935" s="1" t="s">
        <v>9</v>
      </c>
      <c r="C935" s="2">
        <v>41157</v>
      </c>
      <c r="D935" s="3">
        <v>5700</v>
      </c>
      <c r="E935" s="1" t="str">
        <f t="shared" si="14"/>
        <v>Sep 2012</v>
      </c>
    </row>
    <row r="936" spans="1:5" ht="10.199999999999999" x14ac:dyDescent="0.25">
      <c r="A936" s="1">
        <v>65</v>
      </c>
      <c r="B936" s="1" t="s">
        <v>9</v>
      </c>
      <c r="C936" s="2">
        <v>41093</v>
      </c>
      <c r="D936" s="3">
        <v>14500</v>
      </c>
      <c r="E936" s="1" t="str">
        <f t="shared" si="14"/>
        <v>Jul 2012</v>
      </c>
    </row>
    <row r="937" spans="1:5" ht="10.199999999999999" x14ac:dyDescent="0.25">
      <c r="A937" s="1">
        <v>65</v>
      </c>
      <c r="B937" s="1" t="s">
        <v>9</v>
      </c>
      <c r="C937" s="2">
        <v>41095</v>
      </c>
      <c r="D937" s="3">
        <v>14500</v>
      </c>
      <c r="E937" s="1" t="str">
        <f t="shared" si="14"/>
        <v>Jul 2012</v>
      </c>
    </row>
    <row r="938" spans="1:5" ht="10.199999999999999" x14ac:dyDescent="0.25">
      <c r="A938" s="1">
        <v>65</v>
      </c>
      <c r="B938" s="1" t="s">
        <v>9</v>
      </c>
      <c r="C938" s="2">
        <v>41097</v>
      </c>
      <c r="D938" s="3">
        <v>16000</v>
      </c>
      <c r="E938" s="1" t="str">
        <f t="shared" si="14"/>
        <v>Jul 2012</v>
      </c>
    </row>
    <row r="939" spans="1:5" ht="10.199999999999999" x14ac:dyDescent="0.25">
      <c r="A939" s="1">
        <v>65</v>
      </c>
      <c r="B939" s="1" t="s">
        <v>9</v>
      </c>
      <c r="C939" s="2">
        <v>41100</v>
      </c>
      <c r="D939" s="3">
        <v>16000</v>
      </c>
      <c r="E939" s="1" t="str">
        <f t="shared" si="14"/>
        <v>Jul 2012</v>
      </c>
    </row>
    <row r="940" spans="1:5" ht="10.199999999999999" x14ac:dyDescent="0.25">
      <c r="A940" s="1">
        <v>65</v>
      </c>
      <c r="B940" s="1" t="s">
        <v>9</v>
      </c>
      <c r="C940" s="2">
        <v>41102</v>
      </c>
      <c r="D940" s="3">
        <v>16000</v>
      </c>
      <c r="E940" s="1" t="str">
        <f t="shared" si="14"/>
        <v>Jul 2012</v>
      </c>
    </row>
    <row r="941" spans="1:5" ht="10.199999999999999" x14ac:dyDescent="0.25">
      <c r="A941" s="1">
        <v>65</v>
      </c>
      <c r="B941" s="1" t="s">
        <v>9</v>
      </c>
      <c r="C941" s="2">
        <v>41104</v>
      </c>
      <c r="D941" s="3">
        <v>16000</v>
      </c>
      <c r="E941" s="1" t="str">
        <f t="shared" si="14"/>
        <v>Jul 2012</v>
      </c>
    </row>
    <row r="942" spans="1:5" ht="10.199999999999999" x14ac:dyDescent="0.25">
      <c r="A942" s="1">
        <v>65</v>
      </c>
      <c r="B942" s="1" t="s">
        <v>9</v>
      </c>
      <c r="C942" s="2">
        <v>41107</v>
      </c>
      <c r="D942" s="3">
        <v>16000</v>
      </c>
      <c r="E942" s="1" t="str">
        <f t="shared" si="14"/>
        <v>Jul 2012</v>
      </c>
    </row>
    <row r="943" spans="1:5" ht="10.199999999999999" x14ac:dyDescent="0.25">
      <c r="A943" s="1">
        <v>65</v>
      </c>
      <c r="B943" s="1" t="s">
        <v>9</v>
      </c>
      <c r="C943" s="2">
        <v>41109</v>
      </c>
      <c r="D943" s="3">
        <v>16000</v>
      </c>
      <c r="E943" s="1" t="str">
        <f t="shared" si="14"/>
        <v>Jul 2012</v>
      </c>
    </row>
    <row r="944" spans="1:5" ht="10.199999999999999" x14ac:dyDescent="0.25">
      <c r="A944" s="1">
        <v>65</v>
      </c>
      <c r="B944" s="1" t="s">
        <v>9</v>
      </c>
      <c r="C944" s="2">
        <v>41111</v>
      </c>
      <c r="D944" s="3">
        <v>19200</v>
      </c>
      <c r="E944" s="1" t="str">
        <f t="shared" si="14"/>
        <v>Jul 2012</v>
      </c>
    </row>
    <row r="945" spans="1:5" ht="10.199999999999999" x14ac:dyDescent="0.25">
      <c r="A945" s="1">
        <v>65</v>
      </c>
      <c r="B945" s="1" t="s">
        <v>9</v>
      </c>
      <c r="C945" s="2">
        <v>41114</v>
      </c>
      <c r="D945" s="3">
        <v>19200</v>
      </c>
      <c r="E945" s="1" t="str">
        <f t="shared" si="14"/>
        <v>Jul 2012</v>
      </c>
    </row>
    <row r="946" spans="1:5" ht="10.199999999999999" x14ac:dyDescent="0.25">
      <c r="A946" s="1">
        <v>65</v>
      </c>
      <c r="B946" s="1" t="s">
        <v>9</v>
      </c>
      <c r="C946" s="2">
        <v>41116</v>
      </c>
      <c r="D946" s="3">
        <v>19200</v>
      </c>
      <c r="E946" s="1" t="str">
        <f t="shared" si="14"/>
        <v>Jul 2012</v>
      </c>
    </row>
    <row r="947" spans="1:5" ht="10.199999999999999" x14ac:dyDescent="0.25">
      <c r="A947" s="1">
        <v>65</v>
      </c>
      <c r="B947" s="1" t="s">
        <v>9</v>
      </c>
      <c r="C947" s="2">
        <v>41118</v>
      </c>
      <c r="D947" s="3">
        <v>19200</v>
      </c>
      <c r="E947" s="1" t="str">
        <f t="shared" si="14"/>
        <v>Jul 2012</v>
      </c>
    </row>
    <row r="948" spans="1:5" ht="10.199999999999999" x14ac:dyDescent="0.25">
      <c r="A948" s="1">
        <v>65</v>
      </c>
      <c r="B948" s="1" t="s">
        <v>9</v>
      </c>
      <c r="C948" s="2">
        <v>41121</v>
      </c>
      <c r="D948" s="3">
        <v>19200</v>
      </c>
      <c r="E948" s="1" t="str">
        <f t="shared" si="14"/>
        <v>Jul 2012</v>
      </c>
    </row>
    <row r="949" spans="1:5" ht="10.199999999999999" x14ac:dyDescent="0.25">
      <c r="A949" s="1">
        <v>65</v>
      </c>
      <c r="B949" s="1" t="s">
        <v>9</v>
      </c>
      <c r="C949" s="2">
        <v>41123</v>
      </c>
      <c r="D949" s="3">
        <v>19200</v>
      </c>
      <c r="E949" s="1" t="str">
        <f t="shared" si="14"/>
        <v>Aug 2012</v>
      </c>
    </row>
    <row r="950" spans="1:5" ht="10.199999999999999" x14ac:dyDescent="0.25">
      <c r="A950" s="1">
        <v>65</v>
      </c>
      <c r="B950" s="1" t="s">
        <v>9</v>
      </c>
      <c r="C950" s="2">
        <v>41125</v>
      </c>
      <c r="D950" s="3">
        <v>20000</v>
      </c>
      <c r="E950" s="1" t="str">
        <f t="shared" si="14"/>
        <v>Aug 2012</v>
      </c>
    </row>
    <row r="951" spans="1:5" ht="10.199999999999999" x14ac:dyDescent="0.25">
      <c r="A951" s="1">
        <v>65</v>
      </c>
      <c r="B951" s="1" t="s">
        <v>9</v>
      </c>
      <c r="C951" s="2">
        <v>41128</v>
      </c>
      <c r="D951" s="3">
        <v>20000</v>
      </c>
      <c r="E951" s="1" t="str">
        <f t="shared" si="14"/>
        <v>Aug 2012</v>
      </c>
    </row>
    <row r="952" spans="1:5" ht="10.199999999999999" x14ac:dyDescent="0.25">
      <c r="A952" s="1">
        <v>65</v>
      </c>
      <c r="B952" s="1" t="s">
        <v>9</v>
      </c>
      <c r="C952" s="2">
        <v>41130</v>
      </c>
      <c r="D952" s="3">
        <v>20000</v>
      </c>
      <c r="E952" s="1" t="str">
        <f t="shared" si="14"/>
        <v>Aug 2012</v>
      </c>
    </row>
    <row r="953" spans="1:5" ht="10.199999999999999" x14ac:dyDescent="0.25">
      <c r="A953" s="1">
        <v>65</v>
      </c>
      <c r="B953" s="1" t="s">
        <v>9</v>
      </c>
      <c r="C953" s="2">
        <v>41132</v>
      </c>
      <c r="D953" s="3">
        <v>20000</v>
      </c>
      <c r="E953" s="1" t="str">
        <f t="shared" si="14"/>
        <v>Aug 2012</v>
      </c>
    </row>
    <row r="954" spans="1:5" ht="10.199999999999999" x14ac:dyDescent="0.25">
      <c r="A954" s="1">
        <v>65</v>
      </c>
      <c r="B954" s="1" t="s">
        <v>9</v>
      </c>
      <c r="C954" s="2">
        <v>41135</v>
      </c>
      <c r="D954" s="3">
        <v>20000</v>
      </c>
      <c r="E954" s="1" t="str">
        <f t="shared" si="14"/>
        <v>Aug 2012</v>
      </c>
    </row>
    <row r="955" spans="1:5" ht="10.199999999999999" x14ac:dyDescent="0.25">
      <c r="A955" s="1">
        <v>65</v>
      </c>
      <c r="B955" s="1" t="s">
        <v>9</v>
      </c>
      <c r="C955" s="2">
        <v>41137</v>
      </c>
      <c r="D955" s="3">
        <v>20000</v>
      </c>
      <c r="E955" s="1" t="str">
        <f t="shared" si="14"/>
        <v>Aug 2012</v>
      </c>
    </row>
    <row r="956" spans="1:5" ht="10.199999999999999" x14ac:dyDescent="0.25">
      <c r="A956" s="1">
        <v>65</v>
      </c>
      <c r="B956" s="1" t="s">
        <v>9</v>
      </c>
      <c r="C956" s="2">
        <v>41139</v>
      </c>
      <c r="D956" s="3">
        <v>20000</v>
      </c>
      <c r="E956" s="1" t="str">
        <f t="shared" si="14"/>
        <v>Aug 2012</v>
      </c>
    </row>
    <row r="957" spans="1:5" ht="10.199999999999999" x14ac:dyDescent="0.25">
      <c r="A957" s="1">
        <v>65</v>
      </c>
      <c r="B957" s="1" t="s">
        <v>9</v>
      </c>
      <c r="C957" s="2">
        <v>41142</v>
      </c>
      <c r="D957" s="3">
        <v>20000</v>
      </c>
      <c r="E957" s="1" t="str">
        <f t="shared" si="14"/>
        <v>Aug 2012</v>
      </c>
    </row>
    <row r="958" spans="1:5" ht="10.199999999999999" x14ac:dyDescent="0.25">
      <c r="A958" s="1">
        <v>65</v>
      </c>
      <c r="B958" s="1" t="s">
        <v>9</v>
      </c>
      <c r="C958" s="2">
        <v>41144</v>
      </c>
      <c r="D958" s="3">
        <v>20000</v>
      </c>
      <c r="E958" s="1" t="str">
        <f t="shared" si="14"/>
        <v>Aug 2012</v>
      </c>
    </row>
    <row r="959" spans="1:5" ht="10.199999999999999" x14ac:dyDescent="0.25">
      <c r="A959" s="1">
        <v>65</v>
      </c>
      <c r="B959" s="1" t="s">
        <v>9</v>
      </c>
      <c r="C959" s="2">
        <v>41146</v>
      </c>
      <c r="D959" s="3">
        <v>20000</v>
      </c>
      <c r="E959" s="1" t="str">
        <f t="shared" si="14"/>
        <v>Aug 2012</v>
      </c>
    </row>
    <row r="960" spans="1:5" ht="10.199999999999999" x14ac:dyDescent="0.25">
      <c r="A960" s="1">
        <v>65</v>
      </c>
      <c r="B960" s="1" t="s">
        <v>9</v>
      </c>
      <c r="C960" s="2">
        <v>41149</v>
      </c>
      <c r="D960" s="3">
        <v>20000</v>
      </c>
      <c r="E960" s="1" t="str">
        <f t="shared" si="14"/>
        <v>Aug 2012</v>
      </c>
    </row>
    <row r="961" spans="1:5" ht="10.199999999999999" x14ac:dyDescent="0.25">
      <c r="A961" s="1">
        <v>65</v>
      </c>
      <c r="B961" s="1" t="s">
        <v>9</v>
      </c>
      <c r="C961" s="2">
        <v>41151</v>
      </c>
      <c r="D961" s="3">
        <v>20000</v>
      </c>
      <c r="E961" s="1" t="str">
        <f t="shared" si="14"/>
        <v>Aug 2012</v>
      </c>
    </row>
    <row r="962" spans="1:5" ht="10.199999999999999" x14ac:dyDescent="0.25">
      <c r="A962" s="1">
        <v>65</v>
      </c>
      <c r="B962" s="1" t="s">
        <v>9</v>
      </c>
      <c r="C962" s="2">
        <v>41153</v>
      </c>
      <c r="D962" s="3">
        <v>20000</v>
      </c>
      <c r="E962" s="1" t="str">
        <f t="shared" si="14"/>
        <v>Sep 2012</v>
      </c>
    </row>
    <row r="963" spans="1:5" ht="10.199999999999999" x14ac:dyDescent="0.25">
      <c r="A963" s="1">
        <v>65</v>
      </c>
      <c r="B963" s="1" t="s">
        <v>9</v>
      </c>
      <c r="C963" s="2">
        <v>41156</v>
      </c>
      <c r="D963" s="3">
        <v>20000</v>
      </c>
      <c r="E963" s="1" t="str">
        <f t="shared" ref="E963:E1026" si="15">TEXT(C963,"mmm yyyy")</f>
        <v>Sep 2012</v>
      </c>
    </row>
    <row r="964" spans="1:5" ht="10.199999999999999" x14ac:dyDescent="0.25">
      <c r="A964" s="1">
        <v>65</v>
      </c>
      <c r="B964" s="1" t="s">
        <v>9</v>
      </c>
      <c r="C964" s="2">
        <v>41158</v>
      </c>
      <c r="D964" s="3">
        <v>20000</v>
      </c>
      <c r="E964" s="1" t="str">
        <f t="shared" si="15"/>
        <v>Sep 2012</v>
      </c>
    </row>
    <row r="965" spans="1:5" ht="10.199999999999999" x14ac:dyDescent="0.25">
      <c r="A965" s="1">
        <v>65</v>
      </c>
      <c r="B965" s="1" t="s">
        <v>10</v>
      </c>
      <c r="C965" s="2">
        <v>41165</v>
      </c>
      <c r="D965" s="3">
        <v>16</v>
      </c>
      <c r="E965" s="1" t="str">
        <f t="shared" si="15"/>
        <v>Sep 2012</v>
      </c>
    </row>
    <row r="966" spans="1:5" ht="10.199999999999999" x14ac:dyDescent="0.25">
      <c r="A966" s="1">
        <v>65</v>
      </c>
      <c r="B966" s="1" t="s">
        <v>10</v>
      </c>
      <c r="C966" s="2">
        <v>41193</v>
      </c>
      <c r="D966" s="3">
        <v>16</v>
      </c>
      <c r="E966" s="1" t="str">
        <f t="shared" si="15"/>
        <v>Oct 2012</v>
      </c>
    </row>
    <row r="967" spans="1:5" ht="10.199999999999999" x14ac:dyDescent="0.25">
      <c r="A967" s="1">
        <v>66</v>
      </c>
      <c r="B967" s="1" t="s">
        <v>9</v>
      </c>
      <c r="C967" s="2">
        <v>41092</v>
      </c>
      <c r="D967" s="3">
        <v>3000</v>
      </c>
      <c r="E967" s="1" t="str">
        <f t="shared" si="15"/>
        <v>Jul 2012</v>
      </c>
    </row>
    <row r="968" spans="1:5" ht="10.199999999999999" x14ac:dyDescent="0.25">
      <c r="A968" s="1">
        <v>66</v>
      </c>
      <c r="B968" s="1" t="s">
        <v>9</v>
      </c>
      <c r="C968" s="2">
        <v>41094</v>
      </c>
      <c r="D968" s="3">
        <v>3000</v>
      </c>
      <c r="E968" s="1" t="str">
        <f t="shared" si="15"/>
        <v>Jul 2012</v>
      </c>
    </row>
    <row r="969" spans="1:5" ht="10.199999999999999" x14ac:dyDescent="0.25">
      <c r="A969" s="1">
        <v>66</v>
      </c>
      <c r="B969" s="1" t="s">
        <v>9</v>
      </c>
      <c r="C969" s="2">
        <v>41096</v>
      </c>
      <c r="D969" s="3">
        <v>3000</v>
      </c>
      <c r="E969" s="1" t="str">
        <f t="shared" si="15"/>
        <v>Jul 2012</v>
      </c>
    </row>
    <row r="970" spans="1:5" ht="10.199999999999999" x14ac:dyDescent="0.25">
      <c r="A970" s="1">
        <v>66</v>
      </c>
      <c r="B970" s="1" t="s">
        <v>9</v>
      </c>
      <c r="C970" s="2">
        <v>41099</v>
      </c>
      <c r="D970" s="3">
        <v>3000</v>
      </c>
      <c r="E970" s="1" t="str">
        <f t="shared" si="15"/>
        <v>Jul 2012</v>
      </c>
    </row>
    <row r="971" spans="1:5" ht="10.199999999999999" x14ac:dyDescent="0.25">
      <c r="A971" s="1">
        <v>66</v>
      </c>
      <c r="B971" s="1" t="s">
        <v>9</v>
      </c>
      <c r="C971" s="2">
        <v>41101</v>
      </c>
      <c r="D971" s="3">
        <v>3000</v>
      </c>
      <c r="E971" s="1" t="str">
        <f t="shared" si="15"/>
        <v>Jul 2012</v>
      </c>
    </row>
    <row r="972" spans="1:5" ht="10.199999999999999" x14ac:dyDescent="0.25">
      <c r="A972" s="1">
        <v>66</v>
      </c>
      <c r="B972" s="1" t="s">
        <v>9</v>
      </c>
      <c r="C972" s="2">
        <v>41103</v>
      </c>
      <c r="D972" s="3">
        <v>3000</v>
      </c>
      <c r="E972" s="1" t="str">
        <f t="shared" si="15"/>
        <v>Jul 2012</v>
      </c>
    </row>
    <row r="973" spans="1:5" ht="10.199999999999999" x14ac:dyDescent="0.25">
      <c r="A973" s="1">
        <v>66</v>
      </c>
      <c r="B973" s="1" t="s">
        <v>9</v>
      </c>
      <c r="C973" s="2">
        <v>41106</v>
      </c>
      <c r="D973" s="3">
        <v>3000</v>
      </c>
      <c r="E973" s="1" t="str">
        <f t="shared" si="15"/>
        <v>Jul 2012</v>
      </c>
    </row>
    <row r="974" spans="1:5" ht="10.199999999999999" x14ac:dyDescent="0.25">
      <c r="A974" s="1">
        <v>66</v>
      </c>
      <c r="B974" s="1" t="s">
        <v>9</v>
      </c>
      <c r="C974" s="2">
        <v>41108</v>
      </c>
      <c r="D974" s="3">
        <v>3000</v>
      </c>
      <c r="E974" s="1" t="str">
        <f t="shared" si="15"/>
        <v>Jul 2012</v>
      </c>
    </row>
    <row r="975" spans="1:5" ht="10.199999999999999" x14ac:dyDescent="0.25">
      <c r="A975" s="1">
        <v>66</v>
      </c>
      <c r="B975" s="1" t="s">
        <v>9</v>
      </c>
      <c r="C975" s="2">
        <v>41110</v>
      </c>
      <c r="D975" s="3">
        <v>2700</v>
      </c>
      <c r="E975" s="1" t="str">
        <f t="shared" si="15"/>
        <v>Jul 2012</v>
      </c>
    </row>
    <row r="976" spans="1:5" ht="10.199999999999999" x14ac:dyDescent="0.25">
      <c r="A976" s="1">
        <v>66</v>
      </c>
      <c r="B976" s="1" t="s">
        <v>9</v>
      </c>
      <c r="C976" s="2">
        <v>41113</v>
      </c>
      <c r="D976" s="3">
        <v>2700</v>
      </c>
      <c r="E976" s="1" t="str">
        <f t="shared" si="15"/>
        <v>Jul 2012</v>
      </c>
    </row>
    <row r="977" spans="1:5" ht="10.199999999999999" x14ac:dyDescent="0.25">
      <c r="A977" s="1">
        <v>66</v>
      </c>
      <c r="B977" s="1" t="s">
        <v>9</v>
      </c>
      <c r="C977" s="2">
        <v>41115</v>
      </c>
      <c r="D977" s="3">
        <v>2700</v>
      </c>
      <c r="E977" s="1" t="str">
        <f t="shared" si="15"/>
        <v>Jul 2012</v>
      </c>
    </row>
    <row r="978" spans="1:5" ht="10.199999999999999" x14ac:dyDescent="0.25">
      <c r="A978" s="1">
        <v>66</v>
      </c>
      <c r="B978" s="1" t="s">
        <v>9</v>
      </c>
      <c r="C978" s="2">
        <v>41117</v>
      </c>
      <c r="D978" s="3">
        <v>2700</v>
      </c>
      <c r="E978" s="1" t="str">
        <f t="shared" si="15"/>
        <v>Jul 2012</v>
      </c>
    </row>
    <row r="979" spans="1:5" ht="10.199999999999999" x14ac:dyDescent="0.25">
      <c r="A979" s="1">
        <v>66</v>
      </c>
      <c r="B979" s="1" t="s">
        <v>9</v>
      </c>
      <c r="C979" s="2">
        <v>41120</v>
      </c>
      <c r="D979" s="3">
        <v>2700</v>
      </c>
      <c r="E979" s="1" t="str">
        <f t="shared" si="15"/>
        <v>Jul 2012</v>
      </c>
    </row>
    <row r="980" spans="1:5" ht="10.199999999999999" x14ac:dyDescent="0.25">
      <c r="A980" s="1">
        <v>66</v>
      </c>
      <c r="B980" s="1" t="s">
        <v>9</v>
      </c>
      <c r="C980" s="2">
        <v>41122</v>
      </c>
      <c r="D980" s="3">
        <v>2700</v>
      </c>
      <c r="E980" s="1" t="str">
        <f t="shared" si="15"/>
        <v>Aug 2012</v>
      </c>
    </row>
    <row r="981" spans="1:5" ht="10.199999999999999" x14ac:dyDescent="0.25">
      <c r="A981" s="1">
        <v>66</v>
      </c>
      <c r="B981" s="1" t="s">
        <v>9</v>
      </c>
      <c r="C981" s="2">
        <v>41124</v>
      </c>
      <c r="D981" s="3">
        <v>2700</v>
      </c>
      <c r="E981" s="1" t="str">
        <f t="shared" si="15"/>
        <v>Aug 2012</v>
      </c>
    </row>
    <row r="982" spans="1:5" ht="10.199999999999999" x14ac:dyDescent="0.25">
      <c r="A982" s="1">
        <v>66</v>
      </c>
      <c r="B982" s="1" t="s">
        <v>9</v>
      </c>
      <c r="C982" s="2">
        <v>41127</v>
      </c>
      <c r="D982" s="3">
        <v>2700</v>
      </c>
      <c r="E982" s="1" t="str">
        <f t="shared" si="15"/>
        <v>Aug 2012</v>
      </c>
    </row>
    <row r="983" spans="1:5" ht="10.199999999999999" x14ac:dyDescent="0.25">
      <c r="A983" s="1">
        <v>66</v>
      </c>
      <c r="B983" s="1" t="s">
        <v>9</v>
      </c>
      <c r="C983" s="2">
        <v>41129</v>
      </c>
      <c r="D983" s="3">
        <v>2700</v>
      </c>
      <c r="E983" s="1" t="str">
        <f t="shared" si="15"/>
        <v>Aug 2012</v>
      </c>
    </row>
    <row r="984" spans="1:5" ht="10.199999999999999" x14ac:dyDescent="0.25">
      <c r="A984" s="1">
        <v>66</v>
      </c>
      <c r="B984" s="1" t="s">
        <v>9</v>
      </c>
      <c r="C984" s="2">
        <v>41131</v>
      </c>
      <c r="D984" s="3">
        <v>2700</v>
      </c>
      <c r="E984" s="1" t="str">
        <f t="shared" si="15"/>
        <v>Aug 2012</v>
      </c>
    </row>
    <row r="985" spans="1:5" ht="10.199999999999999" x14ac:dyDescent="0.25">
      <c r="A985" s="1">
        <v>66</v>
      </c>
      <c r="B985" s="1" t="s">
        <v>9</v>
      </c>
      <c r="C985" s="2">
        <v>41134</v>
      </c>
      <c r="D985" s="3">
        <v>2700</v>
      </c>
      <c r="E985" s="1" t="str">
        <f t="shared" si="15"/>
        <v>Aug 2012</v>
      </c>
    </row>
    <row r="986" spans="1:5" ht="10.199999999999999" x14ac:dyDescent="0.25">
      <c r="A986" s="1">
        <v>66</v>
      </c>
      <c r="B986" s="1" t="s">
        <v>9</v>
      </c>
      <c r="C986" s="2">
        <v>41136</v>
      </c>
      <c r="D986" s="3">
        <v>2700</v>
      </c>
      <c r="E986" s="1" t="str">
        <f t="shared" si="15"/>
        <v>Aug 2012</v>
      </c>
    </row>
    <row r="987" spans="1:5" ht="10.199999999999999" x14ac:dyDescent="0.25">
      <c r="A987" s="1">
        <v>66</v>
      </c>
      <c r="B987" s="1" t="s">
        <v>9</v>
      </c>
      <c r="C987" s="2">
        <v>41138</v>
      </c>
      <c r="D987" s="3">
        <v>2700</v>
      </c>
      <c r="E987" s="1" t="str">
        <f t="shared" si="15"/>
        <v>Aug 2012</v>
      </c>
    </row>
    <row r="988" spans="1:5" ht="10.199999999999999" x14ac:dyDescent="0.25">
      <c r="A988" s="1">
        <v>66</v>
      </c>
      <c r="B988" s="1" t="s">
        <v>9</v>
      </c>
      <c r="C988" s="2">
        <v>41141</v>
      </c>
      <c r="D988" s="3">
        <v>2700</v>
      </c>
      <c r="E988" s="1" t="str">
        <f t="shared" si="15"/>
        <v>Aug 2012</v>
      </c>
    </row>
    <row r="989" spans="1:5" ht="10.199999999999999" x14ac:dyDescent="0.25">
      <c r="A989" s="1">
        <v>66</v>
      </c>
      <c r="B989" s="1" t="s">
        <v>9</v>
      </c>
      <c r="C989" s="2">
        <v>41143</v>
      </c>
      <c r="D989" s="3">
        <v>2700</v>
      </c>
      <c r="E989" s="1" t="str">
        <f t="shared" si="15"/>
        <v>Aug 2012</v>
      </c>
    </row>
    <row r="990" spans="1:5" ht="10.199999999999999" x14ac:dyDescent="0.25">
      <c r="A990" s="1">
        <v>66</v>
      </c>
      <c r="B990" s="1" t="s">
        <v>9</v>
      </c>
      <c r="C990" s="2">
        <v>41145</v>
      </c>
      <c r="D990" s="3">
        <v>2700</v>
      </c>
      <c r="E990" s="1" t="str">
        <f t="shared" si="15"/>
        <v>Aug 2012</v>
      </c>
    </row>
    <row r="991" spans="1:5" ht="10.199999999999999" x14ac:dyDescent="0.25">
      <c r="A991" s="1">
        <v>66</v>
      </c>
      <c r="B991" s="1" t="s">
        <v>9</v>
      </c>
      <c r="C991" s="2">
        <v>41148</v>
      </c>
      <c r="D991" s="3">
        <v>2700</v>
      </c>
      <c r="E991" s="1" t="str">
        <f t="shared" si="15"/>
        <v>Aug 2012</v>
      </c>
    </row>
    <row r="992" spans="1:5" ht="10.199999999999999" x14ac:dyDescent="0.25">
      <c r="A992" s="1">
        <v>66</v>
      </c>
      <c r="B992" s="1" t="s">
        <v>9</v>
      </c>
      <c r="C992" s="2">
        <v>41150</v>
      </c>
      <c r="D992" s="3">
        <v>2700</v>
      </c>
      <c r="E992" s="1" t="str">
        <f t="shared" si="15"/>
        <v>Aug 2012</v>
      </c>
    </row>
    <row r="993" spans="1:5" ht="10.199999999999999" x14ac:dyDescent="0.25">
      <c r="A993" s="1">
        <v>66</v>
      </c>
      <c r="B993" s="1" t="s">
        <v>9</v>
      </c>
      <c r="C993" s="2">
        <v>41152</v>
      </c>
      <c r="D993" s="3">
        <v>2700</v>
      </c>
      <c r="E993" s="1" t="str">
        <f t="shared" si="15"/>
        <v>Aug 2012</v>
      </c>
    </row>
    <row r="994" spans="1:5" ht="10.199999999999999" x14ac:dyDescent="0.25">
      <c r="A994" s="1">
        <v>66</v>
      </c>
      <c r="B994" s="1" t="s">
        <v>9</v>
      </c>
      <c r="C994" s="2">
        <v>41155</v>
      </c>
      <c r="D994" s="3">
        <v>2700</v>
      </c>
      <c r="E994" s="1" t="str">
        <f t="shared" si="15"/>
        <v>Sep 2012</v>
      </c>
    </row>
    <row r="995" spans="1:5" ht="10.199999999999999" x14ac:dyDescent="0.25">
      <c r="A995" s="1">
        <v>66</v>
      </c>
      <c r="B995" s="1" t="s">
        <v>9</v>
      </c>
      <c r="C995" s="2">
        <v>41157</v>
      </c>
      <c r="D995" s="3">
        <v>2700</v>
      </c>
      <c r="E995" s="1" t="str">
        <f t="shared" si="15"/>
        <v>Sep 2012</v>
      </c>
    </row>
    <row r="996" spans="1:5" ht="10.199999999999999" x14ac:dyDescent="0.25">
      <c r="A996" s="1">
        <v>66</v>
      </c>
      <c r="B996" s="1" t="s">
        <v>10</v>
      </c>
      <c r="C996" s="2">
        <v>41208</v>
      </c>
      <c r="D996" s="3">
        <v>6</v>
      </c>
      <c r="E996" s="1" t="str">
        <f t="shared" si="15"/>
        <v>Oct 2012</v>
      </c>
    </row>
    <row r="997" spans="1:5" ht="10.199999999999999" x14ac:dyDescent="0.25">
      <c r="A997" s="1">
        <v>66</v>
      </c>
      <c r="B997" s="1" t="s">
        <v>10</v>
      </c>
      <c r="C997" s="2">
        <v>41213</v>
      </c>
      <c r="D997" s="3">
        <v>2</v>
      </c>
      <c r="E997" s="1" t="str">
        <f t="shared" si="15"/>
        <v>Oct 2012</v>
      </c>
    </row>
    <row r="998" spans="1:5" ht="10.199999999999999" x14ac:dyDescent="0.25">
      <c r="A998" s="1">
        <v>66</v>
      </c>
      <c r="B998" s="1" t="s">
        <v>10</v>
      </c>
      <c r="C998" s="2">
        <v>41227</v>
      </c>
      <c r="D998" s="3">
        <v>1</v>
      </c>
      <c r="E998" s="1" t="str">
        <f t="shared" si="15"/>
        <v>Nov 2012</v>
      </c>
    </row>
    <row r="999" spans="1:5" ht="10.199999999999999" x14ac:dyDescent="0.25">
      <c r="A999" s="1">
        <v>67</v>
      </c>
      <c r="B999" s="1" t="s">
        <v>9</v>
      </c>
      <c r="C999" s="2">
        <v>41093</v>
      </c>
      <c r="D999" s="3">
        <v>10000</v>
      </c>
      <c r="E999" s="1" t="str">
        <f t="shared" si="15"/>
        <v>Jul 2012</v>
      </c>
    </row>
    <row r="1000" spans="1:5" ht="10.199999999999999" x14ac:dyDescent="0.25">
      <c r="A1000" s="1">
        <v>67</v>
      </c>
      <c r="B1000" s="1" t="s">
        <v>9</v>
      </c>
      <c r="C1000" s="2">
        <v>41095</v>
      </c>
      <c r="D1000" s="3">
        <v>10000</v>
      </c>
      <c r="E1000" s="1" t="str">
        <f t="shared" si="15"/>
        <v>Jul 2012</v>
      </c>
    </row>
    <row r="1001" spans="1:5" ht="10.199999999999999" x14ac:dyDescent="0.25">
      <c r="A1001" s="1">
        <v>67</v>
      </c>
      <c r="B1001" s="1" t="s">
        <v>9</v>
      </c>
      <c r="C1001" s="2">
        <v>41097</v>
      </c>
      <c r="D1001" s="3">
        <v>10000</v>
      </c>
      <c r="E1001" s="1" t="str">
        <f t="shared" si="15"/>
        <v>Jul 2012</v>
      </c>
    </row>
    <row r="1002" spans="1:5" ht="10.199999999999999" x14ac:dyDescent="0.25">
      <c r="A1002" s="1">
        <v>67</v>
      </c>
      <c r="B1002" s="1" t="s">
        <v>9</v>
      </c>
      <c r="C1002" s="2">
        <v>41100</v>
      </c>
      <c r="D1002" s="3">
        <v>10000</v>
      </c>
      <c r="E1002" s="1" t="str">
        <f t="shared" si="15"/>
        <v>Jul 2012</v>
      </c>
    </row>
    <row r="1003" spans="1:5" ht="10.199999999999999" x14ac:dyDescent="0.25">
      <c r="A1003" s="1">
        <v>67</v>
      </c>
      <c r="B1003" s="1" t="s">
        <v>9</v>
      </c>
      <c r="C1003" s="2">
        <v>41104</v>
      </c>
      <c r="D1003" s="3">
        <v>10000</v>
      </c>
      <c r="E1003" s="1" t="str">
        <f t="shared" si="15"/>
        <v>Jul 2012</v>
      </c>
    </row>
    <row r="1004" spans="1:5" ht="10.199999999999999" x14ac:dyDescent="0.25">
      <c r="A1004" s="1">
        <v>67</v>
      </c>
      <c r="B1004" s="1" t="s">
        <v>9</v>
      </c>
      <c r="C1004" s="2">
        <v>41107</v>
      </c>
      <c r="D1004" s="3">
        <v>10000</v>
      </c>
      <c r="E1004" s="1" t="str">
        <f t="shared" si="15"/>
        <v>Jul 2012</v>
      </c>
    </row>
    <row r="1005" spans="1:5" ht="10.199999999999999" x14ac:dyDescent="0.25">
      <c r="A1005" s="1">
        <v>67</v>
      </c>
      <c r="B1005" s="1" t="s">
        <v>9</v>
      </c>
      <c r="C1005" s="2">
        <v>41109</v>
      </c>
      <c r="D1005" s="3">
        <v>10000</v>
      </c>
      <c r="E1005" s="1" t="str">
        <f t="shared" si="15"/>
        <v>Jul 2012</v>
      </c>
    </row>
    <row r="1006" spans="1:5" ht="10.199999999999999" x14ac:dyDescent="0.25">
      <c r="A1006" s="1">
        <v>67</v>
      </c>
      <c r="B1006" s="1" t="s">
        <v>9</v>
      </c>
      <c r="C1006" s="2">
        <v>41111</v>
      </c>
      <c r="D1006" s="3">
        <v>8000</v>
      </c>
      <c r="E1006" s="1" t="str">
        <f t="shared" si="15"/>
        <v>Jul 2012</v>
      </c>
    </row>
    <row r="1007" spans="1:5" ht="10.199999999999999" x14ac:dyDescent="0.25">
      <c r="A1007" s="1">
        <v>67</v>
      </c>
      <c r="B1007" s="1" t="s">
        <v>9</v>
      </c>
      <c r="C1007" s="2">
        <v>41114</v>
      </c>
      <c r="D1007" s="3">
        <v>8000</v>
      </c>
      <c r="E1007" s="1" t="str">
        <f t="shared" si="15"/>
        <v>Jul 2012</v>
      </c>
    </row>
    <row r="1008" spans="1:5" ht="10.199999999999999" x14ac:dyDescent="0.25">
      <c r="A1008" s="1">
        <v>67</v>
      </c>
      <c r="B1008" s="1" t="s">
        <v>9</v>
      </c>
      <c r="C1008" s="2">
        <v>41116</v>
      </c>
      <c r="D1008" s="3">
        <v>8000</v>
      </c>
      <c r="E1008" s="1" t="str">
        <f t="shared" si="15"/>
        <v>Jul 2012</v>
      </c>
    </row>
    <row r="1009" spans="1:5" ht="10.199999999999999" x14ac:dyDescent="0.25">
      <c r="A1009" s="1">
        <v>67</v>
      </c>
      <c r="B1009" s="1" t="s">
        <v>9</v>
      </c>
      <c r="C1009" s="2">
        <v>41118</v>
      </c>
      <c r="D1009" s="3">
        <v>8000</v>
      </c>
      <c r="E1009" s="1" t="str">
        <f t="shared" si="15"/>
        <v>Jul 2012</v>
      </c>
    </row>
    <row r="1010" spans="1:5" ht="10.199999999999999" x14ac:dyDescent="0.25">
      <c r="A1010" s="1">
        <v>67</v>
      </c>
      <c r="B1010" s="1" t="s">
        <v>9</v>
      </c>
      <c r="C1010" s="2">
        <v>41121</v>
      </c>
      <c r="D1010" s="3">
        <v>8000</v>
      </c>
      <c r="E1010" s="1" t="str">
        <f t="shared" si="15"/>
        <v>Jul 2012</v>
      </c>
    </row>
    <row r="1011" spans="1:5" ht="10.199999999999999" x14ac:dyDescent="0.25">
      <c r="A1011" s="1">
        <v>67</v>
      </c>
      <c r="B1011" s="1" t="s">
        <v>9</v>
      </c>
      <c r="C1011" s="2">
        <v>41123</v>
      </c>
      <c r="D1011" s="3">
        <v>8000</v>
      </c>
      <c r="E1011" s="1" t="str">
        <f t="shared" si="15"/>
        <v>Aug 2012</v>
      </c>
    </row>
    <row r="1012" spans="1:5" ht="10.199999999999999" x14ac:dyDescent="0.25">
      <c r="A1012" s="1">
        <v>67</v>
      </c>
      <c r="B1012" s="1" t="s">
        <v>9</v>
      </c>
      <c r="C1012" s="2">
        <v>41125</v>
      </c>
      <c r="D1012" s="3">
        <v>8000</v>
      </c>
      <c r="E1012" s="1" t="str">
        <f t="shared" si="15"/>
        <v>Aug 2012</v>
      </c>
    </row>
    <row r="1013" spans="1:5" ht="10.199999999999999" x14ac:dyDescent="0.25">
      <c r="A1013" s="1">
        <v>67</v>
      </c>
      <c r="B1013" s="1" t="s">
        <v>9</v>
      </c>
      <c r="C1013" s="2">
        <v>41128</v>
      </c>
      <c r="D1013" s="3">
        <v>8000</v>
      </c>
      <c r="E1013" s="1" t="str">
        <f t="shared" si="15"/>
        <v>Aug 2012</v>
      </c>
    </row>
    <row r="1014" spans="1:5" ht="10.199999999999999" x14ac:dyDescent="0.25">
      <c r="A1014" s="1">
        <v>67</v>
      </c>
      <c r="B1014" s="1" t="s">
        <v>9</v>
      </c>
      <c r="C1014" s="2">
        <v>41130</v>
      </c>
      <c r="D1014" s="3">
        <v>8000</v>
      </c>
      <c r="E1014" s="1" t="str">
        <f t="shared" si="15"/>
        <v>Aug 2012</v>
      </c>
    </row>
    <row r="1015" spans="1:5" ht="10.199999999999999" x14ac:dyDescent="0.25">
      <c r="A1015" s="1">
        <v>67</v>
      </c>
      <c r="B1015" s="1" t="s">
        <v>9</v>
      </c>
      <c r="C1015" s="2">
        <v>41132</v>
      </c>
      <c r="D1015" s="3">
        <v>8000</v>
      </c>
      <c r="E1015" s="1" t="str">
        <f t="shared" si="15"/>
        <v>Aug 2012</v>
      </c>
    </row>
    <row r="1016" spans="1:5" ht="10.199999999999999" x14ac:dyDescent="0.25">
      <c r="A1016" s="1">
        <v>67</v>
      </c>
      <c r="B1016" s="1" t="s">
        <v>9</v>
      </c>
      <c r="C1016" s="2">
        <v>41135</v>
      </c>
      <c r="D1016" s="3">
        <v>8000</v>
      </c>
      <c r="E1016" s="1" t="str">
        <f t="shared" si="15"/>
        <v>Aug 2012</v>
      </c>
    </row>
    <row r="1017" spans="1:5" ht="10.199999999999999" x14ac:dyDescent="0.25">
      <c r="A1017" s="1">
        <v>67</v>
      </c>
      <c r="B1017" s="1" t="s">
        <v>9</v>
      </c>
      <c r="C1017" s="2">
        <v>41137</v>
      </c>
      <c r="D1017" s="3">
        <v>8000</v>
      </c>
      <c r="E1017" s="1" t="str">
        <f t="shared" si="15"/>
        <v>Aug 2012</v>
      </c>
    </row>
    <row r="1018" spans="1:5" ht="10.199999999999999" x14ac:dyDescent="0.25">
      <c r="A1018" s="1">
        <v>67</v>
      </c>
      <c r="B1018" s="1" t="s">
        <v>10</v>
      </c>
      <c r="C1018" s="2">
        <v>41193</v>
      </c>
      <c r="D1018" s="3">
        <v>1</v>
      </c>
      <c r="E1018" s="1" t="str">
        <f t="shared" si="15"/>
        <v>Oct 2012</v>
      </c>
    </row>
    <row r="1019" spans="1:5" ht="10.199999999999999" x14ac:dyDescent="0.25">
      <c r="A1019" s="1">
        <v>67</v>
      </c>
      <c r="B1019" s="1" t="s">
        <v>10</v>
      </c>
      <c r="C1019" s="2">
        <v>41228</v>
      </c>
      <c r="D1019" s="3">
        <v>2</v>
      </c>
      <c r="E1019" s="1" t="str">
        <f t="shared" si="15"/>
        <v>Nov 2012</v>
      </c>
    </row>
    <row r="1020" spans="1:5" ht="10.199999999999999" x14ac:dyDescent="0.25">
      <c r="A1020" s="1">
        <v>68</v>
      </c>
      <c r="B1020" s="1" t="s">
        <v>10</v>
      </c>
      <c r="C1020" s="2">
        <v>41242</v>
      </c>
      <c r="D1020" s="3">
        <v>4</v>
      </c>
      <c r="E1020" s="1" t="str">
        <f t="shared" si="15"/>
        <v>Nov 2012</v>
      </c>
    </row>
    <row r="1021" spans="1:5" ht="10.199999999999999" x14ac:dyDescent="0.25">
      <c r="A1021" s="1">
        <v>69</v>
      </c>
      <c r="B1021" s="1" t="s">
        <v>9</v>
      </c>
      <c r="C1021" s="2">
        <v>41093</v>
      </c>
      <c r="D1021" s="3">
        <v>1400</v>
      </c>
      <c r="E1021" s="1" t="str">
        <f t="shared" si="15"/>
        <v>Jul 2012</v>
      </c>
    </row>
    <row r="1022" spans="1:5" ht="10.199999999999999" x14ac:dyDescent="0.25">
      <c r="A1022" s="1">
        <v>69</v>
      </c>
      <c r="B1022" s="1" t="s">
        <v>9</v>
      </c>
      <c r="C1022" s="2">
        <v>41095</v>
      </c>
      <c r="D1022" s="3">
        <v>1400</v>
      </c>
      <c r="E1022" s="1" t="str">
        <f t="shared" si="15"/>
        <v>Jul 2012</v>
      </c>
    </row>
    <row r="1023" spans="1:5" ht="10.199999999999999" x14ac:dyDescent="0.25">
      <c r="A1023" s="1">
        <v>69</v>
      </c>
      <c r="B1023" s="1" t="s">
        <v>9</v>
      </c>
      <c r="C1023" s="2">
        <v>41097</v>
      </c>
      <c r="D1023" s="3">
        <v>1400</v>
      </c>
      <c r="E1023" s="1" t="str">
        <f t="shared" si="15"/>
        <v>Jul 2012</v>
      </c>
    </row>
    <row r="1024" spans="1:5" ht="10.199999999999999" x14ac:dyDescent="0.25">
      <c r="A1024" s="1">
        <v>69</v>
      </c>
      <c r="B1024" s="1" t="s">
        <v>9</v>
      </c>
      <c r="C1024" s="2">
        <v>41100</v>
      </c>
      <c r="D1024" s="3">
        <v>1400</v>
      </c>
      <c r="E1024" s="1" t="str">
        <f t="shared" si="15"/>
        <v>Jul 2012</v>
      </c>
    </row>
    <row r="1025" spans="1:5" ht="10.199999999999999" x14ac:dyDescent="0.25">
      <c r="A1025" s="1">
        <v>69</v>
      </c>
      <c r="B1025" s="1" t="s">
        <v>9</v>
      </c>
      <c r="C1025" s="2">
        <v>41102</v>
      </c>
      <c r="D1025" s="3">
        <v>1400</v>
      </c>
      <c r="E1025" s="1" t="str">
        <f t="shared" si="15"/>
        <v>Jul 2012</v>
      </c>
    </row>
    <row r="1026" spans="1:5" ht="10.199999999999999" x14ac:dyDescent="0.25">
      <c r="A1026" s="1">
        <v>69</v>
      </c>
      <c r="B1026" s="1" t="s">
        <v>9</v>
      </c>
      <c r="C1026" s="2">
        <v>41104</v>
      </c>
      <c r="D1026" s="3">
        <v>1400</v>
      </c>
      <c r="E1026" s="1" t="str">
        <f t="shared" si="15"/>
        <v>Jul 2012</v>
      </c>
    </row>
    <row r="1027" spans="1:5" ht="10.199999999999999" x14ac:dyDescent="0.25">
      <c r="A1027" s="1">
        <v>69</v>
      </c>
      <c r="B1027" s="1" t="s">
        <v>9</v>
      </c>
      <c r="C1027" s="2">
        <v>41107</v>
      </c>
      <c r="D1027" s="3">
        <v>1400</v>
      </c>
      <c r="E1027" s="1" t="str">
        <f t="shared" ref="E1027:E1090" si="16">TEXT(C1027,"mmm yyyy")</f>
        <v>Jul 2012</v>
      </c>
    </row>
    <row r="1028" spans="1:5" ht="10.199999999999999" x14ac:dyDescent="0.25">
      <c r="A1028" s="1">
        <v>69</v>
      </c>
      <c r="B1028" s="1" t="s">
        <v>9</v>
      </c>
      <c r="C1028" s="2">
        <v>41109</v>
      </c>
      <c r="D1028" s="3">
        <v>1400</v>
      </c>
      <c r="E1028" s="1" t="str">
        <f t="shared" si="16"/>
        <v>Jul 2012</v>
      </c>
    </row>
    <row r="1029" spans="1:5" ht="10.199999999999999" x14ac:dyDescent="0.25">
      <c r="A1029" s="1">
        <v>69</v>
      </c>
      <c r="B1029" s="1" t="s">
        <v>9</v>
      </c>
      <c r="C1029" s="2">
        <v>41111</v>
      </c>
      <c r="D1029" s="3">
        <v>1600</v>
      </c>
      <c r="E1029" s="1" t="str">
        <f t="shared" si="16"/>
        <v>Jul 2012</v>
      </c>
    </row>
    <row r="1030" spans="1:5" ht="10.199999999999999" x14ac:dyDescent="0.25">
      <c r="A1030" s="1">
        <v>69</v>
      </c>
      <c r="B1030" s="1" t="s">
        <v>9</v>
      </c>
      <c r="C1030" s="2">
        <v>41114</v>
      </c>
      <c r="D1030" s="3">
        <v>1600</v>
      </c>
      <c r="E1030" s="1" t="str">
        <f t="shared" si="16"/>
        <v>Jul 2012</v>
      </c>
    </row>
    <row r="1031" spans="1:5" ht="10.199999999999999" x14ac:dyDescent="0.25">
      <c r="A1031" s="1">
        <v>69</v>
      </c>
      <c r="B1031" s="1" t="s">
        <v>9</v>
      </c>
      <c r="C1031" s="2">
        <v>41116</v>
      </c>
      <c r="D1031" s="3">
        <v>1600</v>
      </c>
      <c r="E1031" s="1" t="str">
        <f t="shared" si="16"/>
        <v>Jul 2012</v>
      </c>
    </row>
    <row r="1032" spans="1:5" ht="10.199999999999999" x14ac:dyDescent="0.25">
      <c r="A1032" s="1">
        <v>69</v>
      </c>
      <c r="B1032" s="1" t="s">
        <v>9</v>
      </c>
      <c r="C1032" s="2">
        <v>41118</v>
      </c>
      <c r="D1032" s="3">
        <v>1600</v>
      </c>
      <c r="E1032" s="1" t="str">
        <f t="shared" si="16"/>
        <v>Jul 2012</v>
      </c>
    </row>
    <row r="1033" spans="1:5" ht="10.199999999999999" x14ac:dyDescent="0.25">
      <c r="A1033" s="1">
        <v>69</v>
      </c>
      <c r="B1033" s="1" t="s">
        <v>9</v>
      </c>
      <c r="C1033" s="2">
        <v>41121</v>
      </c>
      <c r="D1033" s="3">
        <v>1600</v>
      </c>
      <c r="E1033" s="1" t="str">
        <f t="shared" si="16"/>
        <v>Jul 2012</v>
      </c>
    </row>
    <row r="1034" spans="1:5" ht="10.199999999999999" x14ac:dyDescent="0.25">
      <c r="A1034" s="1">
        <v>69</v>
      </c>
      <c r="B1034" s="1" t="s">
        <v>9</v>
      </c>
      <c r="C1034" s="2">
        <v>41123</v>
      </c>
      <c r="D1034" s="3">
        <v>1600</v>
      </c>
      <c r="E1034" s="1" t="str">
        <f t="shared" si="16"/>
        <v>Aug 2012</v>
      </c>
    </row>
    <row r="1035" spans="1:5" ht="10.199999999999999" x14ac:dyDescent="0.25">
      <c r="A1035" s="1">
        <v>69</v>
      </c>
      <c r="B1035" s="1" t="s">
        <v>9</v>
      </c>
      <c r="C1035" s="2">
        <v>41125</v>
      </c>
      <c r="D1035" s="3">
        <v>2000</v>
      </c>
      <c r="E1035" s="1" t="str">
        <f t="shared" si="16"/>
        <v>Aug 2012</v>
      </c>
    </row>
    <row r="1036" spans="1:5" ht="10.199999999999999" x14ac:dyDescent="0.25">
      <c r="A1036" s="1">
        <v>69</v>
      </c>
      <c r="B1036" s="1" t="s">
        <v>9</v>
      </c>
      <c r="C1036" s="2">
        <v>41128</v>
      </c>
      <c r="D1036" s="3">
        <v>2000</v>
      </c>
      <c r="E1036" s="1" t="str">
        <f t="shared" si="16"/>
        <v>Aug 2012</v>
      </c>
    </row>
    <row r="1037" spans="1:5" ht="10.199999999999999" x14ac:dyDescent="0.25">
      <c r="A1037" s="1">
        <v>69</v>
      </c>
      <c r="B1037" s="1" t="s">
        <v>9</v>
      </c>
      <c r="C1037" s="2">
        <v>41130</v>
      </c>
      <c r="D1037" s="3">
        <v>2000</v>
      </c>
      <c r="E1037" s="1" t="str">
        <f t="shared" si="16"/>
        <v>Aug 2012</v>
      </c>
    </row>
    <row r="1038" spans="1:5" ht="10.199999999999999" x14ac:dyDescent="0.25">
      <c r="A1038" s="1">
        <v>69</v>
      </c>
      <c r="B1038" s="1" t="s">
        <v>9</v>
      </c>
      <c r="C1038" s="2">
        <v>41132</v>
      </c>
      <c r="D1038" s="3">
        <v>2000</v>
      </c>
      <c r="E1038" s="1" t="str">
        <f t="shared" si="16"/>
        <v>Aug 2012</v>
      </c>
    </row>
    <row r="1039" spans="1:5" ht="10.199999999999999" x14ac:dyDescent="0.25">
      <c r="A1039" s="1">
        <v>69</v>
      </c>
      <c r="B1039" s="1" t="s">
        <v>9</v>
      </c>
      <c r="C1039" s="2">
        <v>41135</v>
      </c>
      <c r="D1039" s="3">
        <v>2000</v>
      </c>
      <c r="E1039" s="1" t="str">
        <f t="shared" si="16"/>
        <v>Aug 2012</v>
      </c>
    </row>
    <row r="1040" spans="1:5" ht="10.199999999999999" x14ac:dyDescent="0.25">
      <c r="A1040" s="1">
        <v>69</v>
      </c>
      <c r="B1040" s="1" t="s">
        <v>9</v>
      </c>
      <c r="C1040" s="2">
        <v>41137</v>
      </c>
      <c r="D1040" s="3">
        <v>2000</v>
      </c>
      <c r="E1040" s="1" t="str">
        <f t="shared" si="16"/>
        <v>Aug 2012</v>
      </c>
    </row>
    <row r="1041" spans="1:5" ht="10.199999999999999" x14ac:dyDescent="0.25">
      <c r="A1041" s="1">
        <v>69</v>
      </c>
      <c r="B1041" s="1" t="s">
        <v>9</v>
      </c>
      <c r="C1041" s="2">
        <v>41139</v>
      </c>
      <c r="D1041" s="3">
        <v>2400</v>
      </c>
      <c r="E1041" s="1" t="str">
        <f t="shared" si="16"/>
        <v>Aug 2012</v>
      </c>
    </row>
    <row r="1042" spans="1:5" ht="10.199999999999999" x14ac:dyDescent="0.25">
      <c r="A1042" s="1">
        <v>69</v>
      </c>
      <c r="B1042" s="1" t="s">
        <v>9</v>
      </c>
      <c r="C1042" s="2">
        <v>41142</v>
      </c>
      <c r="D1042" s="3">
        <v>2400</v>
      </c>
      <c r="E1042" s="1" t="str">
        <f t="shared" si="16"/>
        <v>Aug 2012</v>
      </c>
    </row>
    <row r="1043" spans="1:5" ht="10.199999999999999" x14ac:dyDescent="0.25">
      <c r="A1043" s="1">
        <v>69</v>
      </c>
      <c r="B1043" s="1" t="s">
        <v>9</v>
      </c>
      <c r="C1043" s="2">
        <v>41144</v>
      </c>
      <c r="D1043" s="3">
        <v>2400</v>
      </c>
      <c r="E1043" s="1" t="str">
        <f t="shared" si="16"/>
        <v>Aug 2012</v>
      </c>
    </row>
    <row r="1044" spans="1:5" ht="10.199999999999999" x14ac:dyDescent="0.25">
      <c r="A1044" s="1">
        <v>69</v>
      </c>
      <c r="B1044" s="1" t="s">
        <v>9</v>
      </c>
      <c r="C1044" s="2">
        <v>41146</v>
      </c>
      <c r="D1044" s="3">
        <v>2400</v>
      </c>
      <c r="E1044" s="1" t="str">
        <f t="shared" si="16"/>
        <v>Aug 2012</v>
      </c>
    </row>
    <row r="1045" spans="1:5" ht="10.199999999999999" x14ac:dyDescent="0.25">
      <c r="A1045" s="1">
        <v>69</v>
      </c>
      <c r="B1045" s="1" t="s">
        <v>9</v>
      </c>
      <c r="C1045" s="2">
        <v>41149</v>
      </c>
      <c r="D1045" s="3">
        <v>2400</v>
      </c>
      <c r="E1045" s="1" t="str">
        <f t="shared" si="16"/>
        <v>Aug 2012</v>
      </c>
    </row>
    <row r="1046" spans="1:5" ht="10.199999999999999" x14ac:dyDescent="0.25">
      <c r="A1046" s="1">
        <v>69</v>
      </c>
      <c r="B1046" s="1" t="s">
        <v>9</v>
      </c>
      <c r="C1046" s="2">
        <v>41151</v>
      </c>
      <c r="D1046" s="3">
        <v>2400</v>
      </c>
      <c r="E1046" s="1" t="str">
        <f t="shared" si="16"/>
        <v>Aug 2012</v>
      </c>
    </row>
    <row r="1047" spans="1:5" ht="10.199999999999999" x14ac:dyDescent="0.25">
      <c r="A1047" s="1">
        <v>69</v>
      </c>
      <c r="B1047" s="1" t="s">
        <v>9</v>
      </c>
      <c r="C1047" s="2">
        <v>41153</v>
      </c>
      <c r="D1047" s="3">
        <v>2400</v>
      </c>
      <c r="E1047" s="1" t="str">
        <f t="shared" si="16"/>
        <v>Sep 2012</v>
      </c>
    </row>
    <row r="1048" spans="1:5" ht="10.199999999999999" x14ac:dyDescent="0.25">
      <c r="A1048" s="1">
        <v>69</v>
      </c>
      <c r="B1048" s="1" t="s">
        <v>9</v>
      </c>
      <c r="C1048" s="2">
        <v>41156</v>
      </c>
      <c r="D1048" s="3">
        <v>2400</v>
      </c>
      <c r="E1048" s="1" t="str">
        <f t="shared" si="16"/>
        <v>Sep 2012</v>
      </c>
    </row>
    <row r="1049" spans="1:5" ht="10.199999999999999" x14ac:dyDescent="0.25">
      <c r="A1049" s="1">
        <v>69</v>
      </c>
      <c r="B1049" s="1" t="s">
        <v>9</v>
      </c>
      <c r="C1049" s="2">
        <v>41158</v>
      </c>
      <c r="D1049" s="3">
        <v>2400</v>
      </c>
      <c r="E1049" s="1" t="str">
        <f t="shared" si="16"/>
        <v>Sep 2012</v>
      </c>
    </row>
    <row r="1050" spans="1:5" ht="10.199999999999999" x14ac:dyDescent="0.25">
      <c r="A1050" s="1">
        <v>69</v>
      </c>
      <c r="B1050" s="1" t="s">
        <v>10</v>
      </c>
      <c r="C1050" s="2">
        <v>41165</v>
      </c>
      <c r="D1050" s="3">
        <v>5</v>
      </c>
      <c r="E1050" s="1" t="str">
        <f t="shared" si="16"/>
        <v>Sep 2012</v>
      </c>
    </row>
    <row r="1051" spans="1:5" ht="10.199999999999999" x14ac:dyDescent="0.25">
      <c r="A1051" s="1">
        <v>69</v>
      </c>
      <c r="B1051" s="1" t="s">
        <v>10</v>
      </c>
      <c r="C1051" s="2">
        <v>41193</v>
      </c>
      <c r="D1051" s="3">
        <v>5</v>
      </c>
      <c r="E1051" s="1" t="str">
        <f t="shared" si="16"/>
        <v>Oct 2012</v>
      </c>
    </row>
    <row r="1052" spans="1:5" ht="10.199999999999999" x14ac:dyDescent="0.25">
      <c r="A1052" s="1">
        <v>69</v>
      </c>
      <c r="B1052" s="1" t="s">
        <v>10</v>
      </c>
      <c r="C1052" s="2">
        <v>41228</v>
      </c>
      <c r="D1052" s="3">
        <v>5</v>
      </c>
      <c r="E1052" s="1" t="str">
        <f t="shared" si="16"/>
        <v>Nov 2012</v>
      </c>
    </row>
    <row r="1053" spans="1:5" ht="10.199999999999999" x14ac:dyDescent="0.25">
      <c r="A1053" s="1">
        <v>70</v>
      </c>
      <c r="B1053" s="1" t="s">
        <v>9</v>
      </c>
      <c r="C1053" s="2">
        <v>41092</v>
      </c>
      <c r="D1053" s="3">
        <v>9500</v>
      </c>
      <c r="E1053" s="1" t="str">
        <f t="shared" si="16"/>
        <v>Jul 2012</v>
      </c>
    </row>
    <row r="1054" spans="1:5" ht="10.199999999999999" x14ac:dyDescent="0.25">
      <c r="A1054" s="1">
        <v>70</v>
      </c>
      <c r="B1054" s="1" t="s">
        <v>9</v>
      </c>
      <c r="C1054" s="2">
        <v>41094</v>
      </c>
      <c r="D1054" s="3">
        <v>9500</v>
      </c>
      <c r="E1054" s="1" t="str">
        <f t="shared" si="16"/>
        <v>Jul 2012</v>
      </c>
    </row>
    <row r="1055" spans="1:5" ht="10.199999999999999" x14ac:dyDescent="0.25">
      <c r="A1055" s="1">
        <v>70</v>
      </c>
      <c r="B1055" s="1" t="s">
        <v>9</v>
      </c>
      <c r="C1055" s="2">
        <v>41096</v>
      </c>
      <c r="D1055" s="3">
        <v>9500</v>
      </c>
      <c r="E1055" s="1" t="str">
        <f t="shared" si="16"/>
        <v>Jul 2012</v>
      </c>
    </row>
    <row r="1056" spans="1:5" ht="10.199999999999999" x14ac:dyDescent="0.25">
      <c r="A1056" s="1">
        <v>70</v>
      </c>
      <c r="B1056" s="1" t="s">
        <v>9</v>
      </c>
      <c r="C1056" s="2">
        <v>41099</v>
      </c>
      <c r="D1056" s="3">
        <v>9500</v>
      </c>
      <c r="E1056" s="1" t="str">
        <f t="shared" si="16"/>
        <v>Jul 2012</v>
      </c>
    </row>
    <row r="1057" spans="1:5" ht="10.199999999999999" x14ac:dyDescent="0.25">
      <c r="A1057" s="1">
        <v>70</v>
      </c>
      <c r="B1057" s="1" t="s">
        <v>9</v>
      </c>
      <c r="C1057" s="2">
        <v>41101</v>
      </c>
      <c r="D1057" s="3">
        <v>9500</v>
      </c>
      <c r="E1057" s="1" t="str">
        <f t="shared" si="16"/>
        <v>Jul 2012</v>
      </c>
    </row>
    <row r="1058" spans="1:5" ht="10.199999999999999" x14ac:dyDescent="0.25">
      <c r="A1058" s="1">
        <v>70</v>
      </c>
      <c r="B1058" s="1" t="s">
        <v>9</v>
      </c>
      <c r="C1058" s="2">
        <v>41103</v>
      </c>
      <c r="D1058" s="3">
        <v>9500</v>
      </c>
      <c r="E1058" s="1" t="str">
        <f t="shared" si="16"/>
        <v>Jul 2012</v>
      </c>
    </row>
    <row r="1059" spans="1:5" ht="10.199999999999999" x14ac:dyDescent="0.25">
      <c r="A1059" s="1">
        <v>70</v>
      </c>
      <c r="B1059" s="1" t="s">
        <v>9</v>
      </c>
      <c r="C1059" s="2">
        <v>41117</v>
      </c>
      <c r="D1059" s="3">
        <v>9500</v>
      </c>
      <c r="E1059" s="1" t="str">
        <f t="shared" si="16"/>
        <v>Jul 2012</v>
      </c>
    </row>
    <row r="1060" spans="1:5" ht="10.199999999999999" x14ac:dyDescent="0.25">
      <c r="A1060" s="1">
        <v>70</v>
      </c>
      <c r="B1060" s="1" t="s">
        <v>9</v>
      </c>
      <c r="C1060" s="2">
        <v>41120</v>
      </c>
      <c r="D1060" s="3">
        <v>9500</v>
      </c>
      <c r="E1060" s="1" t="str">
        <f t="shared" si="16"/>
        <v>Jul 2012</v>
      </c>
    </row>
    <row r="1061" spans="1:5" ht="10.199999999999999" x14ac:dyDescent="0.25">
      <c r="A1061" s="1">
        <v>70</v>
      </c>
      <c r="B1061" s="1" t="s">
        <v>9</v>
      </c>
      <c r="C1061" s="2">
        <v>41122</v>
      </c>
      <c r="D1061" s="3">
        <v>9500</v>
      </c>
      <c r="E1061" s="1" t="str">
        <f t="shared" si="16"/>
        <v>Aug 2012</v>
      </c>
    </row>
    <row r="1062" spans="1:5" ht="10.199999999999999" x14ac:dyDescent="0.25">
      <c r="A1062" s="1">
        <v>70</v>
      </c>
      <c r="B1062" s="1" t="s">
        <v>9</v>
      </c>
      <c r="C1062" s="2">
        <v>41124</v>
      </c>
      <c r="D1062" s="3">
        <v>9500</v>
      </c>
      <c r="E1062" s="1" t="str">
        <f t="shared" si="16"/>
        <v>Aug 2012</v>
      </c>
    </row>
    <row r="1063" spans="1:5" ht="10.199999999999999" x14ac:dyDescent="0.25">
      <c r="A1063" s="1">
        <v>71</v>
      </c>
      <c r="B1063" s="1" t="s">
        <v>9</v>
      </c>
      <c r="C1063" s="2">
        <v>41092</v>
      </c>
      <c r="D1063" s="3">
        <v>4100</v>
      </c>
      <c r="E1063" s="1" t="str">
        <f t="shared" si="16"/>
        <v>Jul 2012</v>
      </c>
    </row>
    <row r="1064" spans="1:5" ht="10.199999999999999" x14ac:dyDescent="0.25">
      <c r="A1064" s="1">
        <v>71</v>
      </c>
      <c r="B1064" s="1" t="s">
        <v>9</v>
      </c>
      <c r="C1064" s="2">
        <v>41094</v>
      </c>
      <c r="D1064" s="3">
        <v>4100</v>
      </c>
      <c r="E1064" s="1" t="str">
        <f t="shared" si="16"/>
        <v>Jul 2012</v>
      </c>
    </row>
    <row r="1065" spans="1:5" ht="10.199999999999999" x14ac:dyDescent="0.25">
      <c r="A1065" s="1">
        <v>72</v>
      </c>
      <c r="B1065" s="1" t="s">
        <v>10</v>
      </c>
      <c r="C1065" s="2">
        <v>41228</v>
      </c>
      <c r="D1065" s="3">
        <v>2</v>
      </c>
      <c r="E1065" s="1" t="str">
        <f t="shared" si="16"/>
        <v>Nov 2012</v>
      </c>
    </row>
    <row r="1066" spans="1:5" ht="10.199999999999999" x14ac:dyDescent="0.25">
      <c r="A1066" s="1">
        <v>73</v>
      </c>
      <c r="B1066" s="1" t="s">
        <v>9</v>
      </c>
      <c r="C1066" s="2">
        <v>41152</v>
      </c>
      <c r="D1066" s="3">
        <v>10000</v>
      </c>
      <c r="E1066" s="1" t="str">
        <f t="shared" si="16"/>
        <v>Aug 2012</v>
      </c>
    </row>
    <row r="1067" spans="1:5" ht="10.199999999999999" x14ac:dyDescent="0.25">
      <c r="A1067" s="1">
        <v>73</v>
      </c>
      <c r="B1067" s="1" t="s">
        <v>9</v>
      </c>
      <c r="C1067" s="2">
        <v>41155</v>
      </c>
      <c r="D1067" s="3">
        <v>10000</v>
      </c>
      <c r="E1067" s="1" t="str">
        <f t="shared" si="16"/>
        <v>Sep 2012</v>
      </c>
    </row>
    <row r="1068" spans="1:5" ht="10.199999999999999" x14ac:dyDescent="0.25">
      <c r="A1068" s="1">
        <v>73</v>
      </c>
      <c r="B1068" s="1" t="s">
        <v>9</v>
      </c>
      <c r="C1068" s="2">
        <v>41157</v>
      </c>
      <c r="D1068" s="3">
        <v>10000</v>
      </c>
      <c r="E1068" s="1" t="str">
        <f t="shared" si="16"/>
        <v>Sep 2012</v>
      </c>
    </row>
    <row r="1069" spans="1:5" ht="10.199999999999999" x14ac:dyDescent="0.25">
      <c r="A1069" s="1">
        <v>73</v>
      </c>
      <c r="B1069" s="1" t="s">
        <v>10</v>
      </c>
      <c r="C1069" s="2">
        <v>41166</v>
      </c>
      <c r="D1069" s="3">
        <v>13</v>
      </c>
      <c r="E1069" s="1" t="str">
        <f t="shared" si="16"/>
        <v>Sep 2012</v>
      </c>
    </row>
    <row r="1070" spans="1:5" ht="10.199999999999999" x14ac:dyDescent="0.25">
      <c r="A1070" s="1">
        <v>73</v>
      </c>
      <c r="B1070" s="1" t="s">
        <v>10</v>
      </c>
      <c r="C1070" s="2">
        <v>41192</v>
      </c>
      <c r="D1070" s="3">
        <v>13</v>
      </c>
      <c r="E1070" s="1" t="str">
        <f t="shared" si="16"/>
        <v>Oct 2012</v>
      </c>
    </row>
    <row r="1071" spans="1:5" ht="10.199999999999999" x14ac:dyDescent="0.25">
      <c r="A1071" s="1">
        <v>73</v>
      </c>
      <c r="B1071" s="1" t="s">
        <v>10</v>
      </c>
      <c r="C1071" s="2">
        <v>41227</v>
      </c>
      <c r="D1071" s="3">
        <v>10</v>
      </c>
      <c r="E1071" s="1" t="str">
        <f t="shared" si="16"/>
        <v>Nov 2012</v>
      </c>
    </row>
    <row r="1072" spans="1:5" ht="10.199999999999999" x14ac:dyDescent="0.25">
      <c r="A1072" s="1">
        <v>74</v>
      </c>
      <c r="B1072" s="1" t="s">
        <v>9</v>
      </c>
      <c r="C1072" s="2">
        <v>41092</v>
      </c>
      <c r="D1072" s="3">
        <v>200</v>
      </c>
      <c r="E1072" s="1" t="str">
        <f t="shared" si="16"/>
        <v>Jul 2012</v>
      </c>
    </row>
    <row r="1073" spans="1:5" ht="10.199999999999999" x14ac:dyDescent="0.25">
      <c r="A1073" s="1">
        <v>74</v>
      </c>
      <c r="B1073" s="1" t="s">
        <v>9</v>
      </c>
      <c r="C1073" s="2">
        <v>41099</v>
      </c>
      <c r="D1073" s="3">
        <v>200</v>
      </c>
      <c r="E1073" s="1" t="str">
        <f t="shared" si="16"/>
        <v>Jul 2012</v>
      </c>
    </row>
    <row r="1074" spans="1:5" ht="10.199999999999999" x14ac:dyDescent="0.25">
      <c r="A1074" s="1">
        <v>74</v>
      </c>
      <c r="B1074" s="1" t="s">
        <v>9</v>
      </c>
      <c r="C1074" s="2">
        <v>41110</v>
      </c>
      <c r="D1074" s="3">
        <v>200</v>
      </c>
      <c r="E1074" s="1" t="str">
        <f t="shared" si="16"/>
        <v>Jul 2012</v>
      </c>
    </row>
    <row r="1075" spans="1:5" ht="10.199999999999999" x14ac:dyDescent="0.25">
      <c r="A1075" s="1">
        <v>74</v>
      </c>
      <c r="B1075" s="1" t="s">
        <v>9</v>
      </c>
      <c r="C1075" s="2">
        <v>41113</v>
      </c>
      <c r="D1075" s="3">
        <v>200</v>
      </c>
      <c r="E1075" s="1" t="str">
        <f t="shared" si="16"/>
        <v>Jul 2012</v>
      </c>
    </row>
    <row r="1076" spans="1:5" ht="10.199999999999999" x14ac:dyDescent="0.25">
      <c r="A1076" s="1">
        <v>74</v>
      </c>
      <c r="B1076" s="1" t="s">
        <v>9</v>
      </c>
      <c r="C1076" s="2">
        <v>41115</v>
      </c>
      <c r="D1076" s="3">
        <v>200</v>
      </c>
      <c r="E1076" s="1" t="str">
        <f t="shared" si="16"/>
        <v>Jul 2012</v>
      </c>
    </row>
    <row r="1077" spans="1:5" ht="10.199999999999999" x14ac:dyDescent="0.25">
      <c r="A1077" s="1">
        <v>74</v>
      </c>
      <c r="B1077" s="1" t="s">
        <v>9</v>
      </c>
      <c r="C1077" s="2">
        <v>41117</v>
      </c>
      <c r="D1077" s="3">
        <v>3000</v>
      </c>
      <c r="E1077" s="1" t="str">
        <f t="shared" si="16"/>
        <v>Jul 2012</v>
      </c>
    </row>
    <row r="1078" spans="1:5" ht="10.199999999999999" x14ac:dyDescent="0.25">
      <c r="A1078" s="1">
        <v>74</v>
      </c>
      <c r="B1078" s="1" t="s">
        <v>9</v>
      </c>
      <c r="C1078" s="2">
        <v>41120</v>
      </c>
      <c r="D1078" s="3">
        <v>3000</v>
      </c>
      <c r="E1078" s="1" t="str">
        <f t="shared" si="16"/>
        <v>Jul 2012</v>
      </c>
    </row>
    <row r="1079" spans="1:5" ht="10.199999999999999" x14ac:dyDescent="0.25">
      <c r="A1079" s="1">
        <v>74</v>
      </c>
      <c r="B1079" s="1" t="s">
        <v>9</v>
      </c>
      <c r="C1079" s="2">
        <v>41122</v>
      </c>
      <c r="D1079" s="3">
        <v>3000</v>
      </c>
      <c r="E1079" s="1" t="str">
        <f t="shared" si="16"/>
        <v>Aug 2012</v>
      </c>
    </row>
    <row r="1080" spans="1:5" ht="10.199999999999999" x14ac:dyDescent="0.25">
      <c r="A1080" s="1">
        <v>74</v>
      </c>
      <c r="B1080" s="1" t="s">
        <v>9</v>
      </c>
      <c r="C1080" s="2">
        <v>41124</v>
      </c>
      <c r="D1080" s="3">
        <v>3000</v>
      </c>
      <c r="E1080" s="1" t="str">
        <f t="shared" si="16"/>
        <v>Aug 2012</v>
      </c>
    </row>
    <row r="1081" spans="1:5" ht="10.199999999999999" x14ac:dyDescent="0.25">
      <c r="A1081" s="1">
        <v>74</v>
      </c>
      <c r="B1081" s="1" t="s">
        <v>9</v>
      </c>
      <c r="C1081" s="2">
        <v>41127</v>
      </c>
      <c r="D1081" s="3">
        <v>3000</v>
      </c>
      <c r="E1081" s="1" t="str">
        <f t="shared" si="16"/>
        <v>Aug 2012</v>
      </c>
    </row>
    <row r="1082" spans="1:5" ht="10.199999999999999" x14ac:dyDescent="0.25">
      <c r="A1082" s="1">
        <v>74</v>
      </c>
      <c r="B1082" s="1" t="s">
        <v>9</v>
      </c>
      <c r="C1082" s="2">
        <v>41129</v>
      </c>
      <c r="D1082" s="3">
        <v>3000</v>
      </c>
      <c r="E1082" s="1" t="str">
        <f t="shared" si="16"/>
        <v>Aug 2012</v>
      </c>
    </row>
    <row r="1083" spans="1:5" ht="10.199999999999999" x14ac:dyDescent="0.25">
      <c r="A1083" s="1">
        <v>74</v>
      </c>
      <c r="B1083" s="1" t="s">
        <v>9</v>
      </c>
      <c r="C1083" s="2">
        <v>41131</v>
      </c>
      <c r="D1083" s="3">
        <v>3000</v>
      </c>
      <c r="E1083" s="1" t="str">
        <f t="shared" si="16"/>
        <v>Aug 2012</v>
      </c>
    </row>
    <row r="1084" spans="1:5" ht="10.199999999999999" x14ac:dyDescent="0.25">
      <c r="A1084" s="1">
        <v>74</v>
      </c>
      <c r="B1084" s="1" t="s">
        <v>9</v>
      </c>
      <c r="C1084" s="2">
        <v>41134</v>
      </c>
      <c r="D1084" s="3">
        <v>3000</v>
      </c>
      <c r="E1084" s="1" t="str">
        <f t="shared" si="16"/>
        <v>Aug 2012</v>
      </c>
    </row>
    <row r="1085" spans="1:5" ht="10.199999999999999" x14ac:dyDescent="0.25">
      <c r="A1085" s="1">
        <v>74</v>
      </c>
      <c r="B1085" s="1" t="s">
        <v>9</v>
      </c>
      <c r="C1085" s="2">
        <v>41136</v>
      </c>
      <c r="D1085" s="3">
        <v>3000</v>
      </c>
      <c r="E1085" s="1" t="str">
        <f t="shared" si="16"/>
        <v>Aug 2012</v>
      </c>
    </row>
    <row r="1086" spans="1:5" ht="10.199999999999999" x14ac:dyDescent="0.25">
      <c r="A1086" s="1">
        <v>74</v>
      </c>
      <c r="B1086" s="1" t="s">
        <v>9</v>
      </c>
      <c r="C1086" s="2">
        <v>41138</v>
      </c>
      <c r="D1086" s="3">
        <v>3000</v>
      </c>
      <c r="E1086" s="1" t="str">
        <f t="shared" si="16"/>
        <v>Aug 2012</v>
      </c>
    </row>
    <row r="1087" spans="1:5" ht="10.199999999999999" x14ac:dyDescent="0.25">
      <c r="A1087" s="1">
        <v>74</v>
      </c>
      <c r="B1087" s="1" t="s">
        <v>9</v>
      </c>
      <c r="C1087" s="2">
        <v>41141</v>
      </c>
      <c r="D1087" s="3">
        <v>3600</v>
      </c>
      <c r="E1087" s="1" t="str">
        <f t="shared" si="16"/>
        <v>Aug 2012</v>
      </c>
    </row>
    <row r="1088" spans="1:5" ht="10.199999999999999" x14ac:dyDescent="0.25">
      <c r="A1088" s="1">
        <v>74</v>
      </c>
      <c r="B1088" s="1" t="s">
        <v>9</v>
      </c>
      <c r="C1088" s="2">
        <v>41143</v>
      </c>
      <c r="D1088" s="3">
        <v>3600</v>
      </c>
      <c r="E1088" s="1" t="str">
        <f t="shared" si="16"/>
        <v>Aug 2012</v>
      </c>
    </row>
    <row r="1089" spans="1:5" ht="10.199999999999999" x14ac:dyDescent="0.25">
      <c r="A1089" s="1">
        <v>74</v>
      </c>
      <c r="B1089" s="1" t="s">
        <v>9</v>
      </c>
      <c r="C1089" s="2">
        <v>41145</v>
      </c>
      <c r="D1089" s="3">
        <v>3600</v>
      </c>
      <c r="E1089" s="1" t="str">
        <f t="shared" si="16"/>
        <v>Aug 2012</v>
      </c>
    </row>
    <row r="1090" spans="1:5" ht="10.199999999999999" x14ac:dyDescent="0.25">
      <c r="A1090" s="1">
        <v>74</v>
      </c>
      <c r="B1090" s="1" t="s">
        <v>9</v>
      </c>
      <c r="C1090" s="2">
        <v>41148</v>
      </c>
      <c r="D1090" s="3">
        <v>3600</v>
      </c>
      <c r="E1090" s="1" t="str">
        <f t="shared" si="16"/>
        <v>Aug 2012</v>
      </c>
    </row>
    <row r="1091" spans="1:5" ht="10.199999999999999" x14ac:dyDescent="0.25">
      <c r="A1091" s="1">
        <v>74</v>
      </c>
      <c r="B1091" s="1" t="s">
        <v>9</v>
      </c>
      <c r="C1091" s="2">
        <v>41150</v>
      </c>
      <c r="D1091" s="3">
        <v>3600</v>
      </c>
      <c r="E1091" s="1" t="str">
        <f t="shared" ref="E1091:E1154" si="17">TEXT(C1091,"mmm yyyy")</f>
        <v>Aug 2012</v>
      </c>
    </row>
    <row r="1092" spans="1:5" ht="10.199999999999999" x14ac:dyDescent="0.25">
      <c r="A1092" s="1">
        <v>74</v>
      </c>
      <c r="B1092" s="1" t="s">
        <v>9</v>
      </c>
      <c r="C1092" s="2">
        <v>41152</v>
      </c>
      <c r="D1092" s="3">
        <v>3600</v>
      </c>
      <c r="E1092" s="1" t="str">
        <f t="shared" si="17"/>
        <v>Aug 2012</v>
      </c>
    </row>
    <row r="1093" spans="1:5" ht="10.199999999999999" x14ac:dyDescent="0.25">
      <c r="A1093" s="1">
        <v>74</v>
      </c>
      <c r="B1093" s="1" t="s">
        <v>9</v>
      </c>
      <c r="C1093" s="2">
        <v>41155</v>
      </c>
      <c r="D1093" s="3">
        <v>3600</v>
      </c>
      <c r="E1093" s="1" t="str">
        <f t="shared" si="17"/>
        <v>Sep 2012</v>
      </c>
    </row>
    <row r="1094" spans="1:5" ht="10.199999999999999" x14ac:dyDescent="0.25">
      <c r="A1094" s="1">
        <v>74</v>
      </c>
      <c r="B1094" s="1" t="s">
        <v>9</v>
      </c>
      <c r="C1094" s="2">
        <v>41157</v>
      </c>
      <c r="D1094" s="3">
        <v>3600</v>
      </c>
      <c r="E1094" s="1" t="str">
        <f t="shared" si="17"/>
        <v>Sep 2012</v>
      </c>
    </row>
    <row r="1095" spans="1:5" ht="10.199999999999999" x14ac:dyDescent="0.25">
      <c r="A1095" s="1">
        <v>74</v>
      </c>
      <c r="B1095" s="1" t="s">
        <v>10</v>
      </c>
      <c r="C1095" s="2">
        <v>41192</v>
      </c>
      <c r="D1095" s="3">
        <v>4</v>
      </c>
      <c r="E1095" s="1" t="str">
        <f t="shared" si="17"/>
        <v>Oct 2012</v>
      </c>
    </row>
    <row r="1096" spans="1:5" ht="10.199999999999999" x14ac:dyDescent="0.25">
      <c r="A1096" s="1">
        <v>74</v>
      </c>
      <c r="B1096" s="1" t="s">
        <v>10</v>
      </c>
      <c r="C1096" s="2">
        <v>41227</v>
      </c>
      <c r="D1096" s="3">
        <v>4</v>
      </c>
      <c r="E1096" s="1" t="str">
        <f t="shared" si="17"/>
        <v>Nov 2012</v>
      </c>
    </row>
    <row r="1097" spans="1:5" ht="10.199999999999999" x14ac:dyDescent="0.25">
      <c r="A1097" s="1">
        <v>75</v>
      </c>
      <c r="B1097" s="1" t="s">
        <v>9</v>
      </c>
      <c r="C1097" s="2">
        <v>41102</v>
      </c>
      <c r="D1097" s="3">
        <v>10000</v>
      </c>
      <c r="E1097" s="1" t="str">
        <f t="shared" si="17"/>
        <v>Jul 2012</v>
      </c>
    </row>
    <row r="1098" spans="1:5" ht="10.199999999999999" x14ac:dyDescent="0.25">
      <c r="A1098" s="1">
        <v>75</v>
      </c>
      <c r="B1098" s="1" t="s">
        <v>9</v>
      </c>
      <c r="C1098" s="2">
        <v>41104</v>
      </c>
      <c r="D1098" s="3">
        <v>10000</v>
      </c>
      <c r="E1098" s="1" t="str">
        <f t="shared" si="17"/>
        <v>Jul 2012</v>
      </c>
    </row>
    <row r="1099" spans="1:5" ht="10.199999999999999" x14ac:dyDescent="0.25">
      <c r="A1099" s="1">
        <v>75</v>
      </c>
      <c r="B1099" s="1" t="s">
        <v>9</v>
      </c>
      <c r="C1099" s="2">
        <v>41107</v>
      </c>
      <c r="D1099" s="3">
        <v>10000</v>
      </c>
      <c r="E1099" s="1" t="str">
        <f t="shared" si="17"/>
        <v>Jul 2012</v>
      </c>
    </row>
    <row r="1100" spans="1:5" ht="10.199999999999999" x14ac:dyDescent="0.25">
      <c r="A1100" s="1">
        <v>75</v>
      </c>
      <c r="B1100" s="1" t="s">
        <v>9</v>
      </c>
      <c r="C1100" s="2">
        <v>41109</v>
      </c>
      <c r="D1100" s="3">
        <v>10000</v>
      </c>
      <c r="E1100" s="1" t="str">
        <f t="shared" si="17"/>
        <v>Jul 2012</v>
      </c>
    </row>
    <row r="1101" spans="1:5" ht="10.199999999999999" x14ac:dyDescent="0.25">
      <c r="A1101" s="1">
        <v>75</v>
      </c>
      <c r="B1101" s="1" t="s">
        <v>9</v>
      </c>
      <c r="C1101" s="2">
        <v>41111</v>
      </c>
      <c r="D1101" s="3">
        <v>12000</v>
      </c>
      <c r="E1101" s="1" t="str">
        <f t="shared" si="17"/>
        <v>Jul 2012</v>
      </c>
    </row>
    <row r="1102" spans="1:5" ht="10.199999999999999" x14ac:dyDescent="0.25">
      <c r="A1102" s="1">
        <v>75</v>
      </c>
      <c r="B1102" s="1" t="s">
        <v>9</v>
      </c>
      <c r="C1102" s="2">
        <v>41114</v>
      </c>
      <c r="D1102" s="3">
        <v>12000</v>
      </c>
      <c r="E1102" s="1" t="str">
        <f t="shared" si="17"/>
        <v>Jul 2012</v>
      </c>
    </row>
    <row r="1103" spans="1:5" ht="10.199999999999999" x14ac:dyDescent="0.25">
      <c r="A1103" s="1">
        <v>75</v>
      </c>
      <c r="B1103" s="1" t="s">
        <v>9</v>
      </c>
      <c r="C1103" s="2">
        <v>41116</v>
      </c>
      <c r="D1103" s="3">
        <v>12000</v>
      </c>
      <c r="E1103" s="1" t="str">
        <f t="shared" si="17"/>
        <v>Jul 2012</v>
      </c>
    </row>
    <row r="1104" spans="1:5" ht="10.199999999999999" x14ac:dyDescent="0.25">
      <c r="A1104" s="1">
        <v>75</v>
      </c>
      <c r="B1104" s="1" t="s">
        <v>9</v>
      </c>
      <c r="C1104" s="2">
        <v>41118</v>
      </c>
      <c r="D1104" s="3">
        <v>12000</v>
      </c>
      <c r="E1104" s="1" t="str">
        <f t="shared" si="17"/>
        <v>Jul 2012</v>
      </c>
    </row>
    <row r="1105" spans="1:5" ht="10.199999999999999" x14ac:dyDescent="0.25">
      <c r="A1105" s="1">
        <v>75</v>
      </c>
      <c r="B1105" s="1" t="s">
        <v>9</v>
      </c>
      <c r="C1105" s="2">
        <v>41122</v>
      </c>
      <c r="D1105" s="3">
        <v>12000</v>
      </c>
      <c r="E1105" s="1" t="str">
        <f t="shared" si="17"/>
        <v>Aug 2012</v>
      </c>
    </row>
    <row r="1106" spans="1:5" ht="10.199999999999999" x14ac:dyDescent="0.25">
      <c r="A1106" s="1">
        <v>75</v>
      </c>
      <c r="B1106" s="1" t="s">
        <v>9</v>
      </c>
      <c r="C1106" s="2">
        <v>41123</v>
      </c>
      <c r="D1106" s="3">
        <v>12000</v>
      </c>
      <c r="E1106" s="1" t="str">
        <f t="shared" si="17"/>
        <v>Aug 2012</v>
      </c>
    </row>
    <row r="1107" spans="1:5" ht="10.199999999999999" x14ac:dyDescent="0.25">
      <c r="A1107" s="1">
        <v>75</v>
      </c>
      <c r="B1107" s="1" t="s">
        <v>9</v>
      </c>
      <c r="C1107" s="2">
        <v>41125</v>
      </c>
      <c r="D1107" s="3">
        <v>13200</v>
      </c>
      <c r="E1107" s="1" t="str">
        <f t="shared" si="17"/>
        <v>Aug 2012</v>
      </c>
    </row>
    <row r="1108" spans="1:5" ht="10.199999999999999" x14ac:dyDescent="0.25">
      <c r="A1108" s="1">
        <v>75</v>
      </c>
      <c r="B1108" s="1" t="s">
        <v>9</v>
      </c>
      <c r="C1108" s="2">
        <v>41128</v>
      </c>
      <c r="D1108" s="3">
        <v>13200</v>
      </c>
      <c r="E1108" s="1" t="str">
        <f t="shared" si="17"/>
        <v>Aug 2012</v>
      </c>
    </row>
    <row r="1109" spans="1:5" ht="10.199999999999999" x14ac:dyDescent="0.25">
      <c r="A1109" s="1">
        <v>75</v>
      </c>
      <c r="B1109" s="1" t="s">
        <v>9</v>
      </c>
      <c r="C1109" s="2">
        <v>41130</v>
      </c>
      <c r="D1109" s="3">
        <v>13200</v>
      </c>
      <c r="E1109" s="1" t="str">
        <f t="shared" si="17"/>
        <v>Aug 2012</v>
      </c>
    </row>
    <row r="1110" spans="1:5" ht="10.199999999999999" x14ac:dyDescent="0.25">
      <c r="A1110" s="1">
        <v>75</v>
      </c>
      <c r="B1110" s="1" t="s">
        <v>9</v>
      </c>
      <c r="C1110" s="2">
        <v>41132</v>
      </c>
      <c r="D1110" s="3">
        <v>13200</v>
      </c>
      <c r="E1110" s="1" t="str">
        <f t="shared" si="17"/>
        <v>Aug 2012</v>
      </c>
    </row>
    <row r="1111" spans="1:5" ht="10.199999999999999" x14ac:dyDescent="0.25">
      <c r="A1111" s="1">
        <v>75</v>
      </c>
      <c r="B1111" s="1" t="s">
        <v>9</v>
      </c>
      <c r="C1111" s="2">
        <v>41135</v>
      </c>
      <c r="D1111" s="3">
        <v>13200</v>
      </c>
      <c r="E1111" s="1" t="str">
        <f t="shared" si="17"/>
        <v>Aug 2012</v>
      </c>
    </row>
    <row r="1112" spans="1:5" ht="10.199999999999999" x14ac:dyDescent="0.25">
      <c r="A1112" s="1">
        <v>75</v>
      </c>
      <c r="B1112" s="1" t="s">
        <v>9</v>
      </c>
      <c r="C1112" s="2">
        <v>41137</v>
      </c>
      <c r="D1112" s="3">
        <v>13200</v>
      </c>
      <c r="E1112" s="1" t="str">
        <f t="shared" si="17"/>
        <v>Aug 2012</v>
      </c>
    </row>
    <row r="1113" spans="1:5" ht="10.199999999999999" x14ac:dyDescent="0.25">
      <c r="A1113" s="1">
        <v>75</v>
      </c>
      <c r="B1113" s="1" t="s">
        <v>9</v>
      </c>
      <c r="C1113" s="2">
        <v>41139</v>
      </c>
      <c r="D1113" s="3">
        <v>13200</v>
      </c>
      <c r="E1113" s="1" t="str">
        <f t="shared" si="17"/>
        <v>Aug 2012</v>
      </c>
    </row>
    <row r="1114" spans="1:5" ht="10.199999999999999" x14ac:dyDescent="0.25">
      <c r="A1114" s="1">
        <v>75</v>
      </c>
      <c r="B1114" s="1" t="s">
        <v>9</v>
      </c>
      <c r="C1114" s="2">
        <v>41142</v>
      </c>
      <c r="D1114" s="3">
        <v>13200</v>
      </c>
      <c r="E1114" s="1" t="str">
        <f t="shared" si="17"/>
        <v>Aug 2012</v>
      </c>
    </row>
    <row r="1115" spans="1:5" ht="10.199999999999999" x14ac:dyDescent="0.25">
      <c r="A1115" s="1">
        <v>75</v>
      </c>
      <c r="B1115" s="1" t="s">
        <v>9</v>
      </c>
      <c r="C1115" s="2">
        <v>41144</v>
      </c>
      <c r="D1115" s="3">
        <v>13200</v>
      </c>
      <c r="E1115" s="1" t="str">
        <f t="shared" si="17"/>
        <v>Aug 2012</v>
      </c>
    </row>
    <row r="1116" spans="1:5" ht="10.199999999999999" x14ac:dyDescent="0.25">
      <c r="A1116" s="1">
        <v>75</v>
      </c>
      <c r="B1116" s="1" t="s">
        <v>9</v>
      </c>
      <c r="C1116" s="2">
        <v>41146</v>
      </c>
      <c r="D1116" s="3">
        <v>13200</v>
      </c>
      <c r="E1116" s="1" t="str">
        <f t="shared" si="17"/>
        <v>Aug 2012</v>
      </c>
    </row>
    <row r="1117" spans="1:5" ht="10.199999999999999" x14ac:dyDescent="0.25">
      <c r="A1117" s="1">
        <v>75</v>
      </c>
      <c r="B1117" s="1" t="s">
        <v>9</v>
      </c>
      <c r="C1117" s="2">
        <v>41149</v>
      </c>
      <c r="D1117" s="3">
        <v>13200</v>
      </c>
      <c r="E1117" s="1" t="str">
        <f t="shared" si="17"/>
        <v>Aug 2012</v>
      </c>
    </row>
    <row r="1118" spans="1:5" ht="10.199999999999999" x14ac:dyDescent="0.25">
      <c r="A1118" s="1">
        <v>75</v>
      </c>
      <c r="B1118" s="1" t="s">
        <v>9</v>
      </c>
      <c r="C1118" s="2">
        <v>41151</v>
      </c>
      <c r="D1118" s="3">
        <v>13200</v>
      </c>
      <c r="E1118" s="1" t="str">
        <f t="shared" si="17"/>
        <v>Aug 2012</v>
      </c>
    </row>
    <row r="1119" spans="1:5" ht="10.199999999999999" x14ac:dyDescent="0.25">
      <c r="A1119" s="1">
        <v>75</v>
      </c>
      <c r="B1119" s="1" t="s">
        <v>9</v>
      </c>
      <c r="C1119" s="2">
        <v>41153</v>
      </c>
      <c r="D1119" s="3">
        <v>13200</v>
      </c>
      <c r="E1119" s="1" t="str">
        <f t="shared" si="17"/>
        <v>Sep 2012</v>
      </c>
    </row>
    <row r="1120" spans="1:5" ht="10.199999999999999" x14ac:dyDescent="0.25">
      <c r="A1120" s="1">
        <v>75</v>
      </c>
      <c r="B1120" s="1" t="s">
        <v>9</v>
      </c>
      <c r="C1120" s="2">
        <v>41157</v>
      </c>
      <c r="D1120" s="3">
        <v>13200</v>
      </c>
      <c r="E1120" s="1" t="str">
        <f t="shared" si="17"/>
        <v>Sep 2012</v>
      </c>
    </row>
    <row r="1121" spans="1:5" ht="10.199999999999999" x14ac:dyDescent="0.25">
      <c r="A1121" s="1">
        <v>75</v>
      </c>
      <c r="B1121" s="1" t="s">
        <v>9</v>
      </c>
      <c r="C1121" s="2">
        <v>41158</v>
      </c>
      <c r="D1121" s="3">
        <v>13200</v>
      </c>
      <c r="E1121" s="1" t="str">
        <f t="shared" si="17"/>
        <v>Sep 2012</v>
      </c>
    </row>
    <row r="1122" spans="1:5" ht="10.199999999999999" x14ac:dyDescent="0.25">
      <c r="A1122" s="1">
        <v>75</v>
      </c>
      <c r="B1122" s="1" t="s">
        <v>10</v>
      </c>
      <c r="C1122" s="2">
        <v>41172</v>
      </c>
      <c r="D1122" s="3">
        <v>16</v>
      </c>
      <c r="E1122" s="1" t="str">
        <f t="shared" si="17"/>
        <v>Sep 2012</v>
      </c>
    </row>
    <row r="1123" spans="1:5" ht="10.199999999999999" x14ac:dyDescent="0.25">
      <c r="A1123" s="1">
        <v>75</v>
      </c>
      <c r="B1123" s="1" t="s">
        <v>10</v>
      </c>
      <c r="C1123" s="2">
        <v>41198</v>
      </c>
      <c r="D1123" s="3">
        <v>16</v>
      </c>
      <c r="E1123" s="1" t="str">
        <f t="shared" si="17"/>
        <v>Oct 2012</v>
      </c>
    </row>
    <row r="1124" spans="1:5" ht="10.199999999999999" x14ac:dyDescent="0.25">
      <c r="A1124" s="1">
        <v>76</v>
      </c>
      <c r="B1124" s="1" t="s">
        <v>10</v>
      </c>
      <c r="C1124" s="2">
        <v>41214</v>
      </c>
      <c r="D1124" s="3">
        <v>10</v>
      </c>
      <c r="E1124" s="1" t="str">
        <f t="shared" si="17"/>
        <v>Nov 2012</v>
      </c>
    </row>
    <row r="1125" spans="1:5" ht="10.199999999999999" x14ac:dyDescent="0.25">
      <c r="A1125" s="1">
        <v>77</v>
      </c>
      <c r="B1125" s="1" t="s">
        <v>9</v>
      </c>
      <c r="C1125" s="2">
        <v>41111</v>
      </c>
      <c r="D1125" s="3">
        <v>7400</v>
      </c>
      <c r="E1125" s="1" t="str">
        <f t="shared" si="17"/>
        <v>Jul 2012</v>
      </c>
    </row>
    <row r="1126" spans="1:5" ht="10.199999999999999" x14ac:dyDescent="0.25">
      <c r="A1126" s="1">
        <v>77</v>
      </c>
      <c r="B1126" s="1" t="s">
        <v>9</v>
      </c>
      <c r="C1126" s="2">
        <v>41114</v>
      </c>
      <c r="D1126" s="3">
        <v>7400</v>
      </c>
      <c r="E1126" s="1" t="str">
        <f t="shared" si="17"/>
        <v>Jul 2012</v>
      </c>
    </row>
    <row r="1127" spans="1:5" ht="10.199999999999999" x14ac:dyDescent="0.25">
      <c r="A1127" s="1">
        <v>77</v>
      </c>
      <c r="B1127" s="1" t="s">
        <v>9</v>
      </c>
      <c r="C1127" s="2">
        <v>41118</v>
      </c>
      <c r="D1127" s="3">
        <v>7400</v>
      </c>
      <c r="E1127" s="1" t="str">
        <f t="shared" si="17"/>
        <v>Jul 2012</v>
      </c>
    </row>
    <row r="1128" spans="1:5" ht="10.199999999999999" x14ac:dyDescent="0.25">
      <c r="A1128" s="1">
        <v>77</v>
      </c>
      <c r="B1128" s="1" t="s">
        <v>9</v>
      </c>
      <c r="C1128" s="2">
        <v>41121</v>
      </c>
      <c r="D1128" s="3">
        <v>7400</v>
      </c>
      <c r="E1128" s="1" t="str">
        <f t="shared" si="17"/>
        <v>Jul 2012</v>
      </c>
    </row>
    <row r="1129" spans="1:5" ht="10.199999999999999" x14ac:dyDescent="0.25">
      <c r="A1129" s="1">
        <v>77</v>
      </c>
      <c r="B1129" s="1" t="s">
        <v>9</v>
      </c>
      <c r="C1129" s="2">
        <v>41125</v>
      </c>
      <c r="D1129" s="3">
        <v>7400</v>
      </c>
      <c r="E1129" s="1" t="str">
        <f t="shared" si="17"/>
        <v>Aug 2012</v>
      </c>
    </row>
    <row r="1130" spans="1:5" ht="10.199999999999999" x14ac:dyDescent="0.25">
      <c r="A1130" s="1">
        <v>77</v>
      </c>
      <c r="B1130" s="1" t="s">
        <v>9</v>
      </c>
      <c r="C1130" s="2">
        <v>41128</v>
      </c>
      <c r="D1130" s="3">
        <v>7400</v>
      </c>
      <c r="E1130" s="1" t="str">
        <f t="shared" si="17"/>
        <v>Aug 2012</v>
      </c>
    </row>
    <row r="1131" spans="1:5" ht="10.199999999999999" x14ac:dyDescent="0.25">
      <c r="A1131" s="1">
        <v>77</v>
      </c>
      <c r="B1131" s="1" t="s">
        <v>9</v>
      </c>
      <c r="C1131" s="2">
        <v>41132</v>
      </c>
      <c r="D1131" s="3">
        <v>7400</v>
      </c>
      <c r="E1131" s="1" t="str">
        <f t="shared" si="17"/>
        <v>Aug 2012</v>
      </c>
    </row>
    <row r="1132" spans="1:5" ht="10.199999999999999" x14ac:dyDescent="0.25">
      <c r="A1132" s="1">
        <v>77</v>
      </c>
      <c r="B1132" s="1" t="s">
        <v>9</v>
      </c>
      <c r="C1132" s="2">
        <v>41135</v>
      </c>
      <c r="D1132" s="3">
        <v>7400</v>
      </c>
      <c r="E1132" s="1" t="str">
        <f t="shared" si="17"/>
        <v>Aug 2012</v>
      </c>
    </row>
    <row r="1133" spans="1:5" ht="10.199999999999999" x14ac:dyDescent="0.25">
      <c r="A1133" s="1">
        <v>77</v>
      </c>
      <c r="B1133" s="1" t="s">
        <v>10</v>
      </c>
      <c r="C1133" s="2">
        <v>41166</v>
      </c>
      <c r="D1133" s="3">
        <v>8</v>
      </c>
      <c r="E1133" s="1" t="str">
        <f t="shared" si="17"/>
        <v>Sep 2012</v>
      </c>
    </row>
    <row r="1134" spans="1:5" ht="10.199999999999999" x14ac:dyDescent="0.25">
      <c r="A1134" s="1">
        <v>77</v>
      </c>
      <c r="B1134" s="1" t="s">
        <v>10</v>
      </c>
      <c r="C1134" s="2">
        <v>41243</v>
      </c>
      <c r="D1134" s="3">
        <v>10</v>
      </c>
      <c r="E1134" s="1" t="str">
        <f t="shared" si="17"/>
        <v>Nov 2012</v>
      </c>
    </row>
    <row r="1135" spans="1:5" ht="10.199999999999999" x14ac:dyDescent="0.25">
      <c r="A1135" s="1">
        <v>78</v>
      </c>
      <c r="B1135" s="1" t="s">
        <v>9</v>
      </c>
      <c r="C1135" s="2">
        <v>41096</v>
      </c>
      <c r="D1135" s="3">
        <v>300</v>
      </c>
      <c r="E1135" s="1" t="str">
        <f t="shared" si="17"/>
        <v>Jul 2012</v>
      </c>
    </row>
    <row r="1136" spans="1:5" ht="10.199999999999999" x14ac:dyDescent="0.25">
      <c r="A1136" s="1">
        <v>78</v>
      </c>
      <c r="B1136" s="1" t="s">
        <v>9</v>
      </c>
      <c r="C1136" s="2">
        <v>41103</v>
      </c>
      <c r="D1136" s="3">
        <v>300</v>
      </c>
      <c r="E1136" s="1" t="str">
        <f t="shared" si="17"/>
        <v>Jul 2012</v>
      </c>
    </row>
    <row r="1137" spans="1:5" ht="10.199999999999999" x14ac:dyDescent="0.25">
      <c r="A1137" s="1">
        <v>78</v>
      </c>
      <c r="B1137" s="1" t="s">
        <v>9</v>
      </c>
      <c r="C1137" s="2">
        <v>41110</v>
      </c>
      <c r="D1137" s="3">
        <v>300</v>
      </c>
      <c r="E1137" s="1" t="str">
        <f t="shared" si="17"/>
        <v>Jul 2012</v>
      </c>
    </row>
    <row r="1138" spans="1:5" ht="10.199999999999999" x14ac:dyDescent="0.25">
      <c r="A1138" s="1">
        <v>78</v>
      </c>
      <c r="B1138" s="1" t="s">
        <v>9</v>
      </c>
      <c r="C1138" s="2">
        <v>41117</v>
      </c>
      <c r="D1138" s="3">
        <v>300</v>
      </c>
      <c r="E1138" s="1" t="str">
        <f t="shared" si="17"/>
        <v>Jul 2012</v>
      </c>
    </row>
    <row r="1139" spans="1:5" ht="10.199999999999999" x14ac:dyDescent="0.25">
      <c r="A1139" s="1">
        <v>78</v>
      </c>
      <c r="B1139" s="1" t="s">
        <v>9</v>
      </c>
      <c r="C1139" s="2">
        <v>41124</v>
      </c>
      <c r="D1139" s="3">
        <v>300</v>
      </c>
      <c r="E1139" s="1" t="str">
        <f t="shared" si="17"/>
        <v>Aug 2012</v>
      </c>
    </row>
    <row r="1140" spans="1:5" ht="10.199999999999999" x14ac:dyDescent="0.25">
      <c r="A1140" s="1">
        <v>78</v>
      </c>
      <c r="B1140" s="1" t="s">
        <v>9</v>
      </c>
      <c r="C1140" s="2">
        <v>41131</v>
      </c>
      <c r="D1140" s="3">
        <v>300</v>
      </c>
      <c r="E1140" s="1" t="str">
        <f t="shared" si="17"/>
        <v>Aug 2012</v>
      </c>
    </row>
    <row r="1141" spans="1:5" ht="10.199999999999999" x14ac:dyDescent="0.25">
      <c r="A1141" s="1">
        <v>78</v>
      </c>
      <c r="B1141" s="1" t="s">
        <v>9</v>
      </c>
      <c r="C1141" s="2">
        <v>41138</v>
      </c>
      <c r="D1141" s="3">
        <v>300</v>
      </c>
      <c r="E1141" s="1" t="str">
        <f t="shared" si="17"/>
        <v>Aug 2012</v>
      </c>
    </row>
    <row r="1142" spans="1:5" ht="10.199999999999999" x14ac:dyDescent="0.25">
      <c r="A1142" s="1">
        <v>79</v>
      </c>
      <c r="B1142" s="1" t="s">
        <v>9</v>
      </c>
      <c r="C1142" s="2">
        <v>41247</v>
      </c>
      <c r="D1142" s="3">
        <v>5600</v>
      </c>
      <c r="E1142" s="1" t="str">
        <f t="shared" si="17"/>
        <v>Dec 2012</v>
      </c>
    </row>
    <row r="1143" spans="1:5" ht="10.199999999999999" x14ac:dyDescent="0.25">
      <c r="A1143" s="1">
        <v>80</v>
      </c>
      <c r="B1143" s="1" t="s">
        <v>9</v>
      </c>
      <c r="C1143" s="2">
        <v>41092</v>
      </c>
      <c r="D1143" s="3">
        <v>9600</v>
      </c>
      <c r="E1143" s="1" t="str">
        <f t="shared" si="17"/>
        <v>Jul 2012</v>
      </c>
    </row>
    <row r="1144" spans="1:5" ht="10.199999999999999" x14ac:dyDescent="0.25">
      <c r="A1144" s="1">
        <v>80</v>
      </c>
      <c r="B1144" s="1" t="s">
        <v>9</v>
      </c>
      <c r="C1144" s="2">
        <v>41094</v>
      </c>
      <c r="D1144" s="3">
        <v>9600</v>
      </c>
      <c r="E1144" s="1" t="str">
        <f t="shared" si="17"/>
        <v>Jul 2012</v>
      </c>
    </row>
    <row r="1145" spans="1:5" ht="10.199999999999999" x14ac:dyDescent="0.25">
      <c r="A1145" s="1">
        <v>80</v>
      </c>
      <c r="B1145" s="1" t="s">
        <v>9</v>
      </c>
      <c r="C1145" s="2">
        <v>41096</v>
      </c>
      <c r="D1145" s="3">
        <v>9600</v>
      </c>
      <c r="E1145" s="1" t="str">
        <f t="shared" si="17"/>
        <v>Jul 2012</v>
      </c>
    </row>
    <row r="1146" spans="1:5" ht="10.199999999999999" x14ac:dyDescent="0.25">
      <c r="A1146" s="1">
        <v>80</v>
      </c>
      <c r="B1146" s="1" t="s">
        <v>9</v>
      </c>
      <c r="C1146" s="2">
        <v>41099</v>
      </c>
      <c r="D1146" s="3">
        <v>9600</v>
      </c>
      <c r="E1146" s="1" t="str">
        <f t="shared" si="17"/>
        <v>Jul 2012</v>
      </c>
    </row>
    <row r="1147" spans="1:5" ht="10.199999999999999" x14ac:dyDescent="0.25">
      <c r="A1147" s="1">
        <v>80</v>
      </c>
      <c r="B1147" s="1" t="s">
        <v>9</v>
      </c>
      <c r="C1147" s="2">
        <v>41101</v>
      </c>
      <c r="D1147" s="3">
        <v>9600</v>
      </c>
      <c r="E1147" s="1" t="str">
        <f t="shared" si="17"/>
        <v>Jul 2012</v>
      </c>
    </row>
    <row r="1148" spans="1:5" ht="10.199999999999999" x14ac:dyDescent="0.25">
      <c r="A1148" s="1">
        <v>80</v>
      </c>
      <c r="B1148" s="1" t="s">
        <v>9</v>
      </c>
      <c r="C1148" s="2">
        <v>41103</v>
      </c>
      <c r="D1148" s="3">
        <v>9600</v>
      </c>
      <c r="E1148" s="1" t="str">
        <f t="shared" si="17"/>
        <v>Jul 2012</v>
      </c>
    </row>
    <row r="1149" spans="1:5" ht="10.199999999999999" x14ac:dyDescent="0.25">
      <c r="A1149" s="1">
        <v>80</v>
      </c>
      <c r="B1149" s="1" t="s">
        <v>9</v>
      </c>
      <c r="C1149" s="2">
        <v>41106</v>
      </c>
      <c r="D1149" s="3">
        <v>9600</v>
      </c>
      <c r="E1149" s="1" t="str">
        <f t="shared" si="17"/>
        <v>Jul 2012</v>
      </c>
    </row>
    <row r="1150" spans="1:5" ht="10.199999999999999" x14ac:dyDescent="0.25">
      <c r="A1150" s="1">
        <v>80</v>
      </c>
      <c r="B1150" s="1" t="s">
        <v>9</v>
      </c>
      <c r="C1150" s="2">
        <v>41108</v>
      </c>
      <c r="D1150" s="3">
        <v>9600</v>
      </c>
      <c r="E1150" s="1" t="str">
        <f t="shared" si="17"/>
        <v>Jul 2012</v>
      </c>
    </row>
    <row r="1151" spans="1:5" ht="10.199999999999999" x14ac:dyDescent="0.25">
      <c r="A1151" s="1">
        <v>80</v>
      </c>
      <c r="B1151" s="1" t="s">
        <v>9</v>
      </c>
      <c r="C1151" s="2">
        <v>41110</v>
      </c>
      <c r="D1151" s="3">
        <v>9600</v>
      </c>
      <c r="E1151" s="1" t="str">
        <f t="shared" si="17"/>
        <v>Jul 2012</v>
      </c>
    </row>
    <row r="1152" spans="1:5" ht="10.199999999999999" x14ac:dyDescent="0.25">
      <c r="A1152" s="1">
        <v>80</v>
      </c>
      <c r="B1152" s="1" t="s">
        <v>9</v>
      </c>
      <c r="C1152" s="2">
        <v>41113</v>
      </c>
      <c r="D1152" s="3">
        <v>9600</v>
      </c>
      <c r="E1152" s="1" t="str">
        <f t="shared" si="17"/>
        <v>Jul 2012</v>
      </c>
    </row>
    <row r="1153" spans="1:5" ht="10.199999999999999" x14ac:dyDescent="0.25">
      <c r="A1153" s="1">
        <v>80</v>
      </c>
      <c r="B1153" s="1" t="s">
        <v>9</v>
      </c>
      <c r="C1153" s="2">
        <v>41115</v>
      </c>
      <c r="D1153" s="3">
        <v>9600</v>
      </c>
      <c r="E1153" s="1" t="str">
        <f t="shared" si="17"/>
        <v>Jul 2012</v>
      </c>
    </row>
    <row r="1154" spans="1:5" ht="10.199999999999999" x14ac:dyDescent="0.25">
      <c r="A1154" s="1">
        <v>80</v>
      </c>
      <c r="B1154" s="1" t="s">
        <v>9</v>
      </c>
      <c r="C1154" s="2">
        <v>41117</v>
      </c>
      <c r="D1154" s="3">
        <v>9600</v>
      </c>
      <c r="E1154" s="1" t="str">
        <f t="shared" si="17"/>
        <v>Jul 2012</v>
      </c>
    </row>
    <row r="1155" spans="1:5" ht="10.199999999999999" x14ac:dyDescent="0.25">
      <c r="A1155" s="1">
        <v>80</v>
      </c>
      <c r="B1155" s="1" t="s">
        <v>9</v>
      </c>
      <c r="C1155" s="2">
        <v>41120</v>
      </c>
      <c r="D1155" s="3">
        <v>9600</v>
      </c>
      <c r="E1155" s="1" t="str">
        <f t="shared" ref="E1155:E1218" si="18">TEXT(C1155,"mmm yyyy")</f>
        <v>Jul 2012</v>
      </c>
    </row>
    <row r="1156" spans="1:5" ht="10.199999999999999" x14ac:dyDescent="0.25">
      <c r="A1156" s="1">
        <v>80</v>
      </c>
      <c r="B1156" s="1" t="s">
        <v>9</v>
      </c>
      <c r="C1156" s="2">
        <v>41122</v>
      </c>
      <c r="D1156" s="3">
        <v>9600</v>
      </c>
      <c r="E1156" s="1" t="str">
        <f t="shared" si="18"/>
        <v>Aug 2012</v>
      </c>
    </row>
    <row r="1157" spans="1:5" ht="10.199999999999999" x14ac:dyDescent="0.25">
      <c r="A1157" s="1">
        <v>80</v>
      </c>
      <c r="B1157" s="1" t="s">
        <v>9</v>
      </c>
      <c r="C1157" s="2">
        <v>41124</v>
      </c>
      <c r="D1157" s="3">
        <v>9600</v>
      </c>
      <c r="E1157" s="1" t="str">
        <f t="shared" si="18"/>
        <v>Aug 2012</v>
      </c>
    </row>
    <row r="1158" spans="1:5" ht="10.199999999999999" x14ac:dyDescent="0.25">
      <c r="A1158" s="1">
        <v>80</v>
      </c>
      <c r="B1158" s="1" t="s">
        <v>9</v>
      </c>
      <c r="C1158" s="2">
        <v>41127</v>
      </c>
      <c r="D1158" s="3">
        <v>9600</v>
      </c>
      <c r="E1158" s="1" t="str">
        <f t="shared" si="18"/>
        <v>Aug 2012</v>
      </c>
    </row>
    <row r="1159" spans="1:5" ht="10.199999999999999" x14ac:dyDescent="0.25">
      <c r="A1159" s="1">
        <v>80</v>
      </c>
      <c r="B1159" s="1" t="s">
        <v>9</v>
      </c>
      <c r="C1159" s="2">
        <v>41129</v>
      </c>
      <c r="D1159" s="3">
        <v>9600</v>
      </c>
      <c r="E1159" s="1" t="str">
        <f t="shared" si="18"/>
        <v>Aug 2012</v>
      </c>
    </row>
    <row r="1160" spans="1:5" ht="10.199999999999999" x14ac:dyDescent="0.25">
      <c r="A1160" s="1">
        <v>80</v>
      </c>
      <c r="B1160" s="1" t="s">
        <v>9</v>
      </c>
      <c r="C1160" s="2">
        <v>41131</v>
      </c>
      <c r="D1160" s="3">
        <v>9600</v>
      </c>
      <c r="E1160" s="1" t="str">
        <f t="shared" si="18"/>
        <v>Aug 2012</v>
      </c>
    </row>
    <row r="1161" spans="1:5" ht="10.199999999999999" x14ac:dyDescent="0.25">
      <c r="A1161" s="1">
        <v>80</v>
      </c>
      <c r="B1161" s="1" t="s">
        <v>9</v>
      </c>
      <c r="C1161" s="2">
        <v>41134</v>
      </c>
      <c r="D1161" s="3">
        <v>9600</v>
      </c>
      <c r="E1161" s="1" t="str">
        <f t="shared" si="18"/>
        <v>Aug 2012</v>
      </c>
    </row>
    <row r="1162" spans="1:5" ht="10.199999999999999" x14ac:dyDescent="0.25">
      <c r="A1162" s="1">
        <v>80</v>
      </c>
      <c r="B1162" s="1" t="s">
        <v>9</v>
      </c>
      <c r="C1162" s="2">
        <v>41136</v>
      </c>
      <c r="D1162" s="3">
        <v>9600</v>
      </c>
      <c r="E1162" s="1" t="str">
        <f t="shared" si="18"/>
        <v>Aug 2012</v>
      </c>
    </row>
    <row r="1163" spans="1:5" ht="10.199999999999999" x14ac:dyDescent="0.25">
      <c r="A1163" s="1">
        <v>80</v>
      </c>
      <c r="B1163" s="1" t="s">
        <v>9</v>
      </c>
      <c r="C1163" s="2">
        <v>41138</v>
      </c>
      <c r="D1163" s="3">
        <v>9600</v>
      </c>
      <c r="E1163" s="1" t="str">
        <f t="shared" si="18"/>
        <v>Aug 2012</v>
      </c>
    </row>
    <row r="1164" spans="1:5" ht="10.199999999999999" x14ac:dyDescent="0.25">
      <c r="A1164" s="1">
        <v>80</v>
      </c>
      <c r="B1164" s="1" t="s">
        <v>9</v>
      </c>
      <c r="C1164" s="2">
        <v>41141</v>
      </c>
      <c r="D1164" s="3">
        <v>9600</v>
      </c>
      <c r="E1164" s="1" t="str">
        <f t="shared" si="18"/>
        <v>Aug 2012</v>
      </c>
    </row>
    <row r="1165" spans="1:5" ht="10.199999999999999" x14ac:dyDescent="0.25">
      <c r="A1165" s="1">
        <v>80</v>
      </c>
      <c r="B1165" s="1" t="s">
        <v>9</v>
      </c>
      <c r="C1165" s="2">
        <v>41143</v>
      </c>
      <c r="D1165" s="3">
        <v>9600</v>
      </c>
      <c r="E1165" s="1" t="str">
        <f t="shared" si="18"/>
        <v>Aug 2012</v>
      </c>
    </row>
    <row r="1166" spans="1:5" ht="10.199999999999999" x14ac:dyDescent="0.25">
      <c r="A1166" s="1">
        <v>80</v>
      </c>
      <c r="B1166" s="1" t="s">
        <v>9</v>
      </c>
      <c r="C1166" s="2">
        <v>41145</v>
      </c>
      <c r="D1166" s="3">
        <v>9600</v>
      </c>
      <c r="E1166" s="1" t="str">
        <f t="shared" si="18"/>
        <v>Aug 2012</v>
      </c>
    </row>
    <row r="1167" spans="1:5" ht="10.199999999999999" x14ac:dyDescent="0.25">
      <c r="A1167" s="1">
        <v>80</v>
      </c>
      <c r="B1167" s="1" t="s">
        <v>9</v>
      </c>
      <c r="C1167" s="2">
        <v>41148</v>
      </c>
      <c r="D1167" s="3">
        <v>9600</v>
      </c>
      <c r="E1167" s="1" t="str">
        <f t="shared" si="18"/>
        <v>Aug 2012</v>
      </c>
    </row>
    <row r="1168" spans="1:5" ht="10.199999999999999" x14ac:dyDescent="0.25">
      <c r="A1168" s="1">
        <v>80</v>
      </c>
      <c r="B1168" s="1" t="s">
        <v>9</v>
      </c>
      <c r="C1168" s="2">
        <v>41150</v>
      </c>
      <c r="D1168" s="3">
        <v>9600</v>
      </c>
      <c r="E1168" s="1" t="str">
        <f t="shared" si="18"/>
        <v>Aug 2012</v>
      </c>
    </row>
    <row r="1169" spans="1:5" ht="10.199999999999999" x14ac:dyDescent="0.25">
      <c r="A1169" s="1">
        <v>80</v>
      </c>
      <c r="B1169" s="1" t="s">
        <v>9</v>
      </c>
      <c r="C1169" s="2">
        <v>41152</v>
      </c>
      <c r="D1169" s="3">
        <v>9600</v>
      </c>
      <c r="E1169" s="1" t="str">
        <f t="shared" si="18"/>
        <v>Aug 2012</v>
      </c>
    </row>
    <row r="1170" spans="1:5" ht="10.199999999999999" x14ac:dyDescent="0.25">
      <c r="A1170" s="1">
        <v>80</v>
      </c>
      <c r="B1170" s="1" t="s">
        <v>9</v>
      </c>
      <c r="C1170" s="2">
        <v>41155</v>
      </c>
      <c r="D1170" s="3">
        <v>9600</v>
      </c>
      <c r="E1170" s="1" t="str">
        <f t="shared" si="18"/>
        <v>Sep 2012</v>
      </c>
    </row>
    <row r="1171" spans="1:5" ht="10.199999999999999" x14ac:dyDescent="0.25">
      <c r="A1171" s="1">
        <v>80</v>
      </c>
      <c r="B1171" s="1" t="s">
        <v>9</v>
      </c>
      <c r="C1171" s="2">
        <v>41157</v>
      </c>
      <c r="D1171" s="3">
        <v>9600</v>
      </c>
      <c r="E1171" s="1" t="str">
        <f t="shared" si="18"/>
        <v>Sep 2012</v>
      </c>
    </row>
    <row r="1172" spans="1:5" ht="10.199999999999999" x14ac:dyDescent="0.25">
      <c r="A1172" s="1">
        <v>81</v>
      </c>
      <c r="B1172" s="1" t="s">
        <v>9</v>
      </c>
      <c r="C1172" s="2">
        <v>41093</v>
      </c>
      <c r="D1172" s="3">
        <v>4300</v>
      </c>
      <c r="E1172" s="1" t="str">
        <f t="shared" si="18"/>
        <v>Jul 2012</v>
      </c>
    </row>
    <row r="1173" spans="1:5" ht="10.199999999999999" x14ac:dyDescent="0.25">
      <c r="A1173" s="1">
        <v>81</v>
      </c>
      <c r="B1173" s="1" t="s">
        <v>9</v>
      </c>
      <c r="C1173" s="2">
        <v>41095</v>
      </c>
      <c r="D1173" s="3">
        <v>4300</v>
      </c>
      <c r="E1173" s="1" t="str">
        <f t="shared" si="18"/>
        <v>Jul 2012</v>
      </c>
    </row>
    <row r="1174" spans="1:5" ht="10.199999999999999" x14ac:dyDescent="0.25">
      <c r="A1174" s="1">
        <v>81</v>
      </c>
      <c r="B1174" s="1" t="s">
        <v>9</v>
      </c>
      <c r="C1174" s="2">
        <v>41097</v>
      </c>
      <c r="D1174" s="3">
        <v>4700</v>
      </c>
      <c r="E1174" s="1" t="str">
        <f t="shared" si="18"/>
        <v>Jul 2012</v>
      </c>
    </row>
    <row r="1175" spans="1:5" ht="10.199999999999999" x14ac:dyDescent="0.25">
      <c r="A1175" s="1">
        <v>81</v>
      </c>
      <c r="B1175" s="1" t="s">
        <v>9</v>
      </c>
      <c r="C1175" s="2">
        <v>41100</v>
      </c>
      <c r="D1175" s="3">
        <v>4700</v>
      </c>
      <c r="E1175" s="1" t="str">
        <f t="shared" si="18"/>
        <v>Jul 2012</v>
      </c>
    </row>
    <row r="1176" spans="1:5" ht="10.199999999999999" x14ac:dyDescent="0.25">
      <c r="A1176" s="1">
        <v>81</v>
      </c>
      <c r="B1176" s="1" t="s">
        <v>9</v>
      </c>
      <c r="C1176" s="2">
        <v>41102</v>
      </c>
      <c r="D1176" s="3">
        <v>4700</v>
      </c>
      <c r="E1176" s="1" t="str">
        <f t="shared" si="18"/>
        <v>Jul 2012</v>
      </c>
    </row>
    <row r="1177" spans="1:5" ht="10.199999999999999" x14ac:dyDescent="0.25">
      <c r="A1177" s="1">
        <v>81</v>
      </c>
      <c r="B1177" s="1" t="s">
        <v>9</v>
      </c>
      <c r="C1177" s="2">
        <v>41104</v>
      </c>
      <c r="D1177" s="3">
        <v>4700</v>
      </c>
      <c r="E1177" s="1" t="str">
        <f t="shared" si="18"/>
        <v>Jul 2012</v>
      </c>
    </row>
    <row r="1178" spans="1:5" ht="10.199999999999999" x14ac:dyDescent="0.25">
      <c r="A1178" s="1">
        <v>81</v>
      </c>
      <c r="B1178" s="1" t="s">
        <v>9</v>
      </c>
      <c r="C1178" s="2">
        <v>41107</v>
      </c>
      <c r="D1178" s="3">
        <v>4700</v>
      </c>
      <c r="E1178" s="1" t="str">
        <f t="shared" si="18"/>
        <v>Jul 2012</v>
      </c>
    </row>
    <row r="1179" spans="1:5" ht="10.199999999999999" x14ac:dyDescent="0.25">
      <c r="A1179" s="1">
        <v>81</v>
      </c>
      <c r="B1179" s="1" t="s">
        <v>9</v>
      </c>
      <c r="C1179" s="2">
        <v>41109</v>
      </c>
      <c r="D1179" s="3">
        <v>4700</v>
      </c>
      <c r="E1179" s="1" t="str">
        <f t="shared" si="18"/>
        <v>Jul 2012</v>
      </c>
    </row>
    <row r="1180" spans="1:5" ht="10.199999999999999" x14ac:dyDescent="0.25">
      <c r="A1180" s="1">
        <v>81</v>
      </c>
      <c r="B1180" s="1" t="s">
        <v>9</v>
      </c>
      <c r="C1180" s="2">
        <v>41114</v>
      </c>
      <c r="D1180" s="3">
        <v>5700</v>
      </c>
      <c r="E1180" s="1" t="str">
        <f t="shared" si="18"/>
        <v>Jul 2012</v>
      </c>
    </row>
    <row r="1181" spans="1:5" ht="10.199999999999999" x14ac:dyDescent="0.25">
      <c r="A1181" s="1">
        <v>81</v>
      </c>
      <c r="B1181" s="1" t="s">
        <v>9</v>
      </c>
      <c r="C1181" s="2">
        <v>41117</v>
      </c>
      <c r="D1181" s="3">
        <v>5700</v>
      </c>
      <c r="E1181" s="1" t="str">
        <f t="shared" si="18"/>
        <v>Jul 2012</v>
      </c>
    </row>
    <row r="1182" spans="1:5" ht="10.199999999999999" x14ac:dyDescent="0.25">
      <c r="A1182" s="1">
        <v>81</v>
      </c>
      <c r="B1182" s="1" t="s">
        <v>9</v>
      </c>
      <c r="C1182" s="2">
        <v>41118</v>
      </c>
      <c r="D1182" s="3">
        <v>5700</v>
      </c>
      <c r="E1182" s="1" t="str">
        <f t="shared" si="18"/>
        <v>Jul 2012</v>
      </c>
    </row>
    <row r="1183" spans="1:5" ht="10.199999999999999" x14ac:dyDescent="0.25">
      <c r="A1183" s="1">
        <v>81</v>
      </c>
      <c r="B1183" s="1" t="s">
        <v>9</v>
      </c>
      <c r="C1183" s="2">
        <v>41121</v>
      </c>
      <c r="D1183" s="3">
        <v>5700</v>
      </c>
      <c r="E1183" s="1" t="str">
        <f t="shared" si="18"/>
        <v>Jul 2012</v>
      </c>
    </row>
    <row r="1184" spans="1:5" ht="10.199999999999999" x14ac:dyDescent="0.25">
      <c r="A1184" s="1">
        <v>81</v>
      </c>
      <c r="B1184" s="1" t="s">
        <v>9</v>
      </c>
      <c r="C1184" s="2">
        <v>41123</v>
      </c>
      <c r="D1184" s="3">
        <v>5700</v>
      </c>
      <c r="E1184" s="1" t="str">
        <f t="shared" si="18"/>
        <v>Aug 2012</v>
      </c>
    </row>
    <row r="1185" spans="1:5" ht="10.199999999999999" x14ac:dyDescent="0.25">
      <c r="A1185" s="1">
        <v>81</v>
      </c>
      <c r="B1185" s="1" t="s">
        <v>9</v>
      </c>
      <c r="C1185" s="2">
        <v>41125</v>
      </c>
      <c r="D1185" s="3">
        <v>6900</v>
      </c>
      <c r="E1185" s="1" t="str">
        <f t="shared" si="18"/>
        <v>Aug 2012</v>
      </c>
    </row>
    <row r="1186" spans="1:5" ht="10.199999999999999" x14ac:dyDescent="0.25">
      <c r="A1186" s="1">
        <v>81</v>
      </c>
      <c r="B1186" s="1" t="s">
        <v>9</v>
      </c>
      <c r="C1186" s="2">
        <v>41128</v>
      </c>
      <c r="D1186" s="3">
        <v>6900</v>
      </c>
      <c r="E1186" s="1" t="str">
        <f t="shared" si="18"/>
        <v>Aug 2012</v>
      </c>
    </row>
    <row r="1187" spans="1:5" ht="10.199999999999999" x14ac:dyDescent="0.25">
      <c r="A1187" s="1">
        <v>81</v>
      </c>
      <c r="B1187" s="1" t="s">
        <v>9</v>
      </c>
      <c r="C1187" s="2">
        <v>41130</v>
      </c>
      <c r="D1187" s="3">
        <v>6900</v>
      </c>
      <c r="E1187" s="1" t="str">
        <f t="shared" si="18"/>
        <v>Aug 2012</v>
      </c>
    </row>
    <row r="1188" spans="1:5" ht="10.199999999999999" x14ac:dyDescent="0.25">
      <c r="A1188" s="1">
        <v>81</v>
      </c>
      <c r="B1188" s="1" t="s">
        <v>9</v>
      </c>
      <c r="C1188" s="2">
        <v>41132</v>
      </c>
      <c r="D1188" s="3">
        <v>6900</v>
      </c>
      <c r="E1188" s="1" t="str">
        <f t="shared" si="18"/>
        <v>Aug 2012</v>
      </c>
    </row>
    <row r="1189" spans="1:5" ht="10.199999999999999" x14ac:dyDescent="0.25">
      <c r="A1189" s="1">
        <v>81</v>
      </c>
      <c r="B1189" s="1" t="s">
        <v>9</v>
      </c>
      <c r="C1189" s="2">
        <v>41135</v>
      </c>
      <c r="D1189" s="3">
        <v>6900</v>
      </c>
      <c r="E1189" s="1" t="str">
        <f t="shared" si="18"/>
        <v>Aug 2012</v>
      </c>
    </row>
    <row r="1190" spans="1:5" ht="10.199999999999999" x14ac:dyDescent="0.25">
      <c r="A1190" s="1">
        <v>81</v>
      </c>
      <c r="B1190" s="1" t="s">
        <v>9</v>
      </c>
      <c r="C1190" s="2">
        <v>41137</v>
      </c>
      <c r="D1190" s="3">
        <v>6900</v>
      </c>
      <c r="E1190" s="1" t="str">
        <f t="shared" si="18"/>
        <v>Aug 2012</v>
      </c>
    </row>
    <row r="1191" spans="1:5" ht="10.199999999999999" x14ac:dyDescent="0.25">
      <c r="A1191" s="1">
        <v>81</v>
      </c>
      <c r="B1191" s="1" t="s">
        <v>9</v>
      </c>
      <c r="C1191" s="2">
        <v>41139</v>
      </c>
      <c r="D1191" s="3">
        <v>7600</v>
      </c>
      <c r="E1191" s="1" t="str">
        <f t="shared" si="18"/>
        <v>Aug 2012</v>
      </c>
    </row>
    <row r="1192" spans="1:5" ht="10.199999999999999" x14ac:dyDescent="0.25">
      <c r="A1192" s="1">
        <v>81</v>
      </c>
      <c r="B1192" s="1" t="s">
        <v>9</v>
      </c>
      <c r="C1192" s="2">
        <v>41142</v>
      </c>
      <c r="D1192" s="3">
        <v>7600</v>
      </c>
      <c r="E1192" s="1" t="str">
        <f t="shared" si="18"/>
        <v>Aug 2012</v>
      </c>
    </row>
    <row r="1193" spans="1:5" ht="10.199999999999999" x14ac:dyDescent="0.25">
      <c r="A1193" s="1">
        <v>81</v>
      </c>
      <c r="B1193" s="1" t="s">
        <v>9</v>
      </c>
      <c r="C1193" s="2">
        <v>41144</v>
      </c>
      <c r="D1193" s="3">
        <v>7600</v>
      </c>
      <c r="E1193" s="1" t="str">
        <f t="shared" si="18"/>
        <v>Aug 2012</v>
      </c>
    </row>
    <row r="1194" spans="1:5" ht="10.199999999999999" x14ac:dyDescent="0.25">
      <c r="A1194" s="1">
        <v>81</v>
      </c>
      <c r="B1194" s="1" t="s">
        <v>9</v>
      </c>
      <c r="C1194" s="2">
        <v>41146</v>
      </c>
      <c r="D1194" s="3">
        <v>7600</v>
      </c>
      <c r="E1194" s="1" t="str">
        <f t="shared" si="18"/>
        <v>Aug 2012</v>
      </c>
    </row>
    <row r="1195" spans="1:5" ht="10.199999999999999" x14ac:dyDescent="0.25">
      <c r="A1195" s="1">
        <v>81</v>
      </c>
      <c r="B1195" s="1" t="s">
        <v>9</v>
      </c>
      <c r="C1195" s="2">
        <v>41149</v>
      </c>
      <c r="D1195" s="3">
        <v>7600</v>
      </c>
      <c r="E1195" s="1" t="str">
        <f t="shared" si="18"/>
        <v>Aug 2012</v>
      </c>
    </row>
    <row r="1196" spans="1:5" ht="10.199999999999999" x14ac:dyDescent="0.25">
      <c r="A1196" s="1">
        <v>81</v>
      </c>
      <c r="B1196" s="1" t="s">
        <v>9</v>
      </c>
      <c r="C1196" s="2">
        <v>41151</v>
      </c>
      <c r="D1196" s="3">
        <v>7600</v>
      </c>
      <c r="E1196" s="1" t="str">
        <f t="shared" si="18"/>
        <v>Aug 2012</v>
      </c>
    </row>
    <row r="1197" spans="1:5" ht="10.199999999999999" x14ac:dyDescent="0.25">
      <c r="A1197" s="1">
        <v>81</v>
      </c>
      <c r="B1197" s="1" t="s">
        <v>9</v>
      </c>
      <c r="C1197" s="2">
        <v>41153</v>
      </c>
      <c r="D1197" s="3">
        <v>7600</v>
      </c>
      <c r="E1197" s="1" t="str">
        <f t="shared" si="18"/>
        <v>Sep 2012</v>
      </c>
    </row>
    <row r="1198" spans="1:5" ht="10.199999999999999" x14ac:dyDescent="0.25">
      <c r="A1198" s="1">
        <v>81</v>
      </c>
      <c r="B1198" s="1" t="s">
        <v>9</v>
      </c>
      <c r="C1198" s="2">
        <v>41156</v>
      </c>
      <c r="D1198" s="3">
        <v>7600</v>
      </c>
      <c r="E1198" s="1" t="str">
        <f t="shared" si="18"/>
        <v>Sep 2012</v>
      </c>
    </row>
    <row r="1199" spans="1:5" ht="10.199999999999999" x14ac:dyDescent="0.25">
      <c r="A1199" s="1">
        <v>81</v>
      </c>
      <c r="B1199" s="1" t="s">
        <v>9</v>
      </c>
      <c r="C1199" s="2">
        <v>41158</v>
      </c>
      <c r="D1199" s="3">
        <v>8400</v>
      </c>
      <c r="E1199" s="1" t="str">
        <f t="shared" si="18"/>
        <v>Sep 2012</v>
      </c>
    </row>
    <row r="1200" spans="1:5" ht="10.199999999999999" x14ac:dyDescent="0.25">
      <c r="A1200" s="1">
        <v>81</v>
      </c>
      <c r="B1200" s="1" t="s">
        <v>10</v>
      </c>
      <c r="C1200" s="2">
        <v>41165</v>
      </c>
      <c r="D1200" s="3">
        <v>10</v>
      </c>
      <c r="E1200" s="1" t="str">
        <f t="shared" si="18"/>
        <v>Sep 2012</v>
      </c>
    </row>
    <row r="1201" spans="1:5" ht="10.199999999999999" x14ac:dyDescent="0.25">
      <c r="A1201" s="1">
        <v>81</v>
      </c>
      <c r="B1201" s="1" t="s">
        <v>10</v>
      </c>
      <c r="C1201" s="2">
        <v>41193</v>
      </c>
      <c r="D1201" s="3">
        <v>10</v>
      </c>
      <c r="E1201" s="1" t="str">
        <f t="shared" si="18"/>
        <v>Oct 2012</v>
      </c>
    </row>
    <row r="1202" spans="1:5" ht="10.199999999999999" x14ac:dyDescent="0.25">
      <c r="A1202" s="1">
        <v>81</v>
      </c>
      <c r="B1202" s="1" t="s">
        <v>10</v>
      </c>
      <c r="C1202" s="2">
        <v>41228</v>
      </c>
      <c r="D1202" s="3">
        <v>13</v>
      </c>
      <c r="E1202" s="1" t="str">
        <f t="shared" si="18"/>
        <v>Nov 2012</v>
      </c>
    </row>
    <row r="1203" spans="1:5" ht="10.199999999999999" x14ac:dyDescent="0.25">
      <c r="A1203" s="1">
        <v>82</v>
      </c>
      <c r="B1203" s="1" t="s">
        <v>9</v>
      </c>
      <c r="C1203" s="2">
        <v>41096</v>
      </c>
      <c r="D1203" s="3">
        <v>1000</v>
      </c>
      <c r="E1203" s="1" t="str">
        <f t="shared" si="18"/>
        <v>Jul 2012</v>
      </c>
    </row>
    <row r="1204" spans="1:5" ht="10.199999999999999" x14ac:dyDescent="0.25">
      <c r="A1204" s="1">
        <v>82</v>
      </c>
      <c r="B1204" s="1" t="s">
        <v>9</v>
      </c>
      <c r="C1204" s="2">
        <v>41099</v>
      </c>
      <c r="D1204" s="3">
        <v>1000</v>
      </c>
      <c r="E1204" s="1" t="str">
        <f t="shared" si="18"/>
        <v>Jul 2012</v>
      </c>
    </row>
    <row r="1205" spans="1:5" ht="10.199999999999999" x14ac:dyDescent="0.25">
      <c r="A1205" s="1">
        <v>82</v>
      </c>
      <c r="B1205" s="1" t="s">
        <v>9</v>
      </c>
      <c r="C1205" s="2">
        <v>41101</v>
      </c>
      <c r="D1205" s="3">
        <v>1000</v>
      </c>
      <c r="E1205" s="1" t="str">
        <f t="shared" si="18"/>
        <v>Jul 2012</v>
      </c>
    </row>
    <row r="1206" spans="1:5" ht="10.199999999999999" x14ac:dyDescent="0.25">
      <c r="A1206" s="1">
        <v>82</v>
      </c>
      <c r="B1206" s="1" t="s">
        <v>9</v>
      </c>
      <c r="C1206" s="2">
        <v>41103</v>
      </c>
      <c r="D1206" s="3">
        <v>1000</v>
      </c>
      <c r="E1206" s="1" t="str">
        <f t="shared" si="18"/>
        <v>Jul 2012</v>
      </c>
    </row>
    <row r="1207" spans="1:5" ht="10.199999999999999" x14ac:dyDescent="0.25">
      <c r="A1207" s="1">
        <v>82</v>
      </c>
      <c r="B1207" s="1" t="s">
        <v>9</v>
      </c>
      <c r="C1207" s="2">
        <v>41106</v>
      </c>
      <c r="D1207" s="3">
        <v>1000</v>
      </c>
      <c r="E1207" s="1" t="str">
        <f t="shared" si="18"/>
        <v>Jul 2012</v>
      </c>
    </row>
    <row r="1208" spans="1:5" ht="10.199999999999999" x14ac:dyDescent="0.25">
      <c r="A1208" s="1">
        <v>82</v>
      </c>
      <c r="B1208" s="1" t="s">
        <v>9</v>
      </c>
      <c r="C1208" s="2">
        <v>41108</v>
      </c>
      <c r="D1208" s="3">
        <v>1000</v>
      </c>
      <c r="E1208" s="1" t="str">
        <f t="shared" si="18"/>
        <v>Jul 2012</v>
      </c>
    </row>
    <row r="1209" spans="1:5" ht="10.199999999999999" x14ac:dyDescent="0.25">
      <c r="A1209" s="1">
        <v>82</v>
      </c>
      <c r="B1209" s="1" t="s">
        <v>9</v>
      </c>
      <c r="C1209" s="2">
        <v>41110</v>
      </c>
      <c r="D1209" s="3">
        <v>1000</v>
      </c>
      <c r="E1209" s="1" t="str">
        <f t="shared" si="18"/>
        <v>Jul 2012</v>
      </c>
    </row>
    <row r="1210" spans="1:5" ht="10.199999999999999" x14ac:dyDescent="0.25">
      <c r="A1210" s="1">
        <v>82</v>
      </c>
      <c r="B1210" s="1" t="s">
        <v>9</v>
      </c>
      <c r="C1210" s="2">
        <v>41113</v>
      </c>
      <c r="D1210" s="3">
        <v>1000</v>
      </c>
      <c r="E1210" s="1" t="str">
        <f t="shared" si="18"/>
        <v>Jul 2012</v>
      </c>
    </row>
    <row r="1211" spans="1:5" ht="10.199999999999999" x14ac:dyDescent="0.25">
      <c r="A1211" s="1">
        <v>82</v>
      </c>
      <c r="B1211" s="1" t="s">
        <v>9</v>
      </c>
      <c r="C1211" s="2">
        <v>41115</v>
      </c>
      <c r="D1211" s="3">
        <v>1000</v>
      </c>
      <c r="E1211" s="1" t="str">
        <f t="shared" si="18"/>
        <v>Jul 2012</v>
      </c>
    </row>
    <row r="1212" spans="1:5" ht="10.199999999999999" x14ac:dyDescent="0.25">
      <c r="A1212" s="1">
        <v>82</v>
      </c>
      <c r="B1212" s="1" t="s">
        <v>9</v>
      </c>
      <c r="C1212" s="2">
        <v>41117</v>
      </c>
      <c r="D1212" s="3">
        <v>1000</v>
      </c>
      <c r="E1212" s="1" t="str">
        <f t="shared" si="18"/>
        <v>Jul 2012</v>
      </c>
    </row>
    <row r="1213" spans="1:5" ht="10.199999999999999" x14ac:dyDescent="0.25">
      <c r="A1213" s="1">
        <v>82</v>
      </c>
      <c r="B1213" s="1" t="s">
        <v>9</v>
      </c>
      <c r="C1213" s="2">
        <v>41120</v>
      </c>
      <c r="D1213" s="3">
        <v>1000</v>
      </c>
      <c r="E1213" s="1" t="str">
        <f t="shared" si="18"/>
        <v>Jul 2012</v>
      </c>
    </row>
    <row r="1214" spans="1:5" ht="10.199999999999999" x14ac:dyDescent="0.25">
      <c r="A1214" s="1">
        <v>82</v>
      </c>
      <c r="B1214" s="1" t="s">
        <v>9</v>
      </c>
      <c r="C1214" s="2">
        <v>41122</v>
      </c>
      <c r="D1214" s="3">
        <v>1000</v>
      </c>
      <c r="E1214" s="1" t="str">
        <f t="shared" si="18"/>
        <v>Aug 2012</v>
      </c>
    </row>
    <row r="1215" spans="1:5" ht="10.199999999999999" x14ac:dyDescent="0.25">
      <c r="A1215" s="1">
        <v>82</v>
      </c>
      <c r="B1215" s="1" t="s">
        <v>9</v>
      </c>
      <c r="C1215" s="2">
        <v>41134</v>
      </c>
      <c r="D1215" s="3">
        <v>800</v>
      </c>
      <c r="E1215" s="1" t="str">
        <f t="shared" si="18"/>
        <v>Aug 2012</v>
      </c>
    </row>
    <row r="1216" spans="1:5" ht="10.199999999999999" x14ac:dyDescent="0.25">
      <c r="A1216" s="1">
        <v>82</v>
      </c>
      <c r="B1216" s="1" t="s">
        <v>9</v>
      </c>
      <c r="C1216" s="2">
        <v>41136</v>
      </c>
      <c r="D1216" s="3">
        <v>800</v>
      </c>
      <c r="E1216" s="1" t="str">
        <f t="shared" si="18"/>
        <v>Aug 2012</v>
      </c>
    </row>
    <row r="1217" spans="1:5" ht="10.199999999999999" x14ac:dyDescent="0.25">
      <c r="A1217" s="1">
        <v>82</v>
      </c>
      <c r="B1217" s="1" t="s">
        <v>9</v>
      </c>
      <c r="C1217" s="2">
        <v>41138</v>
      </c>
      <c r="D1217" s="3">
        <v>800</v>
      </c>
      <c r="E1217" s="1" t="str">
        <f t="shared" si="18"/>
        <v>Aug 2012</v>
      </c>
    </row>
    <row r="1218" spans="1:5" ht="10.199999999999999" x14ac:dyDescent="0.25">
      <c r="A1218" s="1">
        <v>82</v>
      </c>
      <c r="B1218" s="1" t="s">
        <v>9</v>
      </c>
      <c r="C1218" s="2">
        <v>41141</v>
      </c>
      <c r="D1218" s="3">
        <v>800</v>
      </c>
      <c r="E1218" s="1" t="str">
        <f t="shared" si="18"/>
        <v>Aug 2012</v>
      </c>
    </row>
    <row r="1219" spans="1:5" ht="10.199999999999999" x14ac:dyDescent="0.25">
      <c r="A1219" s="1">
        <v>82</v>
      </c>
      <c r="B1219" s="1" t="s">
        <v>9</v>
      </c>
      <c r="C1219" s="2">
        <v>41143</v>
      </c>
      <c r="D1219" s="3">
        <v>800</v>
      </c>
      <c r="E1219" s="1" t="str">
        <f t="shared" ref="E1219:E1282" si="19">TEXT(C1219,"mmm yyyy")</f>
        <v>Aug 2012</v>
      </c>
    </row>
    <row r="1220" spans="1:5" ht="10.199999999999999" x14ac:dyDescent="0.25">
      <c r="A1220" s="1">
        <v>82</v>
      </c>
      <c r="B1220" s="1" t="s">
        <v>9</v>
      </c>
      <c r="C1220" s="2">
        <v>41145</v>
      </c>
      <c r="D1220" s="3">
        <v>800</v>
      </c>
      <c r="E1220" s="1" t="str">
        <f t="shared" si="19"/>
        <v>Aug 2012</v>
      </c>
    </row>
    <row r="1221" spans="1:5" ht="10.199999999999999" x14ac:dyDescent="0.25">
      <c r="A1221" s="1">
        <v>82</v>
      </c>
      <c r="B1221" s="1" t="s">
        <v>9</v>
      </c>
      <c r="C1221" s="2">
        <v>41148</v>
      </c>
      <c r="D1221" s="3">
        <v>800</v>
      </c>
      <c r="E1221" s="1" t="str">
        <f t="shared" si="19"/>
        <v>Aug 2012</v>
      </c>
    </row>
    <row r="1222" spans="1:5" ht="10.199999999999999" x14ac:dyDescent="0.25">
      <c r="A1222" s="1">
        <v>82</v>
      </c>
      <c r="B1222" s="1" t="s">
        <v>9</v>
      </c>
      <c r="C1222" s="2">
        <v>41150</v>
      </c>
      <c r="D1222" s="3">
        <v>800</v>
      </c>
      <c r="E1222" s="1" t="str">
        <f t="shared" si="19"/>
        <v>Aug 2012</v>
      </c>
    </row>
    <row r="1223" spans="1:5" ht="10.199999999999999" x14ac:dyDescent="0.25">
      <c r="A1223" s="1">
        <v>82</v>
      </c>
      <c r="B1223" s="1" t="s">
        <v>9</v>
      </c>
      <c r="C1223" s="2">
        <v>41152</v>
      </c>
      <c r="D1223" s="3">
        <v>800</v>
      </c>
      <c r="E1223" s="1" t="str">
        <f t="shared" si="19"/>
        <v>Aug 2012</v>
      </c>
    </row>
    <row r="1224" spans="1:5" ht="10.199999999999999" x14ac:dyDescent="0.25">
      <c r="A1224" s="1">
        <v>82</v>
      </c>
      <c r="B1224" s="1" t="s">
        <v>9</v>
      </c>
      <c r="C1224" s="2">
        <v>41155</v>
      </c>
      <c r="D1224" s="3">
        <v>800</v>
      </c>
      <c r="E1224" s="1" t="str">
        <f t="shared" si="19"/>
        <v>Sep 2012</v>
      </c>
    </row>
    <row r="1225" spans="1:5" ht="10.199999999999999" x14ac:dyDescent="0.25">
      <c r="A1225" s="1">
        <v>82</v>
      </c>
      <c r="B1225" s="1" t="s">
        <v>9</v>
      </c>
      <c r="C1225" s="2">
        <v>41157</v>
      </c>
      <c r="D1225" s="3">
        <v>800</v>
      </c>
      <c r="E1225" s="1" t="str">
        <f t="shared" si="19"/>
        <v>Sep 2012</v>
      </c>
    </row>
    <row r="1226" spans="1:5" ht="10.199999999999999" x14ac:dyDescent="0.25">
      <c r="A1226" s="1">
        <v>82</v>
      </c>
      <c r="B1226" s="1" t="s">
        <v>10</v>
      </c>
      <c r="C1226" s="2">
        <v>41164</v>
      </c>
      <c r="D1226" s="3">
        <v>2</v>
      </c>
      <c r="E1226" s="1" t="str">
        <f t="shared" si="19"/>
        <v>Sep 2012</v>
      </c>
    </row>
    <row r="1227" spans="1:5" ht="10.199999999999999" x14ac:dyDescent="0.25">
      <c r="A1227" s="1">
        <v>82</v>
      </c>
      <c r="B1227" s="1" t="s">
        <v>10</v>
      </c>
      <c r="C1227" s="2">
        <v>41192</v>
      </c>
      <c r="D1227" s="3">
        <v>1</v>
      </c>
      <c r="E1227" s="1" t="str">
        <f t="shared" si="19"/>
        <v>Oct 2012</v>
      </c>
    </row>
    <row r="1228" spans="1:5" ht="10.199999999999999" x14ac:dyDescent="0.25">
      <c r="A1228" s="1">
        <v>82</v>
      </c>
      <c r="B1228" s="1" t="s">
        <v>10</v>
      </c>
      <c r="C1228" s="2">
        <v>41192</v>
      </c>
      <c r="D1228" s="3">
        <v>2</v>
      </c>
      <c r="E1228" s="1" t="str">
        <f t="shared" si="19"/>
        <v>Oct 2012</v>
      </c>
    </row>
    <row r="1229" spans="1:5" ht="10.199999999999999" x14ac:dyDescent="0.25">
      <c r="A1229" s="1">
        <v>82</v>
      </c>
      <c r="B1229" s="1" t="s">
        <v>10</v>
      </c>
      <c r="C1229" s="2">
        <v>41227</v>
      </c>
      <c r="D1229" s="3">
        <v>3</v>
      </c>
      <c r="E1229" s="1" t="str">
        <f t="shared" si="19"/>
        <v>Nov 2012</v>
      </c>
    </row>
    <row r="1230" spans="1:5" ht="10.199999999999999" x14ac:dyDescent="0.25">
      <c r="A1230" s="1">
        <v>83</v>
      </c>
      <c r="B1230" s="1" t="s">
        <v>9</v>
      </c>
      <c r="C1230" s="2">
        <v>41127</v>
      </c>
      <c r="D1230" s="3">
        <v>4400</v>
      </c>
      <c r="E1230" s="1" t="str">
        <f t="shared" si="19"/>
        <v>Aug 2012</v>
      </c>
    </row>
    <row r="1231" spans="1:5" ht="10.199999999999999" x14ac:dyDescent="0.25">
      <c r="A1231" s="1">
        <v>83</v>
      </c>
      <c r="B1231" s="1" t="s">
        <v>9</v>
      </c>
      <c r="C1231" s="2">
        <v>41129</v>
      </c>
      <c r="D1231" s="3">
        <v>4400</v>
      </c>
      <c r="E1231" s="1" t="str">
        <f t="shared" si="19"/>
        <v>Aug 2012</v>
      </c>
    </row>
    <row r="1232" spans="1:5" ht="10.199999999999999" x14ac:dyDescent="0.25">
      <c r="A1232" s="1">
        <v>83</v>
      </c>
      <c r="B1232" s="1" t="s">
        <v>9</v>
      </c>
      <c r="C1232" s="2">
        <v>41131</v>
      </c>
      <c r="D1232" s="3">
        <v>4400</v>
      </c>
      <c r="E1232" s="1" t="str">
        <f t="shared" si="19"/>
        <v>Aug 2012</v>
      </c>
    </row>
    <row r="1233" spans="1:5" ht="10.199999999999999" x14ac:dyDescent="0.25">
      <c r="A1233" s="1">
        <v>83</v>
      </c>
      <c r="B1233" s="1" t="s">
        <v>9</v>
      </c>
      <c r="C1233" s="2">
        <v>41134</v>
      </c>
      <c r="D1233" s="3">
        <v>4400</v>
      </c>
      <c r="E1233" s="1" t="str">
        <f t="shared" si="19"/>
        <v>Aug 2012</v>
      </c>
    </row>
    <row r="1234" spans="1:5" ht="10.199999999999999" x14ac:dyDescent="0.25">
      <c r="A1234" s="1">
        <v>83</v>
      </c>
      <c r="B1234" s="1" t="s">
        <v>9</v>
      </c>
      <c r="C1234" s="2">
        <v>41136</v>
      </c>
      <c r="D1234" s="3">
        <v>4400</v>
      </c>
      <c r="E1234" s="1" t="str">
        <f t="shared" si="19"/>
        <v>Aug 2012</v>
      </c>
    </row>
    <row r="1235" spans="1:5" ht="10.199999999999999" x14ac:dyDescent="0.25">
      <c r="A1235" s="1">
        <v>83</v>
      </c>
      <c r="B1235" s="1" t="s">
        <v>9</v>
      </c>
      <c r="C1235" s="2">
        <v>41138</v>
      </c>
      <c r="D1235" s="3">
        <v>4400</v>
      </c>
      <c r="E1235" s="1" t="str">
        <f t="shared" si="19"/>
        <v>Aug 2012</v>
      </c>
    </row>
    <row r="1236" spans="1:5" ht="10.199999999999999" x14ac:dyDescent="0.25">
      <c r="A1236" s="1">
        <v>83</v>
      </c>
      <c r="B1236" s="1" t="s">
        <v>9</v>
      </c>
      <c r="C1236" s="2">
        <v>41141</v>
      </c>
      <c r="D1236" s="3">
        <v>5300</v>
      </c>
      <c r="E1236" s="1" t="str">
        <f t="shared" si="19"/>
        <v>Aug 2012</v>
      </c>
    </row>
    <row r="1237" spans="1:5" ht="10.199999999999999" x14ac:dyDescent="0.25">
      <c r="A1237" s="1">
        <v>83</v>
      </c>
      <c r="B1237" s="1" t="s">
        <v>9</v>
      </c>
      <c r="C1237" s="2">
        <v>41143</v>
      </c>
      <c r="D1237" s="3">
        <v>5300</v>
      </c>
      <c r="E1237" s="1" t="str">
        <f t="shared" si="19"/>
        <v>Aug 2012</v>
      </c>
    </row>
    <row r="1238" spans="1:5" ht="10.199999999999999" x14ac:dyDescent="0.25">
      <c r="A1238" s="1">
        <v>83</v>
      </c>
      <c r="B1238" s="1" t="s">
        <v>9</v>
      </c>
      <c r="C1238" s="2">
        <v>41145</v>
      </c>
      <c r="D1238" s="3">
        <v>5300</v>
      </c>
      <c r="E1238" s="1" t="str">
        <f t="shared" si="19"/>
        <v>Aug 2012</v>
      </c>
    </row>
    <row r="1239" spans="1:5" ht="10.199999999999999" x14ac:dyDescent="0.25">
      <c r="A1239" s="1">
        <v>83</v>
      </c>
      <c r="B1239" s="1" t="s">
        <v>9</v>
      </c>
      <c r="C1239" s="2">
        <v>41148</v>
      </c>
      <c r="D1239" s="3">
        <v>5300</v>
      </c>
      <c r="E1239" s="1" t="str">
        <f t="shared" si="19"/>
        <v>Aug 2012</v>
      </c>
    </row>
    <row r="1240" spans="1:5" ht="10.199999999999999" x14ac:dyDescent="0.25">
      <c r="A1240" s="1">
        <v>83</v>
      </c>
      <c r="B1240" s="1" t="s">
        <v>9</v>
      </c>
      <c r="C1240" s="2">
        <v>41150</v>
      </c>
      <c r="D1240" s="3">
        <v>5300</v>
      </c>
      <c r="E1240" s="1" t="str">
        <f t="shared" si="19"/>
        <v>Aug 2012</v>
      </c>
    </row>
    <row r="1241" spans="1:5" ht="10.199999999999999" x14ac:dyDescent="0.25">
      <c r="A1241" s="1">
        <v>83</v>
      </c>
      <c r="B1241" s="1" t="s">
        <v>9</v>
      </c>
      <c r="C1241" s="2">
        <v>41152</v>
      </c>
      <c r="D1241" s="3">
        <v>5300</v>
      </c>
      <c r="E1241" s="1" t="str">
        <f t="shared" si="19"/>
        <v>Aug 2012</v>
      </c>
    </row>
    <row r="1242" spans="1:5" ht="10.199999999999999" x14ac:dyDescent="0.25">
      <c r="A1242" s="1">
        <v>83</v>
      </c>
      <c r="B1242" s="1" t="s">
        <v>9</v>
      </c>
      <c r="C1242" s="2">
        <v>41155</v>
      </c>
      <c r="D1242" s="3">
        <v>5300</v>
      </c>
      <c r="E1242" s="1" t="str">
        <f t="shared" si="19"/>
        <v>Sep 2012</v>
      </c>
    </row>
    <row r="1243" spans="1:5" ht="10.199999999999999" x14ac:dyDescent="0.25">
      <c r="A1243" s="1">
        <v>83</v>
      </c>
      <c r="B1243" s="1" t="s">
        <v>9</v>
      </c>
      <c r="C1243" s="2">
        <v>41157</v>
      </c>
      <c r="D1243" s="3">
        <v>5300</v>
      </c>
      <c r="E1243" s="1" t="str">
        <f t="shared" si="19"/>
        <v>Sep 2012</v>
      </c>
    </row>
    <row r="1244" spans="1:5" ht="10.199999999999999" x14ac:dyDescent="0.25">
      <c r="A1244" s="1">
        <v>83</v>
      </c>
      <c r="B1244" s="1" t="s">
        <v>10</v>
      </c>
      <c r="C1244" s="2">
        <v>41164</v>
      </c>
      <c r="D1244" s="3">
        <v>8</v>
      </c>
      <c r="E1244" s="1" t="str">
        <f t="shared" si="19"/>
        <v>Sep 2012</v>
      </c>
    </row>
    <row r="1245" spans="1:5" ht="10.199999999999999" x14ac:dyDescent="0.25">
      <c r="A1245" s="1">
        <v>83</v>
      </c>
      <c r="B1245" s="1" t="s">
        <v>10</v>
      </c>
      <c r="C1245" s="2">
        <v>41227</v>
      </c>
      <c r="D1245" s="3">
        <v>2</v>
      </c>
      <c r="E1245" s="1" t="str">
        <f t="shared" si="19"/>
        <v>Nov 2012</v>
      </c>
    </row>
    <row r="1246" spans="1:5" ht="10.199999999999999" x14ac:dyDescent="0.25">
      <c r="A1246" s="1">
        <v>84</v>
      </c>
      <c r="B1246" s="1" t="s">
        <v>10</v>
      </c>
      <c r="C1246" s="2">
        <v>41194</v>
      </c>
      <c r="D1246" s="3">
        <v>3</v>
      </c>
      <c r="E1246" s="1" t="str">
        <f t="shared" si="19"/>
        <v>Oct 2012</v>
      </c>
    </row>
    <row r="1247" spans="1:5" ht="10.199999999999999" x14ac:dyDescent="0.25">
      <c r="A1247" s="1">
        <v>85</v>
      </c>
      <c r="B1247" s="1" t="s">
        <v>9</v>
      </c>
      <c r="C1247" s="2">
        <v>41097</v>
      </c>
      <c r="D1247" s="3">
        <v>14400</v>
      </c>
      <c r="E1247" s="1" t="str">
        <f t="shared" si="19"/>
        <v>Jul 2012</v>
      </c>
    </row>
    <row r="1248" spans="1:5" ht="10.199999999999999" x14ac:dyDescent="0.25">
      <c r="A1248" s="1">
        <v>85</v>
      </c>
      <c r="B1248" s="1" t="s">
        <v>9</v>
      </c>
      <c r="C1248" s="2">
        <v>41100</v>
      </c>
      <c r="D1248" s="3">
        <v>14400</v>
      </c>
      <c r="E1248" s="1" t="str">
        <f t="shared" si="19"/>
        <v>Jul 2012</v>
      </c>
    </row>
    <row r="1249" spans="1:5" ht="10.199999999999999" x14ac:dyDescent="0.25">
      <c r="A1249" s="1">
        <v>85</v>
      </c>
      <c r="B1249" s="1" t="s">
        <v>9</v>
      </c>
      <c r="C1249" s="2">
        <v>41102</v>
      </c>
      <c r="D1249" s="3">
        <v>14400</v>
      </c>
      <c r="E1249" s="1" t="str">
        <f t="shared" si="19"/>
        <v>Jul 2012</v>
      </c>
    </row>
    <row r="1250" spans="1:5" ht="10.199999999999999" x14ac:dyDescent="0.25">
      <c r="A1250" s="1">
        <v>85</v>
      </c>
      <c r="B1250" s="1" t="s">
        <v>9</v>
      </c>
      <c r="C1250" s="2">
        <v>41104</v>
      </c>
      <c r="D1250" s="3">
        <v>14400</v>
      </c>
      <c r="E1250" s="1" t="str">
        <f t="shared" si="19"/>
        <v>Jul 2012</v>
      </c>
    </row>
    <row r="1251" spans="1:5" ht="10.199999999999999" x14ac:dyDescent="0.25">
      <c r="A1251" s="1">
        <v>85</v>
      </c>
      <c r="B1251" s="1" t="s">
        <v>9</v>
      </c>
      <c r="C1251" s="2">
        <v>41107</v>
      </c>
      <c r="D1251" s="3">
        <v>14400</v>
      </c>
      <c r="E1251" s="1" t="str">
        <f t="shared" si="19"/>
        <v>Jul 2012</v>
      </c>
    </row>
    <row r="1252" spans="1:5" ht="10.199999999999999" x14ac:dyDescent="0.25">
      <c r="A1252" s="1">
        <v>85</v>
      </c>
      <c r="B1252" s="1" t="s">
        <v>9</v>
      </c>
      <c r="C1252" s="2">
        <v>41109</v>
      </c>
      <c r="D1252" s="3">
        <v>14400</v>
      </c>
      <c r="E1252" s="1" t="str">
        <f t="shared" si="19"/>
        <v>Jul 2012</v>
      </c>
    </row>
    <row r="1253" spans="1:5" ht="10.199999999999999" x14ac:dyDescent="0.25">
      <c r="A1253" s="1">
        <v>85</v>
      </c>
      <c r="B1253" s="1" t="s">
        <v>9</v>
      </c>
      <c r="C1253" s="2">
        <v>41111</v>
      </c>
      <c r="D1253" s="3">
        <v>14400</v>
      </c>
      <c r="E1253" s="1" t="str">
        <f t="shared" si="19"/>
        <v>Jul 2012</v>
      </c>
    </row>
    <row r="1254" spans="1:5" ht="10.199999999999999" x14ac:dyDescent="0.25">
      <c r="A1254" s="1">
        <v>85</v>
      </c>
      <c r="B1254" s="1" t="s">
        <v>9</v>
      </c>
      <c r="C1254" s="2">
        <v>41114</v>
      </c>
      <c r="D1254" s="3">
        <v>14400</v>
      </c>
      <c r="E1254" s="1" t="str">
        <f t="shared" si="19"/>
        <v>Jul 2012</v>
      </c>
    </row>
    <row r="1255" spans="1:5" ht="10.199999999999999" x14ac:dyDescent="0.25">
      <c r="A1255" s="1">
        <v>85</v>
      </c>
      <c r="B1255" s="1" t="s">
        <v>9</v>
      </c>
      <c r="C1255" s="2">
        <v>41116</v>
      </c>
      <c r="D1255" s="3">
        <v>14400</v>
      </c>
      <c r="E1255" s="1" t="str">
        <f t="shared" si="19"/>
        <v>Jul 2012</v>
      </c>
    </row>
    <row r="1256" spans="1:5" ht="10.199999999999999" x14ac:dyDescent="0.25">
      <c r="A1256" s="1">
        <v>85</v>
      </c>
      <c r="B1256" s="1" t="s">
        <v>9</v>
      </c>
      <c r="C1256" s="2">
        <v>41118</v>
      </c>
      <c r="D1256" s="3">
        <v>14400</v>
      </c>
      <c r="E1256" s="1" t="str">
        <f t="shared" si="19"/>
        <v>Jul 2012</v>
      </c>
    </row>
    <row r="1257" spans="1:5" ht="10.199999999999999" x14ac:dyDescent="0.25">
      <c r="A1257" s="1">
        <v>85</v>
      </c>
      <c r="B1257" s="1" t="s">
        <v>9</v>
      </c>
      <c r="C1257" s="2">
        <v>41121</v>
      </c>
      <c r="D1257" s="3">
        <v>14400</v>
      </c>
      <c r="E1257" s="1" t="str">
        <f t="shared" si="19"/>
        <v>Jul 2012</v>
      </c>
    </row>
    <row r="1258" spans="1:5" ht="10.199999999999999" x14ac:dyDescent="0.25">
      <c r="A1258" s="1">
        <v>85</v>
      </c>
      <c r="B1258" s="1" t="s">
        <v>9</v>
      </c>
      <c r="C1258" s="2">
        <v>41123</v>
      </c>
      <c r="D1258" s="3">
        <v>14400</v>
      </c>
      <c r="E1258" s="1" t="str">
        <f t="shared" si="19"/>
        <v>Aug 2012</v>
      </c>
    </row>
    <row r="1259" spans="1:5" ht="10.199999999999999" x14ac:dyDescent="0.25">
      <c r="A1259" s="1">
        <v>85</v>
      </c>
      <c r="B1259" s="1" t="s">
        <v>9</v>
      </c>
      <c r="C1259" s="2">
        <v>41139</v>
      </c>
      <c r="D1259" s="3">
        <v>13000</v>
      </c>
      <c r="E1259" s="1" t="str">
        <f t="shared" si="19"/>
        <v>Aug 2012</v>
      </c>
    </row>
    <row r="1260" spans="1:5" ht="10.199999999999999" x14ac:dyDescent="0.25">
      <c r="A1260" s="1">
        <v>85</v>
      </c>
      <c r="B1260" s="1" t="s">
        <v>9</v>
      </c>
      <c r="C1260" s="2">
        <v>41142</v>
      </c>
      <c r="D1260" s="3">
        <v>13000</v>
      </c>
      <c r="E1260" s="1" t="str">
        <f t="shared" si="19"/>
        <v>Aug 2012</v>
      </c>
    </row>
    <row r="1261" spans="1:5" ht="10.199999999999999" x14ac:dyDescent="0.25">
      <c r="A1261" s="1">
        <v>85</v>
      </c>
      <c r="B1261" s="1" t="s">
        <v>9</v>
      </c>
      <c r="C1261" s="2">
        <v>41144</v>
      </c>
      <c r="D1261" s="3">
        <v>13000</v>
      </c>
      <c r="E1261" s="1" t="str">
        <f t="shared" si="19"/>
        <v>Aug 2012</v>
      </c>
    </row>
    <row r="1262" spans="1:5" ht="10.199999999999999" x14ac:dyDescent="0.25">
      <c r="A1262" s="1">
        <v>85</v>
      </c>
      <c r="B1262" s="1" t="s">
        <v>9</v>
      </c>
      <c r="C1262" s="2">
        <v>41146</v>
      </c>
      <c r="D1262" s="3">
        <v>13000</v>
      </c>
      <c r="E1262" s="1" t="str">
        <f t="shared" si="19"/>
        <v>Aug 2012</v>
      </c>
    </row>
    <row r="1263" spans="1:5" ht="10.199999999999999" x14ac:dyDescent="0.25">
      <c r="A1263" s="1">
        <v>85</v>
      </c>
      <c r="B1263" s="1" t="s">
        <v>9</v>
      </c>
      <c r="C1263" s="2">
        <v>41149</v>
      </c>
      <c r="D1263" s="3">
        <v>13000</v>
      </c>
      <c r="E1263" s="1" t="str">
        <f t="shared" si="19"/>
        <v>Aug 2012</v>
      </c>
    </row>
    <row r="1264" spans="1:5" ht="10.199999999999999" x14ac:dyDescent="0.25">
      <c r="A1264" s="1">
        <v>85</v>
      </c>
      <c r="B1264" s="1" t="s">
        <v>9</v>
      </c>
      <c r="C1264" s="2">
        <v>41151</v>
      </c>
      <c r="D1264" s="3">
        <v>13000</v>
      </c>
      <c r="E1264" s="1" t="str">
        <f t="shared" si="19"/>
        <v>Aug 2012</v>
      </c>
    </row>
    <row r="1265" spans="1:5" ht="10.199999999999999" x14ac:dyDescent="0.25">
      <c r="A1265" s="1">
        <v>85</v>
      </c>
      <c r="B1265" s="1" t="s">
        <v>9</v>
      </c>
      <c r="C1265" s="2">
        <v>41153</v>
      </c>
      <c r="D1265" s="3">
        <v>13000</v>
      </c>
      <c r="E1265" s="1" t="str">
        <f t="shared" si="19"/>
        <v>Sep 2012</v>
      </c>
    </row>
    <row r="1266" spans="1:5" ht="10.199999999999999" x14ac:dyDescent="0.25">
      <c r="A1266" s="1">
        <v>85</v>
      </c>
      <c r="B1266" s="1" t="s">
        <v>9</v>
      </c>
      <c r="C1266" s="2">
        <v>41156</v>
      </c>
      <c r="D1266" s="3">
        <v>13000</v>
      </c>
      <c r="E1266" s="1" t="str">
        <f t="shared" si="19"/>
        <v>Sep 2012</v>
      </c>
    </row>
    <row r="1267" spans="1:5" ht="10.199999999999999" x14ac:dyDescent="0.25">
      <c r="A1267" s="1">
        <v>85</v>
      </c>
      <c r="B1267" s="1" t="s">
        <v>9</v>
      </c>
      <c r="C1267" s="2">
        <v>41158</v>
      </c>
      <c r="D1267" s="3">
        <v>13000</v>
      </c>
      <c r="E1267" s="1" t="str">
        <f t="shared" si="19"/>
        <v>Sep 2012</v>
      </c>
    </row>
    <row r="1268" spans="1:5" ht="10.199999999999999" x14ac:dyDescent="0.25">
      <c r="A1268" s="1">
        <v>85</v>
      </c>
      <c r="B1268" s="1" t="s">
        <v>10</v>
      </c>
      <c r="C1268" s="2">
        <v>41165</v>
      </c>
      <c r="D1268" s="3">
        <v>16</v>
      </c>
      <c r="E1268" s="1" t="str">
        <f t="shared" si="19"/>
        <v>Sep 2012</v>
      </c>
    </row>
    <row r="1269" spans="1:5" ht="10.199999999999999" x14ac:dyDescent="0.25">
      <c r="A1269" s="1">
        <v>86</v>
      </c>
      <c r="B1269" s="1" t="s">
        <v>9</v>
      </c>
      <c r="C1269" s="2">
        <v>41139</v>
      </c>
      <c r="D1269" s="3">
        <v>500</v>
      </c>
      <c r="E1269" s="1" t="str">
        <f t="shared" si="19"/>
        <v>Aug 2012</v>
      </c>
    </row>
    <row r="1270" spans="1:5" ht="10.199999999999999" x14ac:dyDescent="0.25">
      <c r="A1270" s="1">
        <v>86</v>
      </c>
      <c r="B1270" s="1" t="s">
        <v>9</v>
      </c>
      <c r="C1270" s="2">
        <v>41142</v>
      </c>
      <c r="D1270" s="3">
        <v>500</v>
      </c>
      <c r="E1270" s="1" t="str">
        <f t="shared" si="19"/>
        <v>Aug 2012</v>
      </c>
    </row>
    <row r="1271" spans="1:5" ht="10.199999999999999" x14ac:dyDescent="0.25">
      <c r="A1271" s="1">
        <v>86</v>
      </c>
      <c r="B1271" s="1" t="s">
        <v>9</v>
      </c>
      <c r="C1271" s="2">
        <v>41144</v>
      </c>
      <c r="D1271" s="3">
        <v>500</v>
      </c>
      <c r="E1271" s="1" t="str">
        <f t="shared" si="19"/>
        <v>Aug 2012</v>
      </c>
    </row>
    <row r="1272" spans="1:5" ht="10.199999999999999" x14ac:dyDescent="0.25">
      <c r="A1272" s="1">
        <v>86</v>
      </c>
      <c r="B1272" s="1" t="s">
        <v>9</v>
      </c>
      <c r="C1272" s="2">
        <v>41146</v>
      </c>
      <c r="D1272" s="3">
        <v>500</v>
      </c>
      <c r="E1272" s="1" t="str">
        <f t="shared" si="19"/>
        <v>Aug 2012</v>
      </c>
    </row>
    <row r="1273" spans="1:5" ht="10.199999999999999" x14ac:dyDescent="0.25">
      <c r="A1273" s="1">
        <v>86</v>
      </c>
      <c r="B1273" s="1" t="s">
        <v>9</v>
      </c>
      <c r="C1273" s="2">
        <v>41149</v>
      </c>
      <c r="D1273" s="3">
        <v>500</v>
      </c>
      <c r="E1273" s="1" t="str">
        <f t="shared" si="19"/>
        <v>Aug 2012</v>
      </c>
    </row>
    <row r="1274" spans="1:5" ht="10.199999999999999" x14ac:dyDescent="0.25">
      <c r="A1274" s="1">
        <v>86</v>
      </c>
      <c r="B1274" s="1" t="s">
        <v>9</v>
      </c>
      <c r="C1274" s="2">
        <v>41151</v>
      </c>
      <c r="D1274" s="3">
        <v>500</v>
      </c>
      <c r="E1274" s="1" t="str">
        <f t="shared" si="19"/>
        <v>Aug 2012</v>
      </c>
    </row>
    <row r="1275" spans="1:5" ht="10.199999999999999" x14ac:dyDescent="0.25">
      <c r="A1275" s="1">
        <v>86</v>
      </c>
      <c r="B1275" s="1" t="s">
        <v>9</v>
      </c>
      <c r="C1275" s="2">
        <v>41153</v>
      </c>
      <c r="D1275" s="3">
        <v>500</v>
      </c>
      <c r="E1275" s="1" t="str">
        <f t="shared" si="19"/>
        <v>Sep 2012</v>
      </c>
    </row>
    <row r="1276" spans="1:5" ht="10.199999999999999" x14ac:dyDescent="0.25">
      <c r="A1276" s="1">
        <v>86</v>
      </c>
      <c r="B1276" s="1" t="s">
        <v>9</v>
      </c>
      <c r="C1276" s="2">
        <v>41156</v>
      </c>
      <c r="D1276" s="3">
        <v>500</v>
      </c>
      <c r="E1276" s="1" t="str">
        <f t="shared" si="19"/>
        <v>Sep 2012</v>
      </c>
    </row>
    <row r="1277" spans="1:5" ht="10.199999999999999" x14ac:dyDescent="0.25">
      <c r="A1277" s="1">
        <v>86</v>
      </c>
      <c r="B1277" s="1" t="s">
        <v>10</v>
      </c>
      <c r="C1277" s="2">
        <v>41177</v>
      </c>
      <c r="D1277" s="3">
        <v>1</v>
      </c>
      <c r="E1277" s="1" t="str">
        <f t="shared" si="19"/>
        <v>Sep 2012</v>
      </c>
    </row>
    <row r="1278" spans="1:5" ht="10.199999999999999" x14ac:dyDescent="0.25">
      <c r="A1278" s="1">
        <v>86</v>
      </c>
      <c r="B1278" s="1" t="s">
        <v>10</v>
      </c>
      <c r="C1278" s="2">
        <v>41193</v>
      </c>
      <c r="D1278" s="3">
        <v>1</v>
      </c>
      <c r="E1278" s="1" t="str">
        <f t="shared" si="19"/>
        <v>Oct 2012</v>
      </c>
    </row>
    <row r="1279" spans="1:5" ht="10.199999999999999" x14ac:dyDescent="0.25">
      <c r="A1279" s="1">
        <v>87</v>
      </c>
      <c r="B1279" s="1" t="s">
        <v>9</v>
      </c>
      <c r="C1279" s="2">
        <v>41092</v>
      </c>
      <c r="D1279" s="3">
        <v>4400</v>
      </c>
      <c r="E1279" s="1" t="str">
        <f t="shared" si="19"/>
        <v>Jul 2012</v>
      </c>
    </row>
    <row r="1280" spans="1:5" ht="10.199999999999999" x14ac:dyDescent="0.25">
      <c r="A1280" s="1">
        <v>87</v>
      </c>
      <c r="B1280" s="1" t="s">
        <v>9</v>
      </c>
      <c r="C1280" s="2">
        <v>41094</v>
      </c>
      <c r="D1280" s="3">
        <v>4400</v>
      </c>
      <c r="E1280" s="1" t="str">
        <f t="shared" si="19"/>
        <v>Jul 2012</v>
      </c>
    </row>
    <row r="1281" spans="1:5" ht="10.199999999999999" x14ac:dyDescent="0.25">
      <c r="A1281" s="1">
        <v>87</v>
      </c>
      <c r="B1281" s="1" t="s">
        <v>9</v>
      </c>
      <c r="C1281" s="2">
        <v>41096</v>
      </c>
      <c r="D1281" s="3">
        <v>4400</v>
      </c>
      <c r="E1281" s="1" t="str">
        <f t="shared" si="19"/>
        <v>Jul 2012</v>
      </c>
    </row>
    <row r="1282" spans="1:5" ht="10.199999999999999" x14ac:dyDescent="0.25">
      <c r="A1282" s="1">
        <v>87</v>
      </c>
      <c r="B1282" s="1" t="s">
        <v>9</v>
      </c>
      <c r="C1282" s="2">
        <v>41099</v>
      </c>
      <c r="D1282" s="3">
        <v>4400</v>
      </c>
      <c r="E1282" s="1" t="str">
        <f t="shared" si="19"/>
        <v>Jul 2012</v>
      </c>
    </row>
    <row r="1283" spans="1:5" ht="10.199999999999999" x14ac:dyDescent="0.25">
      <c r="A1283" s="1">
        <v>87</v>
      </c>
      <c r="B1283" s="1" t="s">
        <v>9</v>
      </c>
      <c r="C1283" s="2">
        <v>41101</v>
      </c>
      <c r="D1283" s="3">
        <v>4400</v>
      </c>
      <c r="E1283" s="1" t="str">
        <f t="shared" ref="E1283:E1346" si="20">TEXT(C1283,"mmm yyyy")</f>
        <v>Jul 2012</v>
      </c>
    </row>
    <row r="1284" spans="1:5" ht="10.199999999999999" x14ac:dyDescent="0.25">
      <c r="A1284" s="1">
        <v>87</v>
      </c>
      <c r="B1284" s="1" t="s">
        <v>9</v>
      </c>
      <c r="C1284" s="2">
        <v>41103</v>
      </c>
      <c r="D1284" s="3">
        <v>4400</v>
      </c>
      <c r="E1284" s="1" t="str">
        <f t="shared" si="20"/>
        <v>Jul 2012</v>
      </c>
    </row>
    <row r="1285" spans="1:5" ht="10.199999999999999" x14ac:dyDescent="0.25">
      <c r="A1285" s="1">
        <v>87</v>
      </c>
      <c r="B1285" s="1" t="s">
        <v>9</v>
      </c>
      <c r="C1285" s="2">
        <v>41106</v>
      </c>
      <c r="D1285" s="3">
        <v>4400</v>
      </c>
      <c r="E1285" s="1" t="str">
        <f t="shared" si="20"/>
        <v>Jul 2012</v>
      </c>
    </row>
    <row r="1286" spans="1:5" ht="10.199999999999999" x14ac:dyDescent="0.25">
      <c r="A1286" s="1">
        <v>87</v>
      </c>
      <c r="B1286" s="1" t="s">
        <v>9</v>
      </c>
      <c r="C1286" s="2">
        <v>41108</v>
      </c>
      <c r="D1286" s="3">
        <v>4400</v>
      </c>
      <c r="E1286" s="1" t="str">
        <f t="shared" si="20"/>
        <v>Jul 2012</v>
      </c>
    </row>
    <row r="1287" spans="1:5" ht="10.199999999999999" x14ac:dyDescent="0.25">
      <c r="A1287" s="1">
        <v>87</v>
      </c>
      <c r="B1287" s="1" t="s">
        <v>9</v>
      </c>
      <c r="C1287" s="2">
        <v>41113</v>
      </c>
      <c r="D1287" s="3">
        <v>4400</v>
      </c>
      <c r="E1287" s="1" t="str">
        <f t="shared" si="20"/>
        <v>Jul 2012</v>
      </c>
    </row>
    <row r="1288" spans="1:5" ht="10.199999999999999" x14ac:dyDescent="0.25">
      <c r="A1288" s="1">
        <v>87</v>
      </c>
      <c r="B1288" s="1" t="s">
        <v>9</v>
      </c>
      <c r="C1288" s="2">
        <v>41117</v>
      </c>
      <c r="D1288" s="3">
        <v>4400</v>
      </c>
      <c r="E1288" s="1" t="str">
        <f t="shared" si="20"/>
        <v>Jul 2012</v>
      </c>
    </row>
    <row r="1289" spans="1:5" ht="10.199999999999999" x14ac:dyDescent="0.25">
      <c r="A1289" s="1">
        <v>87</v>
      </c>
      <c r="B1289" s="1" t="s">
        <v>9</v>
      </c>
      <c r="C1289" s="2">
        <v>41120</v>
      </c>
      <c r="D1289" s="3">
        <v>4400</v>
      </c>
      <c r="E1289" s="1" t="str">
        <f t="shared" si="20"/>
        <v>Jul 2012</v>
      </c>
    </row>
    <row r="1290" spans="1:5" ht="10.199999999999999" x14ac:dyDescent="0.25">
      <c r="A1290" s="1">
        <v>87</v>
      </c>
      <c r="B1290" s="1" t="s">
        <v>9</v>
      </c>
      <c r="C1290" s="2">
        <v>41122</v>
      </c>
      <c r="D1290" s="3">
        <v>4400</v>
      </c>
      <c r="E1290" s="1" t="str">
        <f t="shared" si="20"/>
        <v>Aug 2012</v>
      </c>
    </row>
    <row r="1291" spans="1:5" ht="10.199999999999999" x14ac:dyDescent="0.25">
      <c r="A1291" s="1">
        <v>87</v>
      </c>
      <c r="B1291" s="1" t="s">
        <v>9</v>
      </c>
      <c r="C1291" s="2">
        <v>41141</v>
      </c>
      <c r="D1291" s="3">
        <v>3100</v>
      </c>
      <c r="E1291" s="1" t="str">
        <f t="shared" si="20"/>
        <v>Aug 2012</v>
      </c>
    </row>
    <row r="1292" spans="1:5" ht="10.199999999999999" x14ac:dyDescent="0.25">
      <c r="A1292" s="1">
        <v>87</v>
      </c>
      <c r="B1292" s="1" t="s">
        <v>9</v>
      </c>
      <c r="C1292" s="2">
        <v>41143</v>
      </c>
      <c r="D1292" s="3">
        <v>3100</v>
      </c>
      <c r="E1292" s="1" t="str">
        <f t="shared" si="20"/>
        <v>Aug 2012</v>
      </c>
    </row>
    <row r="1293" spans="1:5" ht="10.199999999999999" x14ac:dyDescent="0.25">
      <c r="A1293" s="1">
        <v>87</v>
      </c>
      <c r="B1293" s="1" t="s">
        <v>9</v>
      </c>
      <c r="C1293" s="2">
        <v>41145</v>
      </c>
      <c r="D1293" s="3">
        <v>3100</v>
      </c>
      <c r="E1293" s="1" t="str">
        <f t="shared" si="20"/>
        <v>Aug 2012</v>
      </c>
    </row>
    <row r="1294" spans="1:5" ht="10.199999999999999" x14ac:dyDescent="0.25">
      <c r="A1294" s="1">
        <v>87</v>
      </c>
      <c r="B1294" s="1" t="s">
        <v>9</v>
      </c>
      <c r="C1294" s="2">
        <v>41148</v>
      </c>
      <c r="D1294" s="3">
        <v>3100</v>
      </c>
      <c r="E1294" s="1" t="str">
        <f t="shared" si="20"/>
        <v>Aug 2012</v>
      </c>
    </row>
    <row r="1295" spans="1:5" ht="10.199999999999999" x14ac:dyDescent="0.25">
      <c r="A1295" s="1">
        <v>87</v>
      </c>
      <c r="B1295" s="1" t="s">
        <v>9</v>
      </c>
      <c r="C1295" s="2">
        <v>41150</v>
      </c>
      <c r="D1295" s="3">
        <v>3100</v>
      </c>
      <c r="E1295" s="1" t="str">
        <f t="shared" si="20"/>
        <v>Aug 2012</v>
      </c>
    </row>
    <row r="1296" spans="1:5" ht="10.199999999999999" x14ac:dyDescent="0.25">
      <c r="A1296" s="1">
        <v>87</v>
      </c>
      <c r="B1296" s="1" t="s">
        <v>9</v>
      </c>
      <c r="C1296" s="2">
        <v>41152</v>
      </c>
      <c r="D1296" s="3">
        <v>3100</v>
      </c>
      <c r="E1296" s="1" t="str">
        <f t="shared" si="20"/>
        <v>Aug 2012</v>
      </c>
    </row>
    <row r="1297" spans="1:5" ht="10.199999999999999" x14ac:dyDescent="0.25">
      <c r="A1297" s="1">
        <v>87</v>
      </c>
      <c r="B1297" s="1" t="s">
        <v>9</v>
      </c>
      <c r="C1297" s="2">
        <v>41155</v>
      </c>
      <c r="D1297" s="3">
        <v>3100</v>
      </c>
      <c r="E1297" s="1" t="str">
        <f t="shared" si="20"/>
        <v>Sep 2012</v>
      </c>
    </row>
    <row r="1298" spans="1:5" ht="10.199999999999999" x14ac:dyDescent="0.25">
      <c r="A1298" s="1">
        <v>87</v>
      </c>
      <c r="B1298" s="1" t="s">
        <v>9</v>
      </c>
      <c r="C1298" s="2">
        <v>41157</v>
      </c>
      <c r="D1298" s="3">
        <v>3100</v>
      </c>
      <c r="E1298" s="1" t="str">
        <f t="shared" si="20"/>
        <v>Sep 2012</v>
      </c>
    </row>
    <row r="1299" spans="1:5" ht="10.199999999999999" x14ac:dyDescent="0.25">
      <c r="A1299" s="1">
        <v>87</v>
      </c>
      <c r="B1299" s="1" t="s">
        <v>10</v>
      </c>
      <c r="C1299" s="2">
        <v>41164</v>
      </c>
      <c r="D1299" s="3">
        <v>6</v>
      </c>
      <c r="E1299" s="1" t="str">
        <f t="shared" si="20"/>
        <v>Sep 2012</v>
      </c>
    </row>
    <row r="1300" spans="1:5" ht="10.199999999999999" x14ac:dyDescent="0.25">
      <c r="A1300" s="1">
        <v>87</v>
      </c>
      <c r="B1300" s="1" t="s">
        <v>10</v>
      </c>
      <c r="C1300" s="2">
        <v>41192</v>
      </c>
      <c r="D1300" s="3">
        <v>6</v>
      </c>
      <c r="E1300" s="1" t="str">
        <f t="shared" si="20"/>
        <v>Oct 2012</v>
      </c>
    </row>
    <row r="1301" spans="1:5" ht="10.199999999999999" x14ac:dyDescent="0.25">
      <c r="A1301" s="1">
        <v>87</v>
      </c>
      <c r="B1301" s="1" t="s">
        <v>10</v>
      </c>
      <c r="C1301" s="2">
        <v>41227</v>
      </c>
      <c r="D1301" s="3">
        <v>8</v>
      </c>
      <c r="E1301" s="1" t="str">
        <f t="shared" si="20"/>
        <v>Nov 2012</v>
      </c>
    </row>
    <row r="1302" spans="1:5" ht="10.199999999999999" x14ac:dyDescent="0.25">
      <c r="A1302" s="1">
        <v>88</v>
      </c>
      <c r="B1302" s="1" t="s">
        <v>10</v>
      </c>
      <c r="C1302" s="2">
        <v>41167</v>
      </c>
      <c r="D1302" s="3">
        <v>5</v>
      </c>
      <c r="E1302" s="1" t="str">
        <f t="shared" si="20"/>
        <v>Sep 2012</v>
      </c>
    </row>
    <row r="1303" spans="1:5" ht="10.199999999999999" x14ac:dyDescent="0.25">
      <c r="A1303" s="1">
        <v>88</v>
      </c>
      <c r="B1303" s="1" t="s">
        <v>10</v>
      </c>
      <c r="C1303" s="2">
        <v>41193</v>
      </c>
      <c r="D1303" s="3">
        <v>5</v>
      </c>
      <c r="E1303" s="1" t="str">
        <f t="shared" si="20"/>
        <v>Oct 2012</v>
      </c>
    </row>
    <row r="1304" spans="1:5" ht="10.199999999999999" x14ac:dyDescent="0.25">
      <c r="A1304" s="1">
        <v>89</v>
      </c>
      <c r="B1304" s="1" t="s">
        <v>9</v>
      </c>
      <c r="C1304" s="2">
        <v>41141</v>
      </c>
      <c r="D1304" s="3">
        <v>2200</v>
      </c>
      <c r="E1304" s="1" t="str">
        <f t="shared" si="20"/>
        <v>Aug 2012</v>
      </c>
    </row>
    <row r="1305" spans="1:5" ht="10.199999999999999" x14ac:dyDescent="0.25">
      <c r="A1305" s="1">
        <v>89</v>
      </c>
      <c r="B1305" s="1" t="s">
        <v>9</v>
      </c>
      <c r="C1305" s="2">
        <v>41143</v>
      </c>
      <c r="D1305" s="3">
        <v>2200</v>
      </c>
      <c r="E1305" s="1" t="str">
        <f t="shared" si="20"/>
        <v>Aug 2012</v>
      </c>
    </row>
    <row r="1306" spans="1:5" ht="10.199999999999999" x14ac:dyDescent="0.25">
      <c r="A1306" s="1">
        <v>89</v>
      </c>
      <c r="B1306" s="1" t="s">
        <v>9</v>
      </c>
      <c r="C1306" s="2">
        <v>41145</v>
      </c>
      <c r="D1306" s="3">
        <v>2200</v>
      </c>
      <c r="E1306" s="1" t="str">
        <f t="shared" si="20"/>
        <v>Aug 2012</v>
      </c>
    </row>
    <row r="1307" spans="1:5" ht="10.199999999999999" x14ac:dyDescent="0.25">
      <c r="A1307" s="1">
        <v>89</v>
      </c>
      <c r="B1307" s="1" t="s">
        <v>9</v>
      </c>
      <c r="C1307" s="2">
        <v>41148</v>
      </c>
      <c r="D1307" s="3">
        <v>2200</v>
      </c>
      <c r="E1307" s="1" t="str">
        <f t="shared" si="20"/>
        <v>Aug 2012</v>
      </c>
    </row>
    <row r="1308" spans="1:5" ht="10.199999999999999" x14ac:dyDescent="0.25">
      <c r="A1308" s="1">
        <v>89</v>
      </c>
      <c r="B1308" s="1" t="s">
        <v>9</v>
      </c>
      <c r="C1308" s="2">
        <v>41150</v>
      </c>
      <c r="D1308" s="3">
        <v>2200</v>
      </c>
      <c r="E1308" s="1" t="str">
        <f t="shared" si="20"/>
        <v>Aug 2012</v>
      </c>
    </row>
    <row r="1309" spans="1:5" ht="10.199999999999999" x14ac:dyDescent="0.25">
      <c r="A1309" s="1">
        <v>89</v>
      </c>
      <c r="B1309" s="1" t="s">
        <v>9</v>
      </c>
      <c r="C1309" s="2">
        <v>41152</v>
      </c>
      <c r="D1309" s="3">
        <v>2200</v>
      </c>
      <c r="E1309" s="1" t="str">
        <f t="shared" si="20"/>
        <v>Aug 2012</v>
      </c>
    </row>
    <row r="1310" spans="1:5" ht="10.199999999999999" x14ac:dyDescent="0.25">
      <c r="A1310" s="1">
        <v>89</v>
      </c>
      <c r="B1310" s="1" t="s">
        <v>9</v>
      </c>
      <c r="C1310" s="2">
        <v>41155</v>
      </c>
      <c r="D1310" s="3">
        <v>2200</v>
      </c>
      <c r="E1310" s="1" t="str">
        <f t="shared" si="20"/>
        <v>Sep 2012</v>
      </c>
    </row>
    <row r="1311" spans="1:5" ht="10.199999999999999" x14ac:dyDescent="0.25">
      <c r="A1311" s="1">
        <v>89</v>
      </c>
      <c r="B1311" s="1" t="s">
        <v>9</v>
      </c>
      <c r="C1311" s="2">
        <v>41157</v>
      </c>
      <c r="D1311" s="3">
        <v>2200</v>
      </c>
      <c r="E1311" s="1" t="str">
        <f t="shared" si="20"/>
        <v>Sep 2012</v>
      </c>
    </row>
    <row r="1312" spans="1:5" ht="10.199999999999999" x14ac:dyDescent="0.25">
      <c r="A1312" s="1">
        <v>90</v>
      </c>
      <c r="B1312" s="1" t="s">
        <v>9</v>
      </c>
      <c r="C1312" s="2">
        <v>41093</v>
      </c>
      <c r="D1312" s="3">
        <v>1000</v>
      </c>
      <c r="E1312" s="1" t="str">
        <f t="shared" si="20"/>
        <v>Jul 2012</v>
      </c>
    </row>
    <row r="1313" spans="1:5" ht="10.199999999999999" x14ac:dyDescent="0.25">
      <c r="A1313" s="1">
        <v>90</v>
      </c>
      <c r="B1313" s="1" t="s">
        <v>9</v>
      </c>
      <c r="C1313" s="2">
        <v>41095</v>
      </c>
      <c r="D1313" s="3">
        <v>1000</v>
      </c>
      <c r="E1313" s="1" t="str">
        <f t="shared" si="20"/>
        <v>Jul 2012</v>
      </c>
    </row>
    <row r="1314" spans="1:5" ht="10.199999999999999" x14ac:dyDescent="0.25">
      <c r="A1314" s="1">
        <v>90</v>
      </c>
      <c r="B1314" s="1" t="s">
        <v>9</v>
      </c>
      <c r="C1314" s="2">
        <v>41104</v>
      </c>
      <c r="D1314" s="3">
        <v>1000</v>
      </c>
      <c r="E1314" s="1" t="str">
        <f t="shared" si="20"/>
        <v>Jul 2012</v>
      </c>
    </row>
    <row r="1315" spans="1:5" ht="10.199999999999999" x14ac:dyDescent="0.25">
      <c r="A1315" s="1">
        <v>90</v>
      </c>
      <c r="B1315" s="1" t="s">
        <v>9</v>
      </c>
      <c r="C1315" s="2">
        <v>41107</v>
      </c>
      <c r="D1315" s="3">
        <v>1000</v>
      </c>
      <c r="E1315" s="1" t="str">
        <f t="shared" si="20"/>
        <v>Jul 2012</v>
      </c>
    </row>
    <row r="1316" spans="1:5" ht="10.199999999999999" x14ac:dyDescent="0.25">
      <c r="A1316" s="1">
        <v>90</v>
      </c>
      <c r="B1316" s="1" t="s">
        <v>9</v>
      </c>
      <c r="C1316" s="2">
        <v>41109</v>
      </c>
      <c r="D1316" s="3">
        <v>1000</v>
      </c>
      <c r="E1316" s="1" t="str">
        <f t="shared" si="20"/>
        <v>Jul 2012</v>
      </c>
    </row>
    <row r="1317" spans="1:5" ht="10.199999999999999" x14ac:dyDescent="0.25">
      <c r="A1317" s="1">
        <v>90</v>
      </c>
      <c r="B1317" s="1" t="s">
        <v>9</v>
      </c>
      <c r="C1317" s="2">
        <v>41111</v>
      </c>
      <c r="D1317" s="3">
        <v>1000</v>
      </c>
      <c r="E1317" s="1" t="str">
        <f t="shared" si="20"/>
        <v>Jul 2012</v>
      </c>
    </row>
    <row r="1318" spans="1:5" ht="10.199999999999999" x14ac:dyDescent="0.25">
      <c r="A1318" s="1">
        <v>90</v>
      </c>
      <c r="B1318" s="1" t="s">
        <v>9</v>
      </c>
      <c r="C1318" s="2">
        <v>41114</v>
      </c>
      <c r="D1318" s="3">
        <v>1000</v>
      </c>
      <c r="E1318" s="1" t="str">
        <f t="shared" si="20"/>
        <v>Jul 2012</v>
      </c>
    </row>
    <row r="1319" spans="1:5" ht="10.199999999999999" x14ac:dyDescent="0.25">
      <c r="A1319" s="1">
        <v>90</v>
      </c>
      <c r="B1319" s="1" t="s">
        <v>9</v>
      </c>
      <c r="C1319" s="2">
        <v>41116</v>
      </c>
      <c r="D1319" s="3">
        <v>1000</v>
      </c>
      <c r="E1319" s="1" t="str">
        <f t="shared" si="20"/>
        <v>Jul 2012</v>
      </c>
    </row>
    <row r="1320" spans="1:5" ht="10.199999999999999" x14ac:dyDescent="0.25">
      <c r="A1320" s="1">
        <v>90</v>
      </c>
      <c r="B1320" s="1" t="s">
        <v>9</v>
      </c>
      <c r="C1320" s="2">
        <v>41118</v>
      </c>
      <c r="D1320" s="3">
        <v>1000</v>
      </c>
      <c r="E1320" s="1" t="str">
        <f t="shared" si="20"/>
        <v>Jul 2012</v>
      </c>
    </row>
    <row r="1321" spans="1:5" ht="10.199999999999999" x14ac:dyDescent="0.25">
      <c r="A1321" s="1">
        <v>90</v>
      </c>
      <c r="B1321" s="1" t="s">
        <v>9</v>
      </c>
      <c r="C1321" s="2">
        <v>41121</v>
      </c>
      <c r="D1321" s="3">
        <v>1000</v>
      </c>
      <c r="E1321" s="1" t="str">
        <f t="shared" si="20"/>
        <v>Jul 2012</v>
      </c>
    </row>
    <row r="1322" spans="1:5" ht="10.199999999999999" x14ac:dyDescent="0.25">
      <c r="A1322" s="1">
        <v>90</v>
      </c>
      <c r="B1322" s="1" t="s">
        <v>9</v>
      </c>
      <c r="C1322" s="2">
        <v>41123</v>
      </c>
      <c r="D1322" s="3">
        <v>1000</v>
      </c>
      <c r="E1322" s="1" t="str">
        <f t="shared" si="20"/>
        <v>Aug 2012</v>
      </c>
    </row>
    <row r="1323" spans="1:5" ht="10.199999999999999" x14ac:dyDescent="0.25">
      <c r="A1323" s="1">
        <v>90</v>
      </c>
      <c r="B1323" s="1" t="s">
        <v>9</v>
      </c>
      <c r="C1323" s="2">
        <v>41139</v>
      </c>
      <c r="D1323" s="3">
        <v>1000</v>
      </c>
      <c r="E1323" s="1" t="str">
        <f t="shared" si="20"/>
        <v>Aug 2012</v>
      </c>
    </row>
    <row r="1324" spans="1:5" ht="10.199999999999999" x14ac:dyDescent="0.25">
      <c r="A1324" s="1">
        <v>90</v>
      </c>
      <c r="B1324" s="1" t="s">
        <v>9</v>
      </c>
      <c r="C1324" s="2">
        <v>41142</v>
      </c>
      <c r="D1324" s="3">
        <v>1000</v>
      </c>
      <c r="E1324" s="1" t="str">
        <f t="shared" si="20"/>
        <v>Aug 2012</v>
      </c>
    </row>
    <row r="1325" spans="1:5" ht="10.199999999999999" x14ac:dyDescent="0.25">
      <c r="A1325" s="1">
        <v>90</v>
      </c>
      <c r="B1325" s="1" t="s">
        <v>9</v>
      </c>
      <c r="C1325" s="2">
        <v>41144</v>
      </c>
      <c r="D1325" s="3">
        <v>1000</v>
      </c>
      <c r="E1325" s="1" t="str">
        <f t="shared" si="20"/>
        <v>Aug 2012</v>
      </c>
    </row>
    <row r="1326" spans="1:5" ht="10.199999999999999" x14ac:dyDescent="0.25">
      <c r="A1326" s="1">
        <v>90</v>
      </c>
      <c r="B1326" s="1" t="s">
        <v>9</v>
      </c>
      <c r="C1326" s="2">
        <v>41146</v>
      </c>
      <c r="D1326" s="3">
        <v>1000</v>
      </c>
      <c r="E1326" s="1" t="str">
        <f t="shared" si="20"/>
        <v>Aug 2012</v>
      </c>
    </row>
    <row r="1327" spans="1:5" ht="10.199999999999999" x14ac:dyDescent="0.25">
      <c r="A1327" s="1">
        <v>90</v>
      </c>
      <c r="B1327" s="1" t="s">
        <v>9</v>
      </c>
      <c r="C1327" s="2">
        <v>41149</v>
      </c>
      <c r="D1327" s="3">
        <v>1000</v>
      </c>
      <c r="E1327" s="1" t="str">
        <f t="shared" si="20"/>
        <v>Aug 2012</v>
      </c>
    </row>
    <row r="1328" spans="1:5" ht="10.199999999999999" x14ac:dyDescent="0.25">
      <c r="A1328" s="1">
        <v>90</v>
      </c>
      <c r="B1328" s="1" t="s">
        <v>9</v>
      </c>
      <c r="C1328" s="2">
        <v>41151</v>
      </c>
      <c r="D1328" s="3">
        <v>1000</v>
      </c>
      <c r="E1328" s="1" t="str">
        <f t="shared" si="20"/>
        <v>Aug 2012</v>
      </c>
    </row>
    <row r="1329" spans="1:5" ht="10.199999999999999" x14ac:dyDescent="0.25">
      <c r="A1329" s="1">
        <v>90</v>
      </c>
      <c r="B1329" s="1" t="s">
        <v>9</v>
      </c>
      <c r="C1329" s="2">
        <v>41153</v>
      </c>
      <c r="D1329" s="3">
        <v>1000</v>
      </c>
      <c r="E1329" s="1" t="str">
        <f t="shared" si="20"/>
        <v>Sep 2012</v>
      </c>
    </row>
    <row r="1330" spans="1:5" ht="10.199999999999999" x14ac:dyDescent="0.25">
      <c r="A1330" s="1">
        <v>90</v>
      </c>
      <c r="B1330" s="1" t="s">
        <v>9</v>
      </c>
      <c r="C1330" s="2">
        <v>41156</v>
      </c>
      <c r="D1330" s="3">
        <v>1000</v>
      </c>
      <c r="E1330" s="1" t="str">
        <f t="shared" si="20"/>
        <v>Sep 2012</v>
      </c>
    </row>
    <row r="1331" spans="1:5" ht="10.199999999999999" x14ac:dyDescent="0.25">
      <c r="A1331" s="1">
        <v>90</v>
      </c>
      <c r="B1331" s="1" t="s">
        <v>9</v>
      </c>
      <c r="C1331" s="2">
        <v>41158</v>
      </c>
      <c r="D1331" s="3">
        <v>1000</v>
      </c>
      <c r="E1331" s="1" t="str">
        <f t="shared" si="20"/>
        <v>Sep 2012</v>
      </c>
    </row>
    <row r="1332" spans="1:5" ht="10.199999999999999" x14ac:dyDescent="0.25">
      <c r="A1332" s="1">
        <v>90</v>
      </c>
      <c r="B1332" s="1" t="s">
        <v>10</v>
      </c>
      <c r="C1332" s="2">
        <v>41165</v>
      </c>
      <c r="D1332" s="3">
        <v>3</v>
      </c>
      <c r="E1332" s="1" t="str">
        <f t="shared" si="20"/>
        <v>Sep 2012</v>
      </c>
    </row>
    <row r="1333" spans="1:5" ht="10.199999999999999" x14ac:dyDescent="0.25">
      <c r="A1333" s="1">
        <v>90</v>
      </c>
      <c r="B1333" s="1" t="s">
        <v>10</v>
      </c>
      <c r="C1333" s="2">
        <v>41228</v>
      </c>
      <c r="D1333" s="3">
        <v>4</v>
      </c>
      <c r="E1333" s="1" t="str">
        <f t="shared" si="20"/>
        <v>Nov 2012</v>
      </c>
    </row>
    <row r="1334" spans="1:5" ht="10.199999999999999" x14ac:dyDescent="0.25">
      <c r="A1334" s="1">
        <v>91</v>
      </c>
      <c r="B1334" s="1" t="s">
        <v>9</v>
      </c>
      <c r="C1334" s="2">
        <v>41093</v>
      </c>
      <c r="D1334" s="3">
        <v>100</v>
      </c>
      <c r="E1334" s="1" t="str">
        <f t="shared" si="20"/>
        <v>Jul 2012</v>
      </c>
    </row>
    <row r="1335" spans="1:5" ht="10.199999999999999" x14ac:dyDescent="0.25">
      <c r="A1335" s="1">
        <v>91</v>
      </c>
      <c r="B1335" s="1" t="s">
        <v>9</v>
      </c>
      <c r="C1335" s="2">
        <v>41100</v>
      </c>
      <c r="D1335" s="3">
        <v>100</v>
      </c>
      <c r="E1335" s="1" t="str">
        <f t="shared" si="20"/>
        <v>Jul 2012</v>
      </c>
    </row>
    <row r="1336" spans="1:5" ht="10.199999999999999" x14ac:dyDescent="0.25">
      <c r="A1336" s="1">
        <v>91</v>
      </c>
      <c r="B1336" s="1" t="s">
        <v>9</v>
      </c>
      <c r="C1336" s="2">
        <v>41107</v>
      </c>
      <c r="D1336" s="3">
        <v>100</v>
      </c>
      <c r="E1336" s="1" t="str">
        <f t="shared" si="20"/>
        <v>Jul 2012</v>
      </c>
    </row>
    <row r="1337" spans="1:5" ht="10.199999999999999" x14ac:dyDescent="0.25">
      <c r="A1337" s="1">
        <v>91</v>
      </c>
      <c r="B1337" s="1" t="s">
        <v>9</v>
      </c>
      <c r="C1337" s="2">
        <v>41118</v>
      </c>
      <c r="D1337" s="3">
        <v>100</v>
      </c>
      <c r="E1337" s="1" t="str">
        <f t="shared" si="20"/>
        <v>Jul 2012</v>
      </c>
    </row>
    <row r="1338" spans="1:5" ht="10.199999999999999" x14ac:dyDescent="0.25">
      <c r="A1338" s="1">
        <v>91</v>
      </c>
      <c r="B1338" s="1" t="s">
        <v>9</v>
      </c>
      <c r="C1338" s="2">
        <v>41121</v>
      </c>
      <c r="D1338" s="3">
        <v>100</v>
      </c>
      <c r="E1338" s="1" t="str">
        <f t="shared" si="20"/>
        <v>Jul 2012</v>
      </c>
    </row>
    <row r="1339" spans="1:5" ht="10.199999999999999" x14ac:dyDescent="0.25">
      <c r="A1339" s="1">
        <v>91</v>
      </c>
      <c r="B1339" s="1" t="s">
        <v>9</v>
      </c>
      <c r="C1339" s="2">
        <v>41142</v>
      </c>
      <c r="D1339" s="3">
        <v>100</v>
      </c>
      <c r="E1339" s="1" t="str">
        <f t="shared" si="20"/>
        <v>Aug 2012</v>
      </c>
    </row>
    <row r="1340" spans="1:5" ht="10.199999999999999" x14ac:dyDescent="0.25">
      <c r="A1340" s="1">
        <v>91</v>
      </c>
      <c r="B1340" s="1" t="s">
        <v>9</v>
      </c>
      <c r="C1340" s="2">
        <v>41149</v>
      </c>
      <c r="D1340" s="3">
        <v>100</v>
      </c>
      <c r="E1340" s="1" t="str">
        <f t="shared" si="20"/>
        <v>Aug 2012</v>
      </c>
    </row>
    <row r="1341" spans="1:5" ht="10.199999999999999" x14ac:dyDescent="0.25">
      <c r="A1341" s="1">
        <v>91</v>
      </c>
      <c r="B1341" s="1" t="s">
        <v>9</v>
      </c>
      <c r="C1341" s="2">
        <v>41156</v>
      </c>
      <c r="D1341" s="3">
        <v>100</v>
      </c>
      <c r="E1341" s="1" t="str">
        <f t="shared" si="20"/>
        <v>Sep 2012</v>
      </c>
    </row>
    <row r="1342" spans="1:5" ht="10.199999999999999" x14ac:dyDescent="0.25">
      <c r="A1342" s="1">
        <v>91</v>
      </c>
      <c r="B1342" s="1" t="s">
        <v>10</v>
      </c>
      <c r="C1342" s="2">
        <v>41165</v>
      </c>
      <c r="D1342" s="3">
        <v>1</v>
      </c>
      <c r="E1342" s="1" t="str">
        <f t="shared" si="20"/>
        <v>Sep 2012</v>
      </c>
    </row>
    <row r="1343" spans="1:5" ht="10.199999999999999" x14ac:dyDescent="0.25">
      <c r="A1343" s="1">
        <v>91</v>
      </c>
      <c r="B1343" s="1" t="s">
        <v>10</v>
      </c>
      <c r="C1343" s="2">
        <v>41208</v>
      </c>
      <c r="D1343" s="3">
        <v>1</v>
      </c>
      <c r="E1343" s="1" t="str">
        <f t="shared" si="20"/>
        <v>Oct 2012</v>
      </c>
    </row>
    <row r="1344" spans="1:5" ht="10.199999999999999" x14ac:dyDescent="0.25">
      <c r="A1344" s="1">
        <v>92</v>
      </c>
      <c r="B1344" s="1" t="s">
        <v>9</v>
      </c>
      <c r="C1344" s="2">
        <v>41092</v>
      </c>
      <c r="D1344" s="3">
        <v>600</v>
      </c>
      <c r="E1344" s="1" t="str">
        <f t="shared" si="20"/>
        <v>Jul 2012</v>
      </c>
    </row>
    <row r="1345" spans="1:5" ht="10.199999999999999" x14ac:dyDescent="0.25">
      <c r="A1345" s="1">
        <v>92</v>
      </c>
      <c r="B1345" s="1" t="s">
        <v>9</v>
      </c>
      <c r="C1345" s="2">
        <v>41094</v>
      </c>
      <c r="D1345" s="3">
        <v>600</v>
      </c>
      <c r="E1345" s="1" t="str">
        <f t="shared" si="20"/>
        <v>Jul 2012</v>
      </c>
    </row>
    <row r="1346" spans="1:5" ht="10.199999999999999" x14ac:dyDescent="0.25">
      <c r="A1346" s="1">
        <v>92</v>
      </c>
      <c r="B1346" s="1" t="s">
        <v>9</v>
      </c>
      <c r="C1346" s="2">
        <v>41096</v>
      </c>
      <c r="D1346" s="3">
        <v>700</v>
      </c>
      <c r="E1346" s="1" t="str">
        <f t="shared" si="20"/>
        <v>Jul 2012</v>
      </c>
    </row>
    <row r="1347" spans="1:5" ht="10.199999999999999" x14ac:dyDescent="0.25">
      <c r="A1347" s="1">
        <v>92</v>
      </c>
      <c r="B1347" s="1" t="s">
        <v>9</v>
      </c>
      <c r="C1347" s="2">
        <v>41099</v>
      </c>
      <c r="D1347" s="3">
        <v>700</v>
      </c>
      <c r="E1347" s="1" t="str">
        <f t="shared" ref="E1347:E1410" si="21">TEXT(C1347,"mmm yyyy")</f>
        <v>Jul 2012</v>
      </c>
    </row>
    <row r="1348" spans="1:5" ht="10.199999999999999" x14ac:dyDescent="0.25">
      <c r="A1348" s="1">
        <v>92</v>
      </c>
      <c r="B1348" s="1" t="s">
        <v>9</v>
      </c>
      <c r="C1348" s="2">
        <v>41101</v>
      </c>
      <c r="D1348" s="3">
        <v>700</v>
      </c>
      <c r="E1348" s="1" t="str">
        <f t="shared" si="21"/>
        <v>Jul 2012</v>
      </c>
    </row>
    <row r="1349" spans="1:5" ht="10.199999999999999" x14ac:dyDescent="0.25">
      <c r="A1349" s="1">
        <v>92</v>
      </c>
      <c r="B1349" s="1" t="s">
        <v>9</v>
      </c>
      <c r="C1349" s="2">
        <v>41103</v>
      </c>
      <c r="D1349" s="3">
        <v>700</v>
      </c>
      <c r="E1349" s="1" t="str">
        <f t="shared" si="21"/>
        <v>Jul 2012</v>
      </c>
    </row>
    <row r="1350" spans="1:5" ht="10.199999999999999" x14ac:dyDescent="0.25">
      <c r="A1350" s="1">
        <v>92</v>
      </c>
      <c r="B1350" s="1" t="s">
        <v>9</v>
      </c>
      <c r="C1350" s="2">
        <v>41106</v>
      </c>
      <c r="D1350" s="3">
        <v>700</v>
      </c>
      <c r="E1350" s="1" t="str">
        <f t="shared" si="21"/>
        <v>Jul 2012</v>
      </c>
    </row>
    <row r="1351" spans="1:5" ht="10.199999999999999" x14ac:dyDescent="0.25">
      <c r="A1351" s="1">
        <v>92</v>
      </c>
      <c r="B1351" s="1" t="s">
        <v>9</v>
      </c>
      <c r="C1351" s="2">
        <v>41108</v>
      </c>
      <c r="D1351" s="3">
        <v>700</v>
      </c>
      <c r="E1351" s="1" t="str">
        <f t="shared" si="21"/>
        <v>Jul 2012</v>
      </c>
    </row>
    <row r="1352" spans="1:5" ht="10.199999999999999" x14ac:dyDescent="0.25">
      <c r="A1352" s="1">
        <v>92</v>
      </c>
      <c r="B1352" s="1" t="s">
        <v>9</v>
      </c>
      <c r="C1352" s="2">
        <v>41110</v>
      </c>
      <c r="D1352" s="3">
        <v>700</v>
      </c>
      <c r="E1352" s="1" t="str">
        <f t="shared" si="21"/>
        <v>Jul 2012</v>
      </c>
    </row>
    <row r="1353" spans="1:5" ht="10.199999999999999" x14ac:dyDescent="0.25">
      <c r="A1353" s="1">
        <v>92</v>
      </c>
      <c r="B1353" s="1" t="s">
        <v>9</v>
      </c>
      <c r="C1353" s="2">
        <v>41113</v>
      </c>
      <c r="D1353" s="3">
        <v>700</v>
      </c>
      <c r="E1353" s="1" t="str">
        <f t="shared" si="21"/>
        <v>Jul 2012</v>
      </c>
    </row>
    <row r="1354" spans="1:5" ht="10.199999999999999" x14ac:dyDescent="0.25">
      <c r="A1354" s="1">
        <v>92</v>
      </c>
      <c r="B1354" s="1" t="s">
        <v>9</v>
      </c>
      <c r="C1354" s="2">
        <v>41115</v>
      </c>
      <c r="D1354" s="3">
        <v>700</v>
      </c>
      <c r="E1354" s="1" t="str">
        <f t="shared" si="21"/>
        <v>Jul 2012</v>
      </c>
    </row>
    <row r="1355" spans="1:5" ht="10.199999999999999" x14ac:dyDescent="0.25">
      <c r="A1355" s="1">
        <v>92</v>
      </c>
      <c r="B1355" s="1" t="s">
        <v>9</v>
      </c>
      <c r="C1355" s="2">
        <v>41116</v>
      </c>
      <c r="D1355" s="3">
        <v>700</v>
      </c>
      <c r="E1355" s="1" t="str">
        <f t="shared" si="21"/>
        <v>Jul 2012</v>
      </c>
    </row>
    <row r="1356" spans="1:5" ht="10.199999999999999" x14ac:dyDescent="0.25">
      <c r="A1356" s="1">
        <v>92</v>
      </c>
      <c r="B1356" s="1" t="s">
        <v>9</v>
      </c>
      <c r="C1356" s="2">
        <v>41120</v>
      </c>
      <c r="D1356" s="3">
        <v>700</v>
      </c>
      <c r="E1356" s="1" t="str">
        <f t="shared" si="21"/>
        <v>Jul 2012</v>
      </c>
    </row>
    <row r="1357" spans="1:5" ht="10.199999999999999" x14ac:dyDescent="0.25">
      <c r="A1357" s="1">
        <v>92</v>
      </c>
      <c r="B1357" s="1" t="s">
        <v>9</v>
      </c>
      <c r="C1357" s="2">
        <v>41122</v>
      </c>
      <c r="D1357" s="3">
        <v>700</v>
      </c>
      <c r="E1357" s="1" t="str">
        <f t="shared" si="21"/>
        <v>Aug 2012</v>
      </c>
    </row>
    <row r="1358" spans="1:5" ht="10.199999999999999" x14ac:dyDescent="0.25">
      <c r="A1358" s="1">
        <v>92</v>
      </c>
      <c r="B1358" s="1" t="s">
        <v>9</v>
      </c>
      <c r="C1358" s="2">
        <v>41124</v>
      </c>
      <c r="D1358" s="3">
        <v>700</v>
      </c>
      <c r="E1358" s="1" t="str">
        <f t="shared" si="21"/>
        <v>Aug 2012</v>
      </c>
    </row>
    <row r="1359" spans="1:5" ht="10.199999999999999" x14ac:dyDescent="0.25">
      <c r="A1359" s="1">
        <v>92</v>
      </c>
      <c r="B1359" s="1" t="s">
        <v>9</v>
      </c>
      <c r="C1359" s="2">
        <v>41127</v>
      </c>
      <c r="D1359" s="3">
        <v>700</v>
      </c>
      <c r="E1359" s="1" t="str">
        <f t="shared" si="21"/>
        <v>Aug 2012</v>
      </c>
    </row>
    <row r="1360" spans="1:5" ht="10.199999999999999" x14ac:dyDescent="0.25">
      <c r="A1360" s="1">
        <v>92</v>
      </c>
      <c r="B1360" s="1" t="s">
        <v>9</v>
      </c>
      <c r="C1360" s="2">
        <v>41129</v>
      </c>
      <c r="D1360" s="3">
        <v>700</v>
      </c>
      <c r="E1360" s="1" t="str">
        <f t="shared" si="21"/>
        <v>Aug 2012</v>
      </c>
    </row>
    <row r="1361" spans="1:5" ht="10.199999999999999" x14ac:dyDescent="0.25">
      <c r="A1361" s="1">
        <v>92</v>
      </c>
      <c r="B1361" s="1" t="s">
        <v>9</v>
      </c>
      <c r="C1361" s="2">
        <v>41131</v>
      </c>
      <c r="D1361" s="3">
        <v>700</v>
      </c>
      <c r="E1361" s="1" t="str">
        <f t="shared" si="21"/>
        <v>Aug 2012</v>
      </c>
    </row>
    <row r="1362" spans="1:5" ht="10.199999999999999" x14ac:dyDescent="0.25">
      <c r="A1362" s="1">
        <v>92</v>
      </c>
      <c r="B1362" s="1" t="s">
        <v>9</v>
      </c>
      <c r="C1362" s="2">
        <v>41134</v>
      </c>
      <c r="D1362" s="3">
        <v>700</v>
      </c>
      <c r="E1362" s="1" t="str">
        <f t="shared" si="21"/>
        <v>Aug 2012</v>
      </c>
    </row>
    <row r="1363" spans="1:5" ht="10.199999999999999" x14ac:dyDescent="0.25">
      <c r="A1363" s="1">
        <v>92</v>
      </c>
      <c r="B1363" s="1" t="s">
        <v>9</v>
      </c>
      <c r="C1363" s="2">
        <v>41136</v>
      </c>
      <c r="D1363" s="3">
        <v>700</v>
      </c>
      <c r="E1363" s="1" t="str">
        <f t="shared" si="21"/>
        <v>Aug 2012</v>
      </c>
    </row>
    <row r="1364" spans="1:5" ht="10.199999999999999" x14ac:dyDescent="0.25">
      <c r="A1364" s="1">
        <v>92</v>
      </c>
      <c r="B1364" s="1" t="s">
        <v>9</v>
      </c>
      <c r="C1364" s="2">
        <v>41137</v>
      </c>
      <c r="D1364" s="3">
        <v>700</v>
      </c>
      <c r="E1364" s="1" t="str">
        <f t="shared" si="21"/>
        <v>Aug 2012</v>
      </c>
    </row>
    <row r="1365" spans="1:5" ht="10.199999999999999" x14ac:dyDescent="0.25">
      <c r="A1365" s="1">
        <v>92</v>
      </c>
      <c r="B1365" s="1" t="s">
        <v>9</v>
      </c>
      <c r="C1365" s="2">
        <v>41141</v>
      </c>
      <c r="D1365" s="3">
        <v>700</v>
      </c>
      <c r="E1365" s="1" t="str">
        <f t="shared" si="21"/>
        <v>Aug 2012</v>
      </c>
    </row>
    <row r="1366" spans="1:5" ht="10.199999999999999" x14ac:dyDescent="0.25">
      <c r="A1366" s="1">
        <v>92</v>
      </c>
      <c r="B1366" s="1" t="s">
        <v>9</v>
      </c>
      <c r="C1366" s="2">
        <v>41143</v>
      </c>
      <c r="D1366" s="3">
        <v>700</v>
      </c>
      <c r="E1366" s="1" t="str">
        <f t="shared" si="21"/>
        <v>Aug 2012</v>
      </c>
    </row>
    <row r="1367" spans="1:5" ht="10.199999999999999" x14ac:dyDescent="0.25">
      <c r="A1367" s="1">
        <v>92</v>
      </c>
      <c r="B1367" s="1" t="s">
        <v>9</v>
      </c>
      <c r="C1367" s="2">
        <v>41145</v>
      </c>
      <c r="D1367" s="3">
        <v>700</v>
      </c>
      <c r="E1367" s="1" t="str">
        <f t="shared" si="21"/>
        <v>Aug 2012</v>
      </c>
    </row>
    <row r="1368" spans="1:5" ht="10.199999999999999" x14ac:dyDescent="0.25">
      <c r="A1368" s="1">
        <v>92</v>
      </c>
      <c r="B1368" s="1" t="s">
        <v>9</v>
      </c>
      <c r="C1368" s="2">
        <v>41148</v>
      </c>
      <c r="D1368" s="3">
        <v>700</v>
      </c>
      <c r="E1368" s="1" t="str">
        <f t="shared" si="21"/>
        <v>Aug 2012</v>
      </c>
    </row>
    <row r="1369" spans="1:5" ht="10.199999999999999" x14ac:dyDescent="0.25">
      <c r="A1369" s="1">
        <v>92</v>
      </c>
      <c r="B1369" s="1" t="s">
        <v>9</v>
      </c>
      <c r="C1369" s="2">
        <v>41150</v>
      </c>
      <c r="D1369" s="3">
        <v>700</v>
      </c>
      <c r="E1369" s="1" t="str">
        <f t="shared" si="21"/>
        <v>Aug 2012</v>
      </c>
    </row>
    <row r="1370" spans="1:5" ht="10.199999999999999" x14ac:dyDescent="0.25">
      <c r="A1370" s="1">
        <v>92</v>
      </c>
      <c r="B1370" s="1" t="s">
        <v>9</v>
      </c>
      <c r="C1370" s="2">
        <v>41152</v>
      </c>
      <c r="D1370" s="3">
        <v>700</v>
      </c>
      <c r="E1370" s="1" t="str">
        <f t="shared" si="21"/>
        <v>Aug 2012</v>
      </c>
    </row>
    <row r="1371" spans="1:5" ht="10.199999999999999" x14ac:dyDescent="0.25">
      <c r="A1371" s="1">
        <v>92</v>
      </c>
      <c r="B1371" s="1" t="s">
        <v>9</v>
      </c>
      <c r="C1371" s="2">
        <v>41155</v>
      </c>
      <c r="D1371" s="3">
        <v>700</v>
      </c>
      <c r="E1371" s="1" t="str">
        <f t="shared" si="21"/>
        <v>Sep 2012</v>
      </c>
    </row>
    <row r="1372" spans="1:5" ht="10.199999999999999" x14ac:dyDescent="0.25">
      <c r="A1372" s="1">
        <v>92</v>
      </c>
      <c r="B1372" s="1" t="s">
        <v>9</v>
      </c>
      <c r="C1372" s="2">
        <v>41157</v>
      </c>
      <c r="D1372" s="3">
        <v>700</v>
      </c>
      <c r="E1372" s="1" t="str">
        <f t="shared" si="21"/>
        <v>Sep 2012</v>
      </c>
    </row>
    <row r="1373" spans="1:5" ht="10.199999999999999" x14ac:dyDescent="0.25">
      <c r="A1373" s="1">
        <v>92</v>
      </c>
      <c r="B1373" s="1" t="s">
        <v>10</v>
      </c>
      <c r="C1373" s="2">
        <v>41164</v>
      </c>
      <c r="D1373" s="3">
        <v>2</v>
      </c>
      <c r="E1373" s="1" t="str">
        <f t="shared" si="21"/>
        <v>Sep 2012</v>
      </c>
    </row>
    <row r="1374" spans="1:5" ht="10.199999999999999" x14ac:dyDescent="0.25">
      <c r="A1374" s="1">
        <v>92</v>
      </c>
      <c r="B1374" s="1" t="s">
        <v>10</v>
      </c>
      <c r="C1374" s="2">
        <v>41192</v>
      </c>
      <c r="D1374" s="3">
        <v>3</v>
      </c>
      <c r="E1374" s="1" t="str">
        <f t="shared" si="21"/>
        <v>Oct 2012</v>
      </c>
    </row>
    <row r="1375" spans="1:5" ht="10.199999999999999" x14ac:dyDescent="0.25">
      <c r="A1375" s="1">
        <v>92</v>
      </c>
      <c r="B1375" s="1" t="s">
        <v>10</v>
      </c>
      <c r="C1375" s="2">
        <v>41227</v>
      </c>
      <c r="D1375" s="3">
        <v>3</v>
      </c>
      <c r="E1375" s="1" t="str">
        <f t="shared" si="21"/>
        <v>Nov 2012</v>
      </c>
    </row>
    <row r="1376" spans="1:5" ht="10.199999999999999" x14ac:dyDescent="0.25">
      <c r="A1376" s="1">
        <v>93</v>
      </c>
      <c r="B1376" s="1" t="s">
        <v>9</v>
      </c>
      <c r="C1376" s="2">
        <v>41092</v>
      </c>
      <c r="D1376" s="3">
        <v>20000</v>
      </c>
      <c r="E1376" s="1" t="str">
        <f t="shared" si="21"/>
        <v>Jul 2012</v>
      </c>
    </row>
    <row r="1377" spans="1:5" ht="10.199999999999999" x14ac:dyDescent="0.25">
      <c r="A1377" s="1">
        <v>93</v>
      </c>
      <c r="B1377" s="1" t="s">
        <v>9</v>
      </c>
      <c r="C1377" s="2">
        <v>41110</v>
      </c>
      <c r="D1377" s="3">
        <v>20000</v>
      </c>
      <c r="E1377" s="1" t="str">
        <f t="shared" si="21"/>
        <v>Jul 2012</v>
      </c>
    </row>
    <row r="1378" spans="1:5" ht="10.199999999999999" x14ac:dyDescent="0.25">
      <c r="A1378" s="1">
        <v>93</v>
      </c>
      <c r="B1378" s="1" t="s">
        <v>9</v>
      </c>
      <c r="C1378" s="2">
        <v>41136</v>
      </c>
      <c r="D1378" s="3">
        <v>20000</v>
      </c>
      <c r="E1378" s="1" t="str">
        <f t="shared" si="21"/>
        <v>Aug 2012</v>
      </c>
    </row>
    <row r="1379" spans="1:5" ht="10.199999999999999" x14ac:dyDescent="0.25">
      <c r="A1379" s="1">
        <v>93</v>
      </c>
      <c r="B1379" s="1" t="s">
        <v>9</v>
      </c>
      <c r="C1379" s="2">
        <v>41138</v>
      </c>
      <c r="D1379" s="3">
        <v>20000</v>
      </c>
      <c r="E1379" s="1" t="str">
        <f t="shared" si="21"/>
        <v>Aug 2012</v>
      </c>
    </row>
    <row r="1380" spans="1:5" ht="10.199999999999999" x14ac:dyDescent="0.25">
      <c r="A1380" s="1">
        <v>93</v>
      </c>
      <c r="B1380" s="1" t="s">
        <v>9</v>
      </c>
      <c r="C1380" s="2">
        <v>41143</v>
      </c>
      <c r="D1380" s="3">
        <v>20000</v>
      </c>
      <c r="E1380" s="1" t="str">
        <f t="shared" si="21"/>
        <v>Aug 2012</v>
      </c>
    </row>
    <row r="1381" spans="1:5" ht="10.199999999999999" x14ac:dyDescent="0.25">
      <c r="A1381" s="1">
        <v>93</v>
      </c>
      <c r="B1381" s="1" t="s">
        <v>9</v>
      </c>
      <c r="C1381" s="2">
        <v>41150</v>
      </c>
      <c r="D1381" s="3">
        <v>20000</v>
      </c>
      <c r="E1381" s="1" t="str">
        <f t="shared" si="21"/>
        <v>Aug 2012</v>
      </c>
    </row>
    <row r="1382" spans="1:5" ht="10.199999999999999" x14ac:dyDescent="0.25">
      <c r="A1382" s="1">
        <v>94</v>
      </c>
      <c r="B1382" s="1" t="s">
        <v>9</v>
      </c>
      <c r="C1382" s="2">
        <v>41092</v>
      </c>
      <c r="D1382" s="3">
        <v>4200</v>
      </c>
      <c r="E1382" s="1" t="str">
        <f t="shared" si="21"/>
        <v>Jul 2012</v>
      </c>
    </row>
    <row r="1383" spans="1:5" ht="10.199999999999999" x14ac:dyDescent="0.25">
      <c r="A1383" s="1">
        <v>94</v>
      </c>
      <c r="B1383" s="1" t="s">
        <v>9</v>
      </c>
      <c r="C1383" s="2">
        <v>41096</v>
      </c>
      <c r="D1383" s="3">
        <v>4200</v>
      </c>
      <c r="E1383" s="1" t="str">
        <f t="shared" si="21"/>
        <v>Jul 2012</v>
      </c>
    </row>
    <row r="1384" spans="1:5" ht="10.199999999999999" x14ac:dyDescent="0.25">
      <c r="A1384" s="1">
        <v>94</v>
      </c>
      <c r="B1384" s="1" t="s">
        <v>9</v>
      </c>
      <c r="C1384" s="2">
        <v>41101</v>
      </c>
      <c r="D1384" s="3">
        <v>4800</v>
      </c>
      <c r="E1384" s="1" t="str">
        <f t="shared" si="21"/>
        <v>Jul 2012</v>
      </c>
    </row>
    <row r="1385" spans="1:5" ht="10.199999999999999" x14ac:dyDescent="0.25">
      <c r="A1385" s="1">
        <v>94</v>
      </c>
      <c r="B1385" s="1" t="s">
        <v>9</v>
      </c>
      <c r="C1385" s="2">
        <v>41103</v>
      </c>
      <c r="D1385" s="3">
        <v>4800</v>
      </c>
      <c r="E1385" s="1" t="str">
        <f t="shared" si="21"/>
        <v>Jul 2012</v>
      </c>
    </row>
    <row r="1386" spans="1:5" ht="10.199999999999999" x14ac:dyDescent="0.25">
      <c r="A1386" s="1">
        <v>94</v>
      </c>
      <c r="B1386" s="1" t="s">
        <v>9</v>
      </c>
      <c r="C1386" s="2">
        <v>41106</v>
      </c>
      <c r="D1386" s="3">
        <v>4800</v>
      </c>
      <c r="E1386" s="1" t="str">
        <f t="shared" si="21"/>
        <v>Jul 2012</v>
      </c>
    </row>
    <row r="1387" spans="1:5" ht="10.199999999999999" x14ac:dyDescent="0.25">
      <c r="A1387" s="1">
        <v>94</v>
      </c>
      <c r="B1387" s="1" t="s">
        <v>9</v>
      </c>
      <c r="C1387" s="2">
        <v>41108</v>
      </c>
      <c r="D1387" s="3">
        <v>4800</v>
      </c>
      <c r="E1387" s="1" t="str">
        <f t="shared" si="21"/>
        <v>Jul 2012</v>
      </c>
    </row>
    <row r="1388" spans="1:5" ht="10.199999999999999" x14ac:dyDescent="0.25">
      <c r="A1388" s="1">
        <v>94</v>
      </c>
      <c r="B1388" s="1" t="s">
        <v>9</v>
      </c>
      <c r="C1388" s="2">
        <v>41110</v>
      </c>
      <c r="D1388" s="3">
        <v>5800</v>
      </c>
      <c r="E1388" s="1" t="str">
        <f t="shared" si="21"/>
        <v>Jul 2012</v>
      </c>
    </row>
    <row r="1389" spans="1:5" ht="10.199999999999999" x14ac:dyDescent="0.25">
      <c r="A1389" s="1">
        <v>94</v>
      </c>
      <c r="B1389" s="1" t="s">
        <v>9</v>
      </c>
      <c r="C1389" s="2">
        <v>41113</v>
      </c>
      <c r="D1389" s="3">
        <v>5800</v>
      </c>
      <c r="E1389" s="1" t="str">
        <f t="shared" si="21"/>
        <v>Jul 2012</v>
      </c>
    </row>
    <row r="1390" spans="1:5" ht="10.199999999999999" x14ac:dyDescent="0.25">
      <c r="A1390" s="1">
        <v>94</v>
      </c>
      <c r="B1390" s="1" t="s">
        <v>9</v>
      </c>
      <c r="C1390" s="2">
        <v>41115</v>
      </c>
      <c r="D1390" s="3">
        <v>5800</v>
      </c>
      <c r="E1390" s="1" t="str">
        <f t="shared" si="21"/>
        <v>Jul 2012</v>
      </c>
    </row>
    <row r="1391" spans="1:5" ht="10.199999999999999" x14ac:dyDescent="0.25">
      <c r="A1391" s="1">
        <v>94</v>
      </c>
      <c r="B1391" s="1" t="s">
        <v>9</v>
      </c>
      <c r="C1391" s="2">
        <v>41117</v>
      </c>
      <c r="D1391" s="3">
        <v>5800</v>
      </c>
      <c r="E1391" s="1" t="str">
        <f t="shared" si="21"/>
        <v>Jul 2012</v>
      </c>
    </row>
    <row r="1392" spans="1:5" ht="10.199999999999999" x14ac:dyDescent="0.25">
      <c r="A1392" s="1">
        <v>94</v>
      </c>
      <c r="B1392" s="1" t="s">
        <v>9</v>
      </c>
      <c r="C1392" s="2">
        <v>41120</v>
      </c>
      <c r="D1392" s="3">
        <v>5800</v>
      </c>
      <c r="E1392" s="1" t="str">
        <f t="shared" si="21"/>
        <v>Jul 2012</v>
      </c>
    </row>
    <row r="1393" spans="1:5" ht="10.199999999999999" x14ac:dyDescent="0.25">
      <c r="A1393" s="1">
        <v>94</v>
      </c>
      <c r="B1393" s="1" t="s">
        <v>9</v>
      </c>
      <c r="C1393" s="2">
        <v>41122</v>
      </c>
      <c r="D1393" s="3">
        <v>5800</v>
      </c>
      <c r="E1393" s="1" t="str">
        <f t="shared" si="21"/>
        <v>Aug 2012</v>
      </c>
    </row>
    <row r="1394" spans="1:5" ht="10.199999999999999" x14ac:dyDescent="0.25">
      <c r="A1394" s="1">
        <v>94</v>
      </c>
      <c r="B1394" s="1" t="s">
        <v>9</v>
      </c>
      <c r="C1394" s="2">
        <v>41124</v>
      </c>
      <c r="D1394" s="3">
        <v>6400</v>
      </c>
      <c r="E1394" s="1" t="str">
        <f t="shared" si="21"/>
        <v>Aug 2012</v>
      </c>
    </row>
    <row r="1395" spans="1:5" ht="10.199999999999999" x14ac:dyDescent="0.25">
      <c r="A1395" s="1">
        <v>94</v>
      </c>
      <c r="B1395" s="1" t="s">
        <v>9</v>
      </c>
      <c r="C1395" s="2">
        <v>41127</v>
      </c>
      <c r="D1395" s="3">
        <v>6400</v>
      </c>
      <c r="E1395" s="1" t="str">
        <f t="shared" si="21"/>
        <v>Aug 2012</v>
      </c>
    </row>
    <row r="1396" spans="1:5" ht="10.199999999999999" x14ac:dyDescent="0.25">
      <c r="A1396" s="1">
        <v>94</v>
      </c>
      <c r="B1396" s="1" t="s">
        <v>9</v>
      </c>
      <c r="C1396" s="2">
        <v>41129</v>
      </c>
      <c r="D1396" s="3">
        <v>6400</v>
      </c>
      <c r="E1396" s="1" t="str">
        <f t="shared" si="21"/>
        <v>Aug 2012</v>
      </c>
    </row>
    <row r="1397" spans="1:5" ht="10.199999999999999" x14ac:dyDescent="0.25">
      <c r="A1397" s="1">
        <v>94</v>
      </c>
      <c r="B1397" s="1" t="s">
        <v>9</v>
      </c>
      <c r="C1397" s="2">
        <v>41131</v>
      </c>
      <c r="D1397" s="3">
        <v>6400</v>
      </c>
      <c r="E1397" s="1" t="str">
        <f t="shared" si="21"/>
        <v>Aug 2012</v>
      </c>
    </row>
    <row r="1398" spans="1:5" ht="10.199999999999999" x14ac:dyDescent="0.25">
      <c r="A1398" s="1">
        <v>94</v>
      </c>
      <c r="B1398" s="1" t="s">
        <v>9</v>
      </c>
      <c r="C1398" s="2">
        <v>41134</v>
      </c>
      <c r="D1398" s="3">
        <v>6400</v>
      </c>
      <c r="E1398" s="1" t="str">
        <f t="shared" si="21"/>
        <v>Aug 2012</v>
      </c>
    </row>
    <row r="1399" spans="1:5" ht="10.199999999999999" x14ac:dyDescent="0.25">
      <c r="A1399" s="1">
        <v>94</v>
      </c>
      <c r="B1399" s="1" t="s">
        <v>9</v>
      </c>
      <c r="C1399" s="2">
        <v>41136</v>
      </c>
      <c r="D1399" s="3">
        <v>6400</v>
      </c>
      <c r="E1399" s="1" t="str">
        <f t="shared" si="21"/>
        <v>Aug 2012</v>
      </c>
    </row>
    <row r="1400" spans="1:5" ht="10.199999999999999" x14ac:dyDescent="0.25">
      <c r="A1400" s="1">
        <v>94</v>
      </c>
      <c r="B1400" s="1" t="s">
        <v>9</v>
      </c>
      <c r="C1400" s="2">
        <v>41138</v>
      </c>
      <c r="D1400" s="3">
        <v>6400</v>
      </c>
      <c r="E1400" s="1" t="str">
        <f t="shared" si="21"/>
        <v>Aug 2012</v>
      </c>
    </row>
    <row r="1401" spans="1:5" ht="10.199999999999999" x14ac:dyDescent="0.25">
      <c r="A1401" s="1">
        <v>94</v>
      </c>
      <c r="B1401" s="1" t="s">
        <v>9</v>
      </c>
      <c r="C1401" s="2">
        <v>41141</v>
      </c>
      <c r="D1401" s="3">
        <v>6400</v>
      </c>
      <c r="E1401" s="1" t="str">
        <f t="shared" si="21"/>
        <v>Aug 2012</v>
      </c>
    </row>
    <row r="1402" spans="1:5" ht="10.199999999999999" x14ac:dyDescent="0.25">
      <c r="A1402" s="1">
        <v>94</v>
      </c>
      <c r="B1402" s="1" t="s">
        <v>9</v>
      </c>
      <c r="C1402" s="2">
        <v>41143</v>
      </c>
      <c r="D1402" s="3">
        <v>6400</v>
      </c>
      <c r="E1402" s="1" t="str">
        <f t="shared" si="21"/>
        <v>Aug 2012</v>
      </c>
    </row>
    <row r="1403" spans="1:5" ht="10.199999999999999" x14ac:dyDescent="0.25">
      <c r="A1403" s="1">
        <v>94</v>
      </c>
      <c r="B1403" s="1" t="s">
        <v>9</v>
      </c>
      <c r="C1403" s="2">
        <v>41145</v>
      </c>
      <c r="D1403" s="3">
        <v>6400</v>
      </c>
      <c r="E1403" s="1" t="str">
        <f t="shared" si="21"/>
        <v>Aug 2012</v>
      </c>
    </row>
    <row r="1404" spans="1:5" ht="10.199999999999999" x14ac:dyDescent="0.25">
      <c r="A1404" s="1">
        <v>94</v>
      </c>
      <c r="B1404" s="1" t="s">
        <v>9</v>
      </c>
      <c r="C1404" s="2">
        <v>41148</v>
      </c>
      <c r="D1404" s="3">
        <v>6400</v>
      </c>
      <c r="E1404" s="1" t="str">
        <f t="shared" si="21"/>
        <v>Aug 2012</v>
      </c>
    </row>
    <row r="1405" spans="1:5" ht="10.199999999999999" x14ac:dyDescent="0.25">
      <c r="A1405" s="1">
        <v>94</v>
      </c>
      <c r="B1405" s="1" t="s">
        <v>9</v>
      </c>
      <c r="C1405" s="2">
        <v>41150</v>
      </c>
      <c r="D1405" s="3">
        <v>6400</v>
      </c>
      <c r="E1405" s="1" t="str">
        <f t="shared" si="21"/>
        <v>Aug 2012</v>
      </c>
    </row>
    <row r="1406" spans="1:5" ht="10.199999999999999" x14ac:dyDescent="0.25">
      <c r="A1406" s="1">
        <v>94</v>
      </c>
      <c r="B1406" s="1" t="s">
        <v>9</v>
      </c>
      <c r="C1406" s="2">
        <v>41152</v>
      </c>
      <c r="D1406" s="3">
        <v>6400</v>
      </c>
      <c r="E1406" s="1" t="str">
        <f t="shared" si="21"/>
        <v>Aug 2012</v>
      </c>
    </row>
    <row r="1407" spans="1:5" ht="10.199999999999999" x14ac:dyDescent="0.25">
      <c r="A1407" s="1">
        <v>94</v>
      </c>
      <c r="B1407" s="1" t="s">
        <v>9</v>
      </c>
      <c r="C1407" s="2">
        <v>41155</v>
      </c>
      <c r="D1407" s="3">
        <v>6400</v>
      </c>
      <c r="E1407" s="1" t="str">
        <f t="shared" si="21"/>
        <v>Sep 2012</v>
      </c>
    </row>
    <row r="1408" spans="1:5" ht="10.199999999999999" x14ac:dyDescent="0.25">
      <c r="A1408" s="1">
        <v>94</v>
      </c>
      <c r="B1408" s="1" t="s">
        <v>9</v>
      </c>
      <c r="C1408" s="2">
        <v>41157</v>
      </c>
      <c r="D1408" s="3">
        <v>6400</v>
      </c>
      <c r="E1408" s="1" t="str">
        <f t="shared" si="21"/>
        <v>Sep 2012</v>
      </c>
    </row>
    <row r="1409" spans="1:5" ht="10.199999999999999" x14ac:dyDescent="0.25">
      <c r="A1409" s="1">
        <v>94</v>
      </c>
      <c r="B1409" s="1" t="s">
        <v>10</v>
      </c>
      <c r="C1409" s="2">
        <v>41164</v>
      </c>
      <c r="D1409" s="3">
        <v>10</v>
      </c>
      <c r="E1409" s="1" t="str">
        <f t="shared" si="21"/>
        <v>Sep 2012</v>
      </c>
    </row>
    <row r="1410" spans="1:5" ht="10.199999999999999" x14ac:dyDescent="0.25">
      <c r="A1410" s="1">
        <v>94</v>
      </c>
      <c r="B1410" s="1" t="s">
        <v>10</v>
      </c>
      <c r="C1410" s="2">
        <v>41227</v>
      </c>
      <c r="D1410" s="3">
        <v>1</v>
      </c>
      <c r="E1410" s="1" t="str">
        <f t="shared" si="21"/>
        <v>Nov 2012</v>
      </c>
    </row>
    <row r="1411" spans="1:5" ht="10.199999999999999" x14ac:dyDescent="0.25">
      <c r="A1411" s="1">
        <v>95</v>
      </c>
      <c r="B1411" s="1" t="s">
        <v>9</v>
      </c>
      <c r="C1411" s="2">
        <v>41125</v>
      </c>
      <c r="D1411" s="3">
        <v>3000</v>
      </c>
      <c r="E1411" s="1" t="str">
        <f t="shared" ref="E1411:E1474" si="22">TEXT(C1411,"mmm yyyy")</f>
        <v>Aug 2012</v>
      </c>
    </row>
    <row r="1412" spans="1:5" ht="10.199999999999999" x14ac:dyDescent="0.25">
      <c r="A1412" s="1">
        <v>95</v>
      </c>
      <c r="B1412" s="1" t="s">
        <v>9</v>
      </c>
      <c r="C1412" s="2">
        <v>41128</v>
      </c>
      <c r="D1412" s="3">
        <v>3000</v>
      </c>
      <c r="E1412" s="1" t="str">
        <f t="shared" si="22"/>
        <v>Aug 2012</v>
      </c>
    </row>
    <row r="1413" spans="1:5" ht="10.199999999999999" x14ac:dyDescent="0.25">
      <c r="A1413" s="1">
        <v>95</v>
      </c>
      <c r="B1413" s="1" t="s">
        <v>9</v>
      </c>
      <c r="C1413" s="2">
        <v>41130</v>
      </c>
      <c r="D1413" s="3">
        <v>3000</v>
      </c>
      <c r="E1413" s="1" t="str">
        <f t="shared" si="22"/>
        <v>Aug 2012</v>
      </c>
    </row>
    <row r="1414" spans="1:5" ht="10.199999999999999" x14ac:dyDescent="0.25">
      <c r="A1414" s="1">
        <v>95</v>
      </c>
      <c r="B1414" s="1" t="s">
        <v>9</v>
      </c>
      <c r="C1414" s="2">
        <v>41132</v>
      </c>
      <c r="D1414" s="3">
        <v>3000</v>
      </c>
      <c r="E1414" s="1" t="str">
        <f t="shared" si="22"/>
        <v>Aug 2012</v>
      </c>
    </row>
    <row r="1415" spans="1:5" ht="10.199999999999999" x14ac:dyDescent="0.25">
      <c r="A1415" s="1">
        <v>95</v>
      </c>
      <c r="B1415" s="1" t="s">
        <v>9</v>
      </c>
      <c r="C1415" s="2">
        <v>41135</v>
      </c>
      <c r="D1415" s="3">
        <v>3000</v>
      </c>
      <c r="E1415" s="1" t="str">
        <f t="shared" si="22"/>
        <v>Aug 2012</v>
      </c>
    </row>
    <row r="1416" spans="1:5" ht="10.199999999999999" x14ac:dyDescent="0.25">
      <c r="A1416" s="1">
        <v>95</v>
      </c>
      <c r="B1416" s="1" t="s">
        <v>9</v>
      </c>
      <c r="C1416" s="2">
        <v>41137</v>
      </c>
      <c r="D1416" s="3">
        <v>3000</v>
      </c>
      <c r="E1416" s="1" t="str">
        <f t="shared" si="22"/>
        <v>Aug 2012</v>
      </c>
    </row>
    <row r="1417" spans="1:5" ht="10.199999999999999" x14ac:dyDescent="0.25">
      <c r="A1417" s="1">
        <v>95</v>
      </c>
      <c r="B1417" s="1" t="s">
        <v>9</v>
      </c>
      <c r="C1417" s="2">
        <v>41139</v>
      </c>
      <c r="D1417" s="3">
        <v>3600</v>
      </c>
      <c r="E1417" s="1" t="str">
        <f t="shared" si="22"/>
        <v>Aug 2012</v>
      </c>
    </row>
    <row r="1418" spans="1:5" ht="10.199999999999999" x14ac:dyDescent="0.25">
      <c r="A1418" s="1">
        <v>95</v>
      </c>
      <c r="B1418" s="1" t="s">
        <v>9</v>
      </c>
      <c r="C1418" s="2">
        <v>41142</v>
      </c>
      <c r="D1418" s="3">
        <v>3600</v>
      </c>
      <c r="E1418" s="1" t="str">
        <f t="shared" si="22"/>
        <v>Aug 2012</v>
      </c>
    </row>
    <row r="1419" spans="1:5" ht="10.199999999999999" x14ac:dyDescent="0.25">
      <c r="A1419" s="1">
        <v>95</v>
      </c>
      <c r="B1419" s="1" t="s">
        <v>9</v>
      </c>
      <c r="C1419" s="2">
        <v>41144</v>
      </c>
      <c r="D1419" s="3">
        <v>3600</v>
      </c>
      <c r="E1419" s="1" t="str">
        <f t="shared" si="22"/>
        <v>Aug 2012</v>
      </c>
    </row>
    <row r="1420" spans="1:5" ht="10.199999999999999" x14ac:dyDescent="0.25">
      <c r="A1420" s="1">
        <v>96</v>
      </c>
      <c r="B1420" s="1" t="s">
        <v>9</v>
      </c>
      <c r="C1420" s="2">
        <v>41097</v>
      </c>
      <c r="D1420" s="3">
        <v>1200</v>
      </c>
      <c r="E1420" s="1" t="str">
        <f t="shared" si="22"/>
        <v>Jul 2012</v>
      </c>
    </row>
    <row r="1421" spans="1:5" ht="10.199999999999999" x14ac:dyDescent="0.25">
      <c r="A1421" s="1">
        <v>96</v>
      </c>
      <c r="B1421" s="1" t="s">
        <v>9</v>
      </c>
      <c r="C1421" s="2">
        <v>41100</v>
      </c>
      <c r="D1421" s="3">
        <v>1200</v>
      </c>
      <c r="E1421" s="1" t="str">
        <f t="shared" si="22"/>
        <v>Jul 2012</v>
      </c>
    </row>
    <row r="1422" spans="1:5" ht="10.199999999999999" x14ac:dyDescent="0.25">
      <c r="A1422" s="1">
        <v>96</v>
      </c>
      <c r="B1422" s="1" t="s">
        <v>9</v>
      </c>
      <c r="C1422" s="2">
        <v>41102</v>
      </c>
      <c r="D1422" s="3">
        <v>1200</v>
      </c>
      <c r="E1422" s="1" t="str">
        <f t="shared" si="22"/>
        <v>Jul 2012</v>
      </c>
    </row>
    <row r="1423" spans="1:5" ht="10.199999999999999" x14ac:dyDescent="0.25">
      <c r="A1423" s="1">
        <v>96</v>
      </c>
      <c r="B1423" s="1" t="s">
        <v>9</v>
      </c>
      <c r="C1423" s="2">
        <v>41104</v>
      </c>
      <c r="D1423" s="3">
        <v>1200</v>
      </c>
      <c r="E1423" s="1" t="str">
        <f t="shared" si="22"/>
        <v>Jul 2012</v>
      </c>
    </row>
    <row r="1424" spans="1:5" ht="10.199999999999999" x14ac:dyDescent="0.25">
      <c r="A1424" s="1">
        <v>96</v>
      </c>
      <c r="B1424" s="1" t="s">
        <v>9</v>
      </c>
      <c r="C1424" s="2">
        <v>41107</v>
      </c>
      <c r="D1424" s="3">
        <v>1200</v>
      </c>
      <c r="E1424" s="1" t="str">
        <f t="shared" si="22"/>
        <v>Jul 2012</v>
      </c>
    </row>
    <row r="1425" spans="1:5" ht="10.199999999999999" x14ac:dyDescent="0.25">
      <c r="A1425" s="1">
        <v>96</v>
      </c>
      <c r="B1425" s="1" t="s">
        <v>9</v>
      </c>
      <c r="C1425" s="2">
        <v>41109</v>
      </c>
      <c r="D1425" s="3">
        <v>1200</v>
      </c>
      <c r="E1425" s="1" t="str">
        <f t="shared" si="22"/>
        <v>Jul 2012</v>
      </c>
    </row>
    <row r="1426" spans="1:5" ht="10.199999999999999" x14ac:dyDescent="0.25">
      <c r="A1426" s="1">
        <v>96</v>
      </c>
      <c r="B1426" s="1" t="s">
        <v>9</v>
      </c>
      <c r="C1426" s="2">
        <v>41111</v>
      </c>
      <c r="D1426" s="3">
        <v>1200</v>
      </c>
      <c r="E1426" s="1" t="str">
        <f t="shared" si="22"/>
        <v>Jul 2012</v>
      </c>
    </row>
    <row r="1427" spans="1:5" ht="10.199999999999999" x14ac:dyDescent="0.25">
      <c r="A1427" s="1">
        <v>96</v>
      </c>
      <c r="B1427" s="1" t="s">
        <v>9</v>
      </c>
      <c r="C1427" s="2">
        <v>41114</v>
      </c>
      <c r="D1427" s="3">
        <v>1200</v>
      </c>
      <c r="E1427" s="1" t="str">
        <f t="shared" si="22"/>
        <v>Jul 2012</v>
      </c>
    </row>
    <row r="1428" spans="1:5" ht="10.199999999999999" x14ac:dyDescent="0.25">
      <c r="A1428" s="1">
        <v>96</v>
      </c>
      <c r="B1428" s="1" t="s">
        <v>9</v>
      </c>
      <c r="C1428" s="2">
        <v>41116</v>
      </c>
      <c r="D1428" s="3">
        <v>1200</v>
      </c>
      <c r="E1428" s="1" t="str">
        <f t="shared" si="22"/>
        <v>Jul 2012</v>
      </c>
    </row>
    <row r="1429" spans="1:5" ht="10.199999999999999" x14ac:dyDescent="0.25">
      <c r="A1429" s="1">
        <v>96</v>
      </c>
      <c r="B1429" s="1" t="s">
        <v>9</v>
      </c>
      <c r="C1429" s="2">
        <v>41118</v>
      </c>
      <c r="D1429" s="3">
        <v>1200</v>
      </c>
      <c r="E1429" s="1" t="str">
        <f t="shared" si="22"/>
        <v>Jul 2012</v>
      </c>
    </row>
    <row r="1430" spans="1:5" ht="10.199999999999999" x14ac:dyDescent="0.25">
      <c r="A1430" s="1">
        <v>96</v>
      </c>
      <c r="B1430" s="1" t="s">
        <v>9</v>
      </c>
      <c r="C1430" s="2">
        <v>41121</v>
      </c>
      <c r="D1430" s="3">
        <v>1200</v>
      </c>
      <c r="E1430" s="1" t="str">
        <f t="shared" si="22"/>
        <v>Jul 2012</v>
      </c>
    </row>
    <row r="1431" spans="1:5" ht="10.199999999999999" x14ac:dyDescent="0.25">
      <c r="A1431" s="1">
        <v>96</v>
      </c>
      <c r="B1431" s="1" t="s">
        <v>9</v>
      </c>
      <c r="C1431" s="2">
        <v>41123</v>
      </c>
      <c r="D1431" s="3">
        <v>1200</v>
      </c>
      <c r="E1431" s="1" t="str">
        <f t="shared" si="22"/>
        <v>Aug 2012</v>
      </c>
    </row>
    <row r="1432" spans="1:5" ht="10.199999999999999" x14ac:dyDescent="0.25">
      <c r="A1432" s="1">
        <v>96</v>
      </c>
      <c r="B1432" s="1" t="s">
        <v>9</v>
      </c>
      <c r="C1432" s="2">
        <v>41125</v>
      </c>
      <c r="D1432" s="3">
        <v>1200</v>
      </c>
      <c r="E1432" s="1" t="str">
        <f t="shared" si="22"/>
        <v>Aug 2012</v>
      </c>
    </row>
    <row r="1433" spans="1:5" ht="10.199999999999999" x14ac:dyDescent="0.25">
      <c r="A1433" s="1">
        <v>96</v>
      </c>
      <c r="B1433" s="1" t="s">
        <v>9</v>
      </c>
      <c r="C1433" s="2">
        <v>41128</v>
      </c>
      <c r="D1433" s="3">
        <v>1200</v>
      </c>
      <c r="E1433" s="1" t="str">
        <f t="shared" si="22"/>
        <v>Aug 2012</v>
      </c>
    </row>
    <row r="1434" spans="1:5" ht="10.199999999999999" x14ac:dyDescent="0.25">
      <c r="A1434" s="1">
        <v>96</v>
      </c>
      <c r="B1434" s="1" t="s">
        <v>9</v>
      </c>
      <c r="C1434" s="2">
        <v>41130</v>
      </c>
      <c r="D1434" s="3">
        <v>1200</v>
      </c>
      <c r="E1434" s="1" t="str">
        <f t="shared" si="22"/>
        <v>Aug 2012</v>
      </c>
    </row>
    <row r="1435" spans="1:5" ht="10.199999999999999" x14ac:dyDescent="0.25">
      <c r="A1435" s="1">
        <v>96</v>
      </c>
      <c r="B1435" s="1" t="s">
        <v>9</v>
      </c>
      <c r="C1435" s="2">
        <v>41132</v>
      </c>
      <c r="D1435" s="3">
        <v>1200</v>
      </c>
      <c r="E1435" s="1" t="str">
        <f t="shared" si="22"/>
        <v>Aug 2012</v>
      </c>
    </row>
    <row r="1436" spans="1:5" ht="10.199999999999999" x14ac:dyDescent="0.25">
      <c r="A1436" s="1">
        <v>96</v>
      </c>
      <c r="B1436" s="1" t="s">
        <v>9</v>
      </c>
      <c r="C1436" s="2">
        <v>41135</v>
      </c>
      <c r="D1436" s="3">
        <v>1200</v>
      </c>
      <c r="E1436" s="1" t="str">
        <f t="shared" si="22"/>
        <v>Aug 2012</v>
      </c>
    </row>
    <row r="1437" spans="1:5" ht="10.199999999999999" x14ac:dyDescent="0.25">
      <c r="A1437" s="1">
        <v>96</v>
      </c>
      <c r="B1437" s="1" t="s">
        <v>9</v>
      </c>
      <c r="C1437" s="2">
        <v>41137</v>
      </c>
      <c r="D1437" s="3">
        <v>1200</v>
      </c>
      <c r="E1437" s="1" t="str">
        <f t="shared" si="22"/>
        <v>Aug 2012</v>
      </c>
    </row>
    <row r="1438" spans="1:5" ht="10.199999999999999" x14ac:dyDescent="0.25">
      <c r="A1438" s="1">
        <v>96</v>
      </c>
      <c r="B1438" s="1" t="s">
        <v>9</v>
      </c>
      <c r="C1438" s="2">
        <v>41139</v>
      </c>
      <c r="D1438" s="3">
        <v>1700</v>
      </c>
      <c r="E1438" s="1" t="str">
        <f t="shared" si="22"/>
        <v>Aug 2012</v>
      </c>
    </row>
    <row r="1439" spans="1:5" ht="10.199999999999999" x14ac:dyDescent="0.25">
      <c r="A1439" s="1">
        <v>96</v>
      </c>
      <c r="B1439" s="1" t="s">
        <v>9</v>
      </c>
      <c r="C1439" s="2">
        <v>41142</v>
      </c>
      <c r="D1439" s="3">
        <v>1700</v>
      </c>
      <c r="E1439" s="1" t="str">
        <f t="shared" si="22"/>
        <v>Aug 2012</v>
      </c>
    </row>
    <row r="1440" spans="1:5" ht="10.199999999999999" x14ac:dyDescent="0.25">
      <c r="A1440" s="1">
        <v>96</v>
      </c>
      <c r="B1440" s="1" t="s">
        <v>9</v>
      </c>
      <c r="C1440" s="2">
        <v>41144</v>
      </c>
      <c r="D1440" s="3">
        <v>1700</v>
      </c>
      <c r="E1440" s="1" t="str">
        <f t="shared" si="22"/>
        <v>Aug 2012</v>
      </c>
    </row>
    <row r="1441" spans="1:5" ht="10.199999999999999" x14ac:dyDescent="0.25">
      <c r="A1441" s="1">
        <v>96</v>
      </c>
      <c r="B1441" s="1" t="s">
        <v>9</v>
      </c>
      <c r="C1441" s="2">
        <v>41146</v>
      </c>
      <c r="D1441" s="3">
        <v>1700</v>
      </c>
      <c r="E1441" s="1" t="str">
        <f t="shared" si="22"/>
        <v>Aug 2012</v>
      </c>
    </row>
    <row r="1442" spans="1:5" ht="10.199999999999999" x14ac:dyDescent="0.25">
      <c r="A1442" s="1">
        <v>96</v>
      </c>
      <c r="B1442" s="1" t="s">
        <v>9</v>
      </c>
      <c r="C1442" s="2">
        <v>41149</v>
      </c>
      <c r="D1442" s="3">
        <v>1700</v>
      </c>
      <c r="E1442" s="1" t="str">
        <f t="shared" si="22"/>
        <v>Aug 2012</v>
      </c>
    </row>
    <row r="1443" spans="1:5" ht="10.199999999999999" x14ac:dyDescent="0.25">
      <c r="A1443" s="1">
        <v>96</v>
      </c>
      <c r="B1443" s="1" t="s">
        <v>9</v>
      </c>
      <c r="C1443" s="2">
        <v>41151</v>
      </c>
      <c r="D1443" s="3">
        <v>1700</v>
      </c>
      <c r="E1443" s="1" t="str">
        <f t="shared" si="22"/>
        <v>Aug 2012</v>
      </c>
    </row>
    <row r="1444" spans="1:5" ht="10.199999999999999" x14ac:dyDescent="0.25">
      <c r="A1444" s="1">
        <v>96</v>
      </c>
      <c r="B1444" s="1" t="s">
        <v>9</v>
      </c>
      <c r="C1444" s="2">
        <v>41153</v>
      </c>
      <c r="D1444" s="3">
        <v>1700</v>
      </c>
      <c r="E1444" s="1" t="str">
        <f t="shared" si="22"/>
        <v>Sep 2012</v>
      </c>
    </row>
    <row r="1445" spans="1:5" ht="10.199999999999999" x14ac:dyDescent="0.25">
      <c r="A1445" s="1">
        <v>96</v>
      </c>
      <c r="B1445" s="1" t="s">
        <v>9</v>
      </c>
      <c r="C1445" s="2">
        <v>41156</v>
      </c>
      <c r="D1445" s="3">
        <v>1700</v>
      </c>
      <c r="E1445" s="1" t="str">
        <f t="shared" si="22"/>
        <v>Sep 2012</v>
      </c>
    </row>
    <row r="1446" spans="1:5" ht="10.199999999999999" x14ac:dyDescent="0.25">
      <c r="A1446" s="1">
        <v>96</v>
      </c>
      <c r="B1446" s="1" t="s">
        <v>9</v>
      </c>
      <c r="C1446" s="2">
        <v>41158</v>
      </c>
      <c r="D1446" s="3">
        <v>1700</v>
      </c>
      <c r="E1446" s="1" t="str">
        <f t="shared" si="22"/>
        <v>Sep 2012</v>
      </c>
    </row>
    <row r="1447" spans="1:5" ht="10.199999999999999" x14ac:dyDescent="0.25">
      <c r="A1447" s="1">
        <v>96</v>
      </c>
      <c r="B1447" s="1" t="s">
        <v>10</v>
      </c>
      <c r="C1447" s="2">
        <v>41165</v>
      </c>
      <c r="D1447" s="3">
        <v>4</v>
      </c>
      <c r="E1447" s="1" t="str">
        <f t="shared" si="22"/>
        <v>Sep 2012</v>
      </c>
    </row>
    <row r="1448" spans="1:5" ht="10.199999999999999" x14ac:dyDescent="0.25">
      <c r="A1448" s="1">
        <v>96</v>
      </c>
      <c r="B1448" s="1" t="s">
        <v>10</v>
      </c>
      <c r="C1448" s="2">
        <v>41223</v>
      </c>
      <c r="D1448" s="3">
        <v>1</v>
      </c>
      <c r="E1448" s="1" t="str">
        <f t="shared" si="22"/>
        <v>Nov 2012</v>
      </c>
    </row>
    <row r="1449" spans="1:5" ht="10.199999999999999" x14ac:dyDescent="0.25">
      <c r="A1449" s="1">
        <v>96</v>
      </c>
      <c r="B1449" s="1" t="s">
        <v>10</v>
      </c>
      <c r="C1449" s="2">
        <v>41228</v>
      </c>
      <c r="D1449" s="3">
        <v>1</v>
      </c>
      <c r="E1449" s="1" t="str">
        <f t="shared" si="22"/>
        <v>Nov 2012</v>
      </c>
    </row>
    <row r="1450" spans="1:5" ht="10.199999999999999" x14ac:dyDescent="0.25">
      <c r="A1450" s="1">
        <v>97</v>
      </c>
      <c r="B1450" s="1" t="s">
        <v>9</v>
      </c>
      <c r="C1450" s="2">
        <v>41124</v>
      </c>
      <c r="D1450" s="3">
        <v>1400</v>
      </c>
      <c r="E1450" s="1" t="str">
        <f t="shared" si="22"/>
        <v>Aug 2012</v>
      </c>
    </row>
    <row r="1451" spans="1:5" ht="10.199999999999999" x14ac:dyDescent="0.25">
      <c r="A1451" s="1">
        <v>97</v>
      </c>
      <c r="B1451" s="1" t="s">
        <v>9</v>
      </c>
      <c r="C1451" s="2">
        <v>41131</v>
      </c>
      <c r="D1451" s="3">
        <v>1400</v>
      </c>
      <c r="E1451" s="1" t="str">
        <f t="shared" si="22"/>
        <v>Aug 2012</v>
      </c>
    </row>
    <row r="1452" spans="1:5" ht="10.199999999999999" x14ac:dyDescent="0.25">
      <c r="A1452" s="1">
        <v>97</v>
      </c>
      <c r="B1452" s="1" t="s">
        <v>9</v>
      </c>
      <c r="C1452" s="2">
        <v>41139</v>
      </c>
      <c r="D1452" s="3">
        <v>1400</v>
      </c>
      <c r="E1452" s="1" t="str">
        <f t="shared" si="22"/>
        <v>Aug 2012</v>
      </c>
    </row>
    <row r="1453" spans="1:5" ht="10.199999999999999" x14ac:dyDescent="0.25">
      <c r="A1453" s="1">
        <v>97</v>
      </c>
      <c r="B1453" s="1" t="s">
        <v>9</v>
      </c>
      <c r="C1453" s="2">
        <v>41152</v>
      </c>
      <c r="D1453" s="3">
        <v>1000</v>
      </c>
      <c r="E1453" s="1" t="str">
        <f t="shared" si="22"/>
        <v>Aug 2012</v>
      </c>
    </row>
    <row r="1454" spans="1:5" ht="10.199999999999999" x14ac:dyDescent="0.25">
      <c r="A1454" s="1">
        <v>97</v>
      </c>
      <c r="B1454" s="1" t="s">
        <v>9</v>
      </c>
      <c r="C1454" s="2">
        <v>41155</v>
      </c>
      <c r="D1454" s="3">
        <v>1000</v>
      </c>
      <c r="E1454" s="1" t="str">
        <f t="shared" si="22"/>
        <v>Sep 2012</v>
      </c>
    </row>
    <row r="1455" spans="1:5" ht="10.199999999999999" x14ac:dyDescent="0.25">
      <c r="A1455" s="1">
        <v>97</v>
      </c>
      <c r="B1455" s="1" t="s">
        <v>9</v>
      </c>
      <c r="C1455" s="2">
        <v>41157</v>
      </c>
      <c r="D1455" s="3">
        <v>1000</v>
      </c>
      <c r="E1455" s="1" t="str">
        <f t="shared" si="22"/>
        <v>Sep 2012</v>
      </c>
    </row>
    <row r="1456" spans="1:5" ht="10.199999999999999" x14ac:dyDescent="0.25">
      <c r="A1456" s="1">
        <v>97</v>
      </c>
      <c r="B1456" s="1" t="s">
        <v>10</v>
      </c>
      <c r="C1456" s="2">
        <v>41164</v>
      </c>
      <c r="D1456" s="3">
        <v>3</v>
      </c>
      <c r="E1456" s="1" t="str">
        <f t="shared" si="22"/>
        <v>Sep 2012</v>
      </c>
    </row>
    <row r="1457" spans="1:5" ht="10.199999999999999" x14ac:dyDescent="0.25">
      <c r="A1457" s="1">
        <v>97</v>
      </c>
      <c r="B1457" s="1" t="s">
        <v>10</v>
      </c>
      <c r="C1457" s="2">
        <v>41192</v>
      </c>
      <c r="D1457" s="3">
        <v>3</v>
      </c>
      <c r="E1457" s="1" t="str">
        <f t="shared" si="22"/>
        <v>Oct 2012</v>
      </c>
    </row>
    <row r="1458" spans="1:5" ht="10.199999999999999" x14ac:dyDescent="0.25">
      <c r="A1458" s="1">
        <v>98</v>
      </c>
      <c r="B1458" s="1" t="s">
        <v>9</v>
      </c>
      <c r="C1458" s="2">
        <v>41095</v>
      </c>
      <c r="D1458" s="3">
        <v>20000</v>
      </c>
      <c r="E1458" s="1" t="str">
        <f t="shared" si="22"/>
        <v>Jul 2012</v>
      </c>
    </row>
    <row r="1459" spans="1:5" ht="10.199999999999999" x14ac:dyDescent="0.25">
      <c r="A1459" s="1">
        <v>98</v>
      </c>
      <c r="B1459" s="1" t="s">
        <v>9</v>
      </c>
      <c r="C1459" s="2">
        <v>41097</v>
      </c>
      <c r="D1459" s="3">
        <v>20000</v>
      </c>
      <c r="E1459" s="1" t="str">
        <f t="shared" si="22"/>
        <v>Jul 2012</v>
      </c>
    </row>
    <row r="1460" spans="1:5" ht="10.199999999999999" x14ac:dyDescent="0.25">
      <c r="A1460" s="1">
        <v>98</v>
      </c>
      <c r="B1460" s="1" t="s">
        <v>9</v>
      </c>
      <c r="C1460" s="2">
        <v>41100</v>
      </c>
      <c r="D1460" s="3">
        <v>20000</v>
      </c>
      <c r="E1460" s="1" t="str">
        <f t="shared" si="22"/>
        <v>Jul 2012</v>
      </c>
    </row>
    <row r="1461" spans="1:5" ht="10.199999999999999" x14ac:dyDescent="0.25">
      <c r="A1461" s="1">
        <v>98</v>
      </c>
      <c r="B1461" s="1" t="s">
        <v>9</v>
      </c>
      <c r="C1461" s="2">
        <v>41102</v>
      </c>
      <c r="D1461" s="3">
        <v>20000</v>
      </c>
      <c r="E1461" s="1" t="str">
        <f t="shared" si="22"/>
        <v>Jul 2012</v>
      </c>
    </row>
    <row r="1462" spans="1:5" ht="10.199999999999999" x14ac:dyDescent="0.25">
      <c r="A1462" s="1">
        <v>98</v>
      </c>
      <c r="B1462" s="1" t="s">
        <v>9</v>
      </c>
      <c r="C1462" s="2">
        <v>41104</v>
      </c>
      <c r="D1462" s="3">
        <v>20000</v>
      </c>
      <c r="E1462" s="1" t="str">
        <f t="shared" si="22"/>
        <v>Jul 2012</v>
      </c>
    </row>
    <row r="1463" spans="1:5" ht="10.199999999999999" x14ac:dyDescent="0.25">
      <c r="A1463" s="1">
        <v>98</v>
      </c>
      <c r="B1463" s="1" t="s">
        <v>9</v>
      </c>
      <c r="C1463" s="2">
        <v>41108</v>
      </c>
      <c r="D1463" s="3">
        <v>20000</v>
      </c>
      <c r="E1463" s="1" t="str">
        <f t="shared" si="22"/>
        <v>Jul 2012</v>
      </c>
    </row>
    <row r="1464" spans="1:5" ht="10.199999999999999" x14ac:dyDescent="0.25">
      <c r="A1464" s="1">
        <v>98</v>
      </c>
      <c r="B1464" s="1" t="s">
        <v>9</v>
      </c>
      <c r="C1464" s="2">
        <v>41109</v>
      </c>
      <c r="D1464" s="3">
        <v>20000</v>
      </c>
      <c r="E1464" s="1" t="str">
        <f t="shared" si="22"/>
        <v>Jul 2012</v>
      </c>
    </row>
    <row r="1465" spans="1:5" ht="10.199999999999999" x14ac:dyDescent="0.25">
      <c r="A1465" s="1">
        <v>98</v>
      </c>
      <c r="B1465" s="1" t="s">
        <v>9</v>
      </c>
      <c r="C1465" s="2">
        <v>41111</v>
      </c>
      <c r="D1465" s="3">
        <v>20000</v>
      </c>
      <c r="E1465" s="1" t="str">
        <f t="shared" si="22"/>
        <v>Jul 2012</v>
      </c>
    </row>
    <row r="1466" spans="1:5" ht="10.199999999999999" x14ac:dyDescent="0.25">
      <c r="A1466" s="1">
        <v>98</v>
      </c>
      <c r="B1466" s="1" t="s">
        <v>9</v>
      </c>
      <c r="C1466" s="2">
        <v>41115</v>
      </c>
      <c r="D1466" s="3">
        <v>20000</v>
      </c>
      <c r="E1466" s="1" t="str">
        <f t="shared" si="22"/>
        <v>Jul 2012</v>
      </c>
    </row>
    <row r="1467" spans="1:5" ht="10.199999999999999" x14ac:dyDescent="0.25">
      <c r="A1467" s="1">
        <v>98</v>
      </c>
      <c r="B1467" s="1" t="s">
        <v>9</v>
      </c>
      <c r="C1467" s="2">
        <v>41118</v>
      </c>
      <c r="D1467" s="3">
        <v>20000</v>
      </c>
      <c r="E1467" s="1" t="str">
        <f t="shared" si="22"/>
        <v>Jul 2012</v>
      </c>
    </row>
    <row r="1468" spans="1:5" ht="10.199999999999999" x14ac:dyDescent="0.25">
      <c r="A1468" s="1">
        <v>98</v>
      </c>
      <c r="B1468" s="1" t="s">
        <v>9</v>
      </c>
      <c r="C1468" s="2">
        <v>41123</v>
      </c>
      <c r="D1468" s="3">
        <v>20000</v>
      </c>
      <c r="E1468" s="1" t="str">
        <f t="shared" si="22"/>
        <v>Aug 2012</v>
      </c>
    </row>
    <row r="1469" spans="1:5" ht="10.199999999999999" x14ac:dyDescent="0.25">
      <c r="A1469" s="1">
        <v>98</v>
      </c>
      <c r="B1469" s="1" t="s">
        <v>9</v>
      </c>
      <c r="C1469" s="2">
        <v>41125</v>
      </c>
      <c r="D1469" s="3">
        <v>20000</v>
      </c>
      <c r="E1469" s="1" t="str">
        <f t="shared" si="22"/>
        <v>Aug 2012</v>
      </c>
    </row>
    <row r="1470" spans="1:5" ht="10.199999999999999" x14ac:dyDescent="0.25">
      <c r="A1470" s="1">
        <v>98</v>
      </c>
      <c r="B1470" s="1" t="s">
        <v>9</v>
      </c>
      <c r="C1470" s="2">
        <v>41128</v>
      </c>
      <c r="D1470" s="3">
        <v>20000</v>
      </c>
      <c r="E1470" s="1" t="str">
        <f t="shared" si="22"/>
        <v>Aug 2012</v>
      </c>
    </row>
    <row r="1471" spans="1:5" ht="10.199999999999999" x14ac:dyDescent="0.25">
      <c r="A1471" s="1">
        <v>98</v>
      </c>
      <c r="B1471" s="1" t="s">
        <v>9</v>
      </c>
      <c r="C1471" s="2">
        <v>41130</v>
      </c>
      <c r="D1471" s="3">
        <v>20000</v>
      </c>
      <c r="E1471" s="1" t="str">
        <f t="shared" si="22"/>
        <v>Aug 2012</v>
      </c>
    </row>
    <row r="1472" spans="1:5" ht="10.199999999999999" x14ac:dyDescent="0.25">
      <c r="A1472" s="1">
        <v>98</v>
      </c>
      <c r="B1472" s="1" t="s">
        <v>9</v>
      </c>
      <c r="C1472" s="2">
        <v>41132</v>
      </c>
      <c r="D1472" s="3">
        <v>20000</v>
      </c>
      <c r="E1472" s="1" t="str">
        <f t="shared" si="22"/>
        <v>Aug 2012</v>
      </c>
    </row>
    <row r="1473" spans="1:5" ht="10.199999999999999" x14ac:dyDescent="0.25">
      <c r="A1473" s="1">
        <v>98</v>
      </c>
      <c r="B1473" s="1" t="s">
        <v>9</v>
      </c>
      <c r="C1473" s="2">
        <v>41135</v>
      </c>
      <c r="D1473" s="3">
        <v>20000</v>
      </c>
      <c r="E1473" s="1" t="str">
        <f t="shared" si="22"/>
        <v>Aug 2012</v>
      </c>
    </row>
    <row r="1474" spans="1:5" ht="10.199999999999999" x14ac:dyDescent="0.25">
      <c r="A1474" s="1">
        <v>98</v>
      </c>
      <c r="B1474" s="1" t="s">
        <v>9</v>
      </c>
      <c r="C1474" s="2">
        <v>41137</v>
      </c>
      <c r="D1474" s="3">
        <v>20000</v>
      </c>
      <c r="E1474" s="1" t="str">
        <f t="shared" si="22"/>
        <v>Aug 2012</v>
      </c>
    </row>
    <row r="1475" spans="1:5" ht="10.199999999999999" x14ac:dyDescent="0.25">
      <c r="A1475" s="1">
        <v>98</v>
      </c>
      <c r="B1475" s="1" t="s">
        <v>9</v>
      </c>
      <c r="C1475" s="2">
        <v>41139</v>
      </c>
      <c r="D1475" s="3">
        <v>16000</v>
      </c>
      <c r="E1475" s="1" t="str">
        <f t="shared" ref="E1475:E1538" si="23">TEXT(C1475,"mmm yyyy")</f>
        <v>Aug 2012</v>
      </c>
    </row>
    <row r="1476" spans="1:5" ht="10.199999999999999" x14ac:dyDescent="0.25">
      <c r="A1476" s="1">
        <v>98</v>
      </c>
      <c r="B1476" s="1" t="s">
        <v>9</v>
      </c>
      <c r="C1476" s="2">
        <v>41142</v>
      </c>
      <c r="D1476" s="3">
        <v>16000</v>
      </c>
      <c r="E1476" s="1" t="str">
        <f t="shared" si="23"/>
        <v>Aug 2012</v>
      </c>
    </row>
    <row r="1477" spans="1:5" ht="10.199999999999999" x14ac:dyDescent="0.25">
      <c r="A1477" s="1">
        <v>98</v>
      </c>
      <c r="B1477" s="1" t="s">
        <v>9</v>
      </c>
      <c r="C1477" s="2">
        <v>41144</v>
      </c>
      <c r="D1477" s="3">
        <v>16000</v>
      </c>
      <c r="E1477" s="1" t="str">
        <f t="shared" si="23"/>
        <v>Aug 2012</v>
      </c>
    </row>
    <row r="1478" spans="1:5" ht="10.199999999999999" x14ac:dyDescent="0.25">
      <c r="A1478" s="1">
        <v>98</v>
      </c>
      <c r="B1478" s="1" t="s">
        <v>9</v>
      </c>
      <c r="C1478" s="2">
        <v>41149</v>
      </c>
      <c r="D1478" s="3">
        <v>16000</v>
      </c>
      <c r="E1478" s="1" t="str">
        <f t="shared" si="23"/>
        <v>Aug 2012</v>
      </c>
    </row>
    <row r="1479" spans="1:5" ht="10.199999999999999" x14ac:dyDescent="0.25">
      <c r="A1479" s="1">
        <v>98</v>
      </c>
      <c r="B1479" s="1" t="s">
        <v>9</v>
      </c>
      <c r="C1479" s="2">
        <v>41151</v>
      </c>
      <c r="D1479" s="3">
        <v>16000</v>
      </c>
      <c r="E1479" s="1" t="str">
        <f t="shared" si="23"/>
        <v>Aug 2012</v>
      </c>
    </row>
    <row r="1480" spans="1:5" ht="10.199999999999999" x14ac:dyDescent="0.25">
      <c r="A1480" s="1">
        <v>98</v>
      </c>
      <c r="B1480" s="1" t="s">
        <v>9</v>
      </c>
      <c r="C1480" s="2">
        <v>41153</v>
      </c>
      <c r="D1480" s="3">
        <v>16000</v>
      </c>
      <c r="E1480" s="1" t="str">
        <f t="shared" si="23"/>
        <v>Sep 2012</v>
      </c>
    </row>
    <row r="1481" spans="1:5" ht="10.199999999999999" x14ac:dyDescent="0.25">
      <c r="A1481" s="1">
        <v>98</v>
      </c>
      <c r="B1481" s="1" t="s">
        <v>9</v>
      </c>
      <c r="C1481" s="2">
        <v>41158</v>
      </c>
      <c r="D1481" s="3">
        <v>16000</v>
      </c>
      <c r="E1481" s="1" t="str">
        <f t="shared" si="23"/>
        <v>Sep 2012</v>
      </c>
    </row>
    <row r="1482" spans="1:5" ht="10.199999999999999" x14ac:dyDescent="0.25">
      <c r="A1482" s="1">
        <v>98</v>
      </c>
      <c r="B1482" s="1" t="s">
        <v>10</v>
      </c>
      <c r="C1482" s="2">
        <v>41179</v>
      </c>
      <c r="D1482" s="3">
        <v>3</v>
      </c>
      <c r="E1482" s="1" t="str">
        <f t="shared" si="23"/>
        <v>Sep 2012</v>
      </c>
    </row>
    <row r="1483" spans="1:5" ht="10.199999999999999" x14ac:dyDescent="0.25">
      <c r="A1483" s="1">
        <v>98</v>
      </c>
      <c r="B1483" s="1" t="s">
        <v>10</v>
      </c>
      <c r="C1483" s="2">
        <v>41193</v>
      </c>
      <c r="D1483" s="3">
        <v>3</v>
      </c>
      <c r="E1483" s="1" t="str">
        <f t="shared" si="23"/>
        <v>Oct 2012</v>
      </c>
    </row>
    <row r="1484" spans="1:5" ht="10.199999999999999" x14ac:dyDescent="0.25">
      <c r="A1484" s="1">
        <v>98</v>
      </c>
      <c r="B1484" s="1" t="s">
        <v>10</v>
      </c>
      <c r="C1484" s="2">
        <v>41228</v>
      </c>
      <c r="D1484" s="3">
        <v>5</v>
      </c>
      <c r="E1484" s="1" t="str">
        <f t="shared" si="23"/>
        <v>Nov 2012</v>
      </c>
    </row>
    <row r="1485" spans="1:5" ht="10.199999999999999" x14ac:dyDescent="0.25">
      <c r="A1485" s="1">
        <v>99</v>
      </c>
      <c r="B1485" s="1" t="s">
        <v>9</v>
      </c>
      <c r="C1485" s="2">
        <v>41092</v>
      </c>
      <c r="D1485" s="3">
        <v>2800</v>
      </c>
      <c r="E1485" s="1" t="str">
        <f t="shared" si="23"/>
        <v>Jul 2012</v>
      </c>
    </row>
    <row r="1486" spans="1:5" ht="10.199999999999999" x14ac:dyDescent="0.25">
      <c r="A1486" s="1">
        <v>99</v>
      </c>
      <c r="B1486" s="1" t="s">
        <v>9</v>
      </c>
      <c r="C1486" s="2">
        <v>41094</v>
      </c>
      <c r="D1486" s="3">
        <v>2800</v>
      </c>
      <c r="E1486" s="1" t="str">
        <f t="shared" si="23"/>
        <v>Jul 2012</v>
      </c>
    </row>
    <row r="1487" spans="1:5" ht="10.199999999999999" x14ac:dyDescent="0.25">
      <c r="A1487" s="1">
        <v>99</v>
      </c>
      <c r="B1487" s="1" t="s">
        <v>9</v>
      </c>
      <c r="C1487" s="2">
        <v>41096</v>
      </c>
      <c r="D1487" s="3">
        <v>3100</v>
      </c>
      <c r="E1487" s="1" t="str">
        <f t="shared" si="23"/>
        <v>Jul 2012</v>
      </c>
    </row>
    <row r="1488" spans="1:5" ht="10.199999999999999" x14ac:dyDescent="0.25">
      <c r="A1488" s="1">
        <v>99</v>
      </c>
      <c r="B1488" s="1" t="s">
        <v>9</v>
      </c>
      <c r="C1488" s="2">
        <v>41099</v>
      </c>
      <c r="D1488" s="3">
        <v>3100</v>
      </c>
      <c r="E1488" s="1" t="str">
        <f t="shared" si="23"/>
        <v>Jul 2012</v>
      </c>
    </row>
    <row r="1489" spans="1:5" ht="10.199999999999999" x14ac:dyDescent="0.25">
      <c r="A1489" s="1">
        <v>99</v>
      </c>
      <c r="B1489" s="1" t="s">
        <v>9</v>
      </c>
      <c r="C1489" s="2">
        <v>41101</v>
      </c>
      <c r="D1489" s="3">
        <v>3100</v>
      </c>
      <c r="E1489" s="1" t="str">
        <f t="shared" si="23"/>
        <v>Jul 2012</v>
      </c>
    </row>
    <row r="1490" spans="1:5" ht="10.199999999999999" x14ac:dyDescent="0.25">
      <c r="A1490" s="1">
        <v>99</v>
      </c>
      <c r="B1490" s="1" t="s">
        <v>9</v>
      </c>
      <c r="C1490" s="2">
        <v>41103</v>
      </c>
      <c r="D1490" s="3">
        <v>3100</v>
      </c>
      <c r="E1490" s="1" t="str">
        <f t="shared" si="23"/>
        <v>Jul 2012</v>
      </c>
    </row>
    <row r="1491" spans="1:5" ht="10.199999999999999" x14ac:dyDescent="0.25">
      <c r="A1491" s="1">
        <v>99</v>
      </c>
      <c r="B1491" s="1" t="s">
        <v>9</v>
      </c>
      <c r="C1491" s="2">
        <v>41106</v>
      </c>
      <c r="D1491" s="3">
        <v>3100</v>
      </c>
      <c r="E1491" s="1" t="str">
        <f t="shared" si="23"/>
        <v>Jul 2012</v>
      </c>
    </row>
    <row r="1492" spans="1:5" ht="10.199999999999999" x14ac:dyDescent="0.25">
      <c r="A1492" s="1">
        <v>99</v>
      </c>
      <c r="B1492" s="1" t="s">
        <v>9</v>
      </c>
      <c r="C1492" s="2">
        <v>41108</v>
      </c>
      <c r="D1492" s="3">
        <v>3100</v>
      </c>
      <c r="E1492" s="1" t="str">
        <f t="shared" si="23"/>
        <v>Jul 2012</v>
      </c>
    </row>
    <row r="1493" spans="1:5" ht="10.199999999999999" x14ac:dyDescent="0.25">
      <c r="A1493" s="1">
        <v>99</v>
      </c>
      <c r="B1493" s="1" t="s">
        <v>9</v>
      </c>
      <c r="C1493" s="2">
        <v>41110</v>
      </c>
      <c r="D1493" s="3">
        <v>3500</v>
      </c>
      <c r="E1493" s="1" t="str">
        <f t="shared" si="23"/>
        <v>Jul 2012</v>
      </c>
    </row>
    <row r="1494" spans="1:5" ht="10.199999999999999" x14ac:dyDescent="0.25">
      <c r="A1494" s="1">
        <v>99</v>
      </c>
      <c r="B1494" s="1" t="s">
        <v>9</v>
      </c>
      <c r="C1494" s="2">
        <v>41113</v>
      </c>
      <c r="D1494" s="3">
        <v>3500</v>
      </c>
      <c r="E1494" s="1" t="str">
        <f t="shared" si="23"/>
        <v>Jul 2012</v>
      </c>
    </row>
    <row r="1495" spans="1:5" ht="10.199999999999999" x14ac:dyDescent="0.25">
      <c r="A1495" s="1">
        <v>99</v>
      </c>
      <c r="B1495" s="1" t="s">
        <v>9</v>
      </c>
      <c r="C1495" s="2">
        <v>41115</v>
      </c>
      <c r="D1495" s="3">
        <v>3500</v>
      </c>
      <c r="E1495" s="1" t="str">
        <f t="shared" si="23"/>
        <v>Jul 2012</v>
      </c>
    </row>
    <row r="1496" spans="1:5" ht="10.199999999999999" x14ac:dyDescent="0.25">
      <c r="A1496" s="1">
        <v>99</v>
      </c>
      <c r="B1496" s="1" t="s">
        <v>9</v>
      </c>
      <c r="C1496" s="2">
        <v>41117</v>
      </c>
      <c r="D1496" s="3">
        <v>3500</v>
      </c>
      <c r="E1496" s="1" t="str">
        <f t="shared" si="23"/>
        <v>Jul 2012</v>
      </c>
    </row>
    <row r="1497" spans="1:5" ht="10.199999999999999" x14ac:dyDescent="0.25">
      <c r="A1497" s="1">
        <v>99</v>
      </c>
      <c r="B1497" s="1" t="s">
        <v>9</v>
      </c>
      <c r="C1497" s="2">
        <v>41120</v>
      </c>
      <c r="D1497" s="3">
        <v>3500</v>
      </c>
      <c r="E1497" s="1" t="str">
        <f t="shared" si="23"/>
        <v>Jul 2012</v>
      </c>
    </row>
    <row r="1498" spans="1:5" ht="10.199999999999999" x14ac:dyDescent="0.25">
      <c r="A1498" s="1">
        <v>99</v>
      </c>
      <c r="B1498" s="1" t="s">
        <v>9</v>
      </c>
      <c r="C1498" s="2">
        <v>41122</v>
      </c>
      <c r="D1498" s="3">
        <v>3500</v>
      </c>
      <c r="E1498" s="1" t="str">
        <f t="shared" si="23"/>
        <v>Aug 2012</v>
      </c>
    </row>
    <row r="1499" spans="1:5" ht="10.199999999999999" x14ac:dyDescent="0.25">
      <c r="A1499" s="1">
        <v>99</v>
      </c>
      <c r="B1499" s="1" t="s">
        <v>9</v>
      </c>
      <c r="C1499" s="2">
        <v>41124</v>
      </c>
      <c r="D1499" s="3">
        <v>3500</v>
      </c>
      <c r="E1499" s="1" t="str">
        <f t="shared" si="23"/>
        <v>Aug 2012</v>
      </c>
    </row>
    <row r="1500" spans="1:5" ht="10.199999999999999" x14ac:dyDescent="0.25">
      <c r="A1500" s="1">
        <v>99</v>
      </c>
      <c r="B1500" s="1" t="s">
        <v>9</v>
      </c>
      <c r="C1500" s="2">
        <v>41127</v>
      </c>
      <c r="D1500" s="3">
        <v>3500</v>
      </c>
      <c r="E1500" s="1" t="str">
        <f t="shared" si="23"/>
        <v>Aug 2012</v>
      </c>
    </row>
    <row r="1501" spans="1:5" ht="10.199999999999999" x14ac:dyDescent="0.25">
      <c r="A1501" s="1">
        <v>99</v>
      </c>
      <c r="B1501" s="1" t="s">
        <v>9</v>
      </c>
      <c r="C1501" s="2">
        <v>41129</v>
      </c>
      <c r="D1501" s="3">
        <v>3500</v>
      </c>
      <c r="E1501" s="1" t="str">
        <f t="shared" si="23"/>
        <v>Aug 2012</v>
      </c>
    </row>
    <row r="1502" spans="1:5" ht="10.199999999999999" x14ac:dyDescent="0.25">
      <c r="A1502" s="1">
        <v>99</v>
      </c>
      <c r="B1502" s="1" t="s">
        <v>9</v>
      </c>
      <c r="C1502" s="2">
        <v>41131</v>
      </c>
      <c r="D1502" s="3">
        <v>3500</v>
      </c>
      <c r="E1502" s="1" t="str">
        <f t="shared" si="23"/>
        <v>Aug 2012</v>
      </c>
    </row>
    <row r="1503" spans="1:5" ht="10.199999999999999" x14ac:dyDescent="0.25">
      <c r="A1503" s="1">
        <v>99</v>
      </c>
      <c r="B1503" s="1" t="s">
        <v>9</v>
      </c>
      <c r="C1503" s="2">
        <v>41134</v>
      </c>
      <c r="D1503" s="3">
        <v>3500</v>
      </c>
      <c r="E1503" s="1" t="str">
        <f t="shared" si="23"/>
        <v>Aug 2012</v>
      </c>
    </row>
    <row r="1504" spans="1:5" ht="10.199999999999999" x14ac:dyDescent="0.25">
      <c r="A1504" s="1">
        <v>99</v>
      </c>
      <c r="B1504" s="1" t="s">
        <v>9</v>
      </c>
      <c r="C1504" s="2">
        <v>41136</v>
      </c>
      <c r="D1504" s="3">
        <v>3500</v>
      </c>
      <c r="E1504" s="1" t="str">
        <f t="shared" si="23"/>
        <v>Aug 2012</v>
      </c>
    </row>
    <row r="1505" spans="1:5" ht="10.199999999999999" x14ac:dyDescent="0.25">
      <c r="A1505" s="1">
        <v>99</v>
      </c>
      <c r="B1505" s="1" t="s">
        <v>9</v>
      </c>
      <c r="C1505" s="2">
        <v>41138</v>
      </c>
      <c r="D1505" s="3">
        <v>3500</v>
      </c>
      <c r="E1505" s="1" t="str">
        <f t="shared" si="23"/>
        <v>Aug 2012</v>
      </c>
    </row>
    <row r="1506" spans="1:5" ht="10.199999999999999" x14ac:dyDescent="0.25">
      <c r="A1506" s="1">
        <v>99</v>
      </c>
      <c r="B1506" s="1" t="s">
        <v>9</v>
      </c>
      <c r="C1506" s="2">
        <v>41141</v>
      </c>
      <c r="D1506" s="3">
        <v>3500</v>
      </c>
      <c r="E1506" s="1" t="str">
        <f t="shared" si="23"/>
        <v>Aug 2012</v>
      </c>
    </row>
    <row r="1507" spans="1:5" ht="10.199999999999999" x14ac:dyDescent="0.25">
      <c r="A1507" s="1">
        <v>99</v>
      </c>
      <c r="B1507" s="1" t="s">
        <v>9</v>
      </c>
      <c r="C1507" s="2">
        <v>41143</v>
      </c>
      <c r="D1507" s="3">
        <v>3500</v>
      </c>
      <c r="E1507" s="1" t="str">
        <f t="shared" si="23"/>
        <v>Aug 2012</v>
      </c>
    </row>
    <row r="1508" spans="1:5" ht="10.199999999999999" x14ac:dyDescent="0.25">
      <c r="A1508" s="1">
        <v>99</v>
      </c>
      <c r="B1508" s="1" t="s">
        <v>9</v>
      </c>
      <c r="C1508" s="2">
        <v>41145</v>
      </c>
      <c r="D1508" s="3">
        <v>3500</v>
      </c>
      <c r="E1508" s="1" t="str">
        <f t="shared" si="23"/>
        <v>Aug 2012</v>
      </c>
    </row>
    <row r="1509" spans="1:5" ht="10.199999999999999" x14ac:dyDescent="0.25">
      <c r="A1509" s="1">
        <v>99</v>
      </c>
      <c r="B1509" s="1" t="s">
        <v>9</v>
      </c>
      <c r="C1509" s="2">
        <v>41148</v>
      </c>
      <c r="D1509" s="3">
        <v>3500</v>
      </c>
      <c r="E1509" s="1" t="str">
        <f t="shared" si="23"/>
        <v>Aug 2012</v>
      </c>
    </row>
    <row r="1510" spans="1:5" ht="10.199999999999999" x14ac:dyDescent="0.25">
      <c r="A1510" s="1">
        <v>99</v>
      </c>
      <c r="B1510" s="1" t="s">
        <v>9</v>
      </c>
      <c r="C1510" s="2">
        <v>41150</v>
      </c>
      <c r="D1510" s="3">
        <v>3500</v>
      </c>
      <c r="E1510" s="1" t="str">
        <f t="shared" si="23"/>
        <v>Aug 2012</v>
      </c>
    </row>
    <row r="1511" spans="1:5" ht="10.199999999999999" x14ac:dyDescent="0.25">
      <c r="A1511" s="1">
        <v>99</v>
      </c>
      <c r="B1511" s="1" t="s">
        <v>9</v>
      </c>
      <c r="C1511" s="2">
        <v>41152</v>
      </c>
      <c r="D1511" s="3">
        <v>3500</v>
      </c>
      <c r="E1511" s="1" t="str">
        <f t="shared" si="23"/>
        <v>Aug 2012</v>
      </c>
    </row>
    <row r="1512" spans="1:5" ht="10.199999999999999" x14ac:dyDescent="0.25">
      <c r="A1512" s="1">
        <v>99</v>
      </c>
      <c r="B1512" s="1" t="s">
        <v>9</v>
      </c>
      <c r="C1512" s="2">
        <v>41155</v>
      </c>
      <c r="D1512" s="3">
        <v>3500</v>
      </c>
      <c r="E1512" s="1" t="str">
        <f t="shared" si="23"/>
        <v>Sep 2012</v>
      </c>
    </row>
    <row r="1513" spans="1:5" ht="10.199999999999999" x14ac:dyDescent="0.25">
      <c r="A1513" s="1">
        <v>99</v>
      </c>
      <c r="B1513" s="1" t="s">
        <v>9</v>
      </c>
      <c r="C1513" s="2">
        <v>41157</v>
      </c>
      <c r="D1513" s="3">
        <v>3500</v>
      </c>
      <c r="E1513" s="1" t="str">
        <f t="shared" si="23"/>
        <v>Sep 2012</v>
      </c>
    </row>
    <row r="1514" spans="1:5" ht="10.199999999999999" x14ac:dyDescent="0.25">
      <c r="A1514" s="1">
        <v>99</v>
      </c>
      <c r="B1514" s="1" t="s">
        <v>10</v>
      </c>
      <c r="C1514" s="2">
        <v>41164</v>
      </c>
      <c r="D1514" s="3">
        <v>6</v>
      </c>
      <c r="E1514" s="1" t="str">
        <f t="shared" si="23"/>
        <v>Sep 2012</v>
      </c>
    </row>
    <row r="1515" spans="1:5" ht="10.199999999999999" x14ac:dyDescent="0.25">
      <c r="A1515" s="1">
        <v>99</v>
      </c>
      <c r="B1515" s="1" t="s">
        <v>10</v>
      </c>
      <c r="C1515" s="2">
        <v>41192</v>
      </c>
      <c r="D1515" s="3">
        <v>6</v>
      </c>
      <c r="E1515" s="1" t="str">
        <f t="shared" si="23"/>
        <v>Oct 2012</v>
      </c>
    </row>
    <row r="1516" spans="1:5" ht="10.199999999999999" x14ac:dyDescent="0.25">
      <c r="A1516" s="1">
        <v>100</v>
      </c>
      <c r="B1516" s="1" t="s">
        <v>9</v>
      </c>
      <c r="C1516" s="2">
        <v>41093</v>
      </c>
      <c r="D1516" s="3">
        <v>2500</v>
      </c>
      <c r="E1516" s="1" t="str">
        <f t="shared" si="23"/>
        <v>Jul 2012</v>
      </c>
    </row>
    <row r="1517" spans="1:5" ht="10.199999999999999" x14ac:dyDescent="0.25">
      <c r="A1517" s="1">
        <v>100</v>
      </c>
      <c r="B1517" s="1" t="s">
        <v>9</v>
      </c>
      <c r="C1517" s="2">
        <v>41095</v>
      </c>
      <c r="D1517" s="3">
        <v>2500</v>
      </c>
      <c r="E1517" s="1" t="str">
        <f t="shared" si="23"/>
        <v>Jul 2012</v>
      </c>
    </row>
    <row r="1518" spans="1:5" ht="10.199999999999999" x14ac:dyDescent="0.25">
      <c r="A1518" s="1">
        <v>100</v>
      </c>
      <c r="B1518" s="1" t="s">
        <v>9</v>
      </c>
      <c r="C1518" s="2">
        <v>41097</v>
      </c>
      <c r="D1518" s="3">
        <v>2500</v>
      </c>
      <c r="E1518" s="1" t="str">
        <f t="shared" si="23"/>
        <v>Jul 2012</v>
      </c>
    </row>
    <row r="1519" spans="1:5" ht="10.199999999999999" x14ac:dyDescent="0.25">
      <c r="A1519" s="1">
        <v>100</v>
      </c>
      <c r="B1519" s="1" t="s">
        <v>9</v>
      </c>
      <c r="C1519" s="2">
        <v>41100</v>
      </c>
      <c r="D1519" s="3">
        <v>2500</v>
      </c>
      <c r="E1519" s="1" t="str">
        <f t="shared" si="23"/>
        <v>Jul 2012</v>
      </c>
    </row>
    <row r="1520" spans="1:5" ht="10.199999999999999" x14ac:dyDescent="0.25">
      <c r="A1520" s="1">
        <v>100</v>
      </c>
      <c r="B1520" s="1" t="s">
        <v>9</v>
      </c>
      <c r="C1520" s="2">
        <v>41102</v>
      </c>
      <c r="D1520" s="3">
        <v>2500</v>
      </c>
      <c r="E1520" s="1" t="str">
        <f t="shared" si="23"/>
        <v>Jul 2012</v>
      </c>
    </row>
    <row r="1521" spans="1:5" ht="10.199999999999999" x14ac:dyDescent="0.25">
      <c r="A1521" s="1">
        <v>100</v>
      </c>
      <c r="B1521" s="1" t="s">
        <v>9</v>
      </c>
      <c r="C1521" s="2">
        <v>41104</v>
      </c>
      <c r="D1521" s="3">
        <v>2500</v>
      </c>
      <c r="E1521" s="1" t="str">
        <f t="shared" si="23"/>
        <v>Jul 2012</v>
      </c>
    </row>
    <row r="1522" spans="1:5" ht="10.199999999999999" x14ac:dyDescent="0.25">
      <c r="A1522" s="1">
        <v>100</v>
      </c>
      <c r="B1522" s="1" t="s">
        <v>9</v>
      </c>
      <c r="C1522" s="2">
        <v>41107</v>
      </c>
      <c r="D1522" s="3">
        <v>2500</v>
      </c>
      <c r="E1522" s="1" t="str">
        <f t="shared" si="23"/>
        <v>Jul 2012</v>
      </c>
    </row>
    <row r="1523" spans="1:5" ht="10.199999999999999" x14ac:dyDescent="0.25">
      <c r="A1523" s="1">
        <v>100</v>
      </c>
      <c r="B1523" s="1" t="s">
        <v>9</v>
      </c>
      <c r="C1523" s="2">
        <v>41109</v>
      </c>
      <c r="D1523" s="3">
        <v>2500</v>
      </c>
      <c r="E1523" s="1" t="str">
        <f t="shared" si="23"/>
        <v>Jul 2012</v>
      </c>
    </row>
    <row r="1524" spans="1:5" ht="10.199999999999999" x14ac:dyDescent="0.25">
      <c r="A1524" s="1">
        <v>100</v>
      </c>
      <c r="B1524" s="1" t="s">
        <v>9</v>
      </c>
      <c r="C1524" s="2">
        <v>41111</v>
      </c>
      <c r="D1524" s="3">
        <v>2500</v>
      </c>
      <c r="E1524" s="1" t="str">
        <f t="shared" si="23"/>
        <v>Jul 2012</v>
      </c>
    </row>
    <row r="1525" spans="1:5" ht="10.199999999999999" x14ac:dyDescent="0.25">
      <c r="A1525" s="1">
        <v>100</v>
      </c>
      <c r="B1525" s="1" t="s">
        <v>9</v>
      </c>
      <c r="C1525" s="2">
        <v>41121</v>
      </c>
      <c r="D1525" s="3">
        <v>2500</v>
      </c>
      <c r="E1525" s="1" t="str">
        <f t="shared" si="23"/>
        <v>Jul 2012</v>
      </c>
    </row>
    <row r="1526" spans="1:5" ht="10.199999999999999" x14ac:dyDescent="0.25">
      <c r="A1526" s="1">
        <v>100</v>
      </c>
      <c r="B1526" s="1" t="s">
        <v>9</v>
      </c>
      <c r="C1526" s="2">
        <v>41123</v>
      </c>
      <c r="D1526" s="3">
        <v>2500</v>
      </c>
      <c r="E1526" s="1" t="str">
        <f t="shared" si="23"/>
        <v>Aug 2012</v>
      </c>
    </row>
    <row r="1527" spans="1:5" ht="10.199999999999999" x14ac:dyDescent="0.25">
      <c r="A1527" s="1">
        <v>100</v>
      </c>
      <c r="B1527" s="1" t="s">
        <v>9</v>
      </c>
      <c r="C1527" s="2">
        <v>41128</v>
      </c>
      <c r="D1527" s="3">
        <v>2500</v>
      </c>
      <c r="E1527" s="1" t="str">
        <f t="shared" si="23"/>
        <v>Aug 2012</v>
      </c>
    </row>
    <row r="1528" spans="1:5" ht="10.199999999999999" x14ac:dyDescent="0.25">
      <c r="A1528" s="1">
        <v>100</v>
      </c>
      <c r="B1528" s="1" t="s">
        <v>9</v>
      </c>
      <c r="C1528" s="2">
        <v>41130</v>
      </c>
      <c r="D1528" s="3">
        <v>2500</v>
      </c>
      <c r="E1528" s="1" t="str">
        <f t="shared" si="23"/>
        <v>Aug 2012</v>
      </c>
    </row>
    <row r="1529" spans="1:5" ht="10.199999999999999" x14ac:dyDescent="0.25">
      <c r="A1529" s="1">
        <v>100</v>
      </c>
      <c r="B1529" s="1" t="s">
        <v>9</v>
      </c>
      <c r="C1529" s="2">
        <v>41132</v>
      </c>
      <c r="D1529" s="3">
        <v>3300</v>
      </c>
      <c r="E1529" s="1" t="str">
        <f t="shared" si="23"/>
        <v>Aug 2012</v>
      </c>
    </row>
    <row r="1530" spans="1:5" ht="10.199999999999999" x14ac:dyDescent="0.25">
      <c r="A1530" s="1">
        <v>100</v>
      </c>
      <c r="B1530" s="1" t="s">
        <v>9</v>
      </c>
      <c r="C1530" s="2">
        <v>41135</v>
      </c>
      <c r="D1530" s="3">
        <v>3300</v>
      </c>
      <c r="E1530" s="1" t="str">
        <f t="shared" si="23"/>
        <v>Aug 2012</v>
      </c>
    </row>
    <row r="1531" spans="1:5" ht="10.199999999999999" x14ac:dyDescent="0.25">
      <c r="A1531" s="1">
        <v>100</v>
      </c>
      <c r="B1531" s="1" t="s">
        <v>9</v>
      </c>
      <c r="C1531" s="2">
        <v>41137</v>
      </c>
      <c r="D1531" s="3">
        <v>3300</v>
      </c>
      <c r="E1531" s="1" t="str">
        <f t="shared" si="23"/>
        <v>Aug 2012</v>
      </c>
    </row>
    <row r="1532" spans="1:5" ht="10.199999999999999" x14ac:dyDescent="0.25">
      <c r="A1532" s="1">
        <v>100</v>
      </c>
      <c r="B1532" s="1" t="s">
        <v>9</v>
      </c>
      <c r="C1532" s="2">
        <v>41142</v>
      </c>
      <c r="D1532" s="3">
        <v>3300</v>
      </c>
      <c r="E1532" s="1" t="str">
        <f t="shared" si="23"/>
        <v>Aug 2012</v>
      </c>
    </row>
    <row r="1533" spans="1:5" ht="10.199999999999999" x14ac:dyDescent="0.25">
      <c r="A1533" s="1">
        <v>100</v>
      </c>
      <c r="B1533" s="1" t="s">
        <v>9</v>
      </c>
      <c r="C1533" s="2">
        <v>41146</v>
      </c>
      <c r="D1533" s="3">
        <v>3300</v>
      </c>
      <c r="E1533" s="1" t="str">
        <f t="shared" si="23"/>
        <v>Aug 2012</v>
      </c>
    </row>
    <row r="1534" spans="1:5" ht="10.199999999999999" x14ac:dyDescent="0.25">
      <c r="A1534" s="1">
        <v>100</v>
      </c>
      <c r="B1534" s="1" t="s">
        <v>9</v>
      </c>
      <c r="C1534" s="2">
        <v>41149</v>
      </c>
      <c r="D1534" s="3">
        <v>3300</v>
      </c>
      <c r="E1534" s="1" t="str">
        <f t="shared" si="23"/>
        <v>Aug 2012</v>
      </c>
    </row>
    <row r="1535" spans="1:5" ht="10.199999999999999" x14ac:dyDescent="0.25">
      <c r="A1535" s="1">
        <v>100</v>
      </c>
      <c r="B1535" s="1" t="s">
        <v>9</v>
      </c>
      <c r="C1535" s="2">
        <v>41153</v>
      </c>
      <c r="D1535" s="3">
        <v>3300</v>
      </c>
      <c r="E1535" s="1" t="str">
        <f t="shared" si="23"/>
        <v>Sep 2012</v>
      </c>
    </row>
    <row r="1536" spans="1:5" ht="10.199999999999999" x14ac:dyDescent="0.25">
      <c r="A1536" s="1">
        <v>100</v>
      </c>
      <c r="B1536" s="1" t="s">
        <v>9</v>
      </c>
      <c r="C1536" s="2">
        <v>41156</v>
      </c>
      <c r="D1536" s="3">
        <v>3300</v>
      </c>
      <c r="E1536" s="1" t="str">
        <f t="shared" si="23"/>
        <v>Sep 2012</v>
      </c>
    </row>
    <row r="1537" spans="1:5" ht="10.199999999999999" x14ac:dyDescent="0.25">
      <c r="A1537" s="1">
        <v>100</v>
      </c>
      <c r="B1537" s="1" t="s">
        <v>9</v>
      </c>
      <c r="C1537" s="2">
        <v>41158</v>
      </c>
      <c r="D1537" s="3">
        <v>4300</v>
      </c>
      <c r="E1537" s="1" t="str">
        <f t="shared" si="23"/>
        <v>Sep 2012</v>
      </c>
    </row>
    <row r="1538" spans="1:5" ht="10.199999999999999" x14ac:dyDescent="0.25">
      <c r="A1538" s="1">
        <v>100</v>
      </c>
      <c r="B1538" s="1" t="s">
        <v>10</v>
      </c>
      <c r="C1538" s="2">
        <v>41165</v>
      </c>
      <c r="D1538" s="3">
        <v>6</v>
      </c>
      <c r="E1538" s="1" t="str">
        <f t="shared" si="23"/>
        <v>Sep 2012</v>
      </c>
    </row>
    <row r="1539" spans="1:5" ht="10.199999999999999" x14ac:dyDescent="0.25">
      <c r="A1539" s="1">
        <v>100</v>
      </c>
      <c r="B1539" s="1" t="s">
        <v>10</v>
      </c>
      <c r="C1539" s="2">
        <v>41193</v>
      </c>
      <c r="D1539" s="3">
        <v>6</v>
      </c>
      <c r="E1539" s="1" t="str">
        <f t="shared" ref="E1539:E1602" si="24">TEXT(C1539,"mmm yyyy")</f>
        <v>Oct 2012</v>
      </c>
    </row>
    <row r="1540" spans="1:5" ht="10.199999999999999" x14ac:dyDescent="0.25">
      <c r="A1540" s="1">
        <v>100</v>
      </c>
      <c r="B1540" s="1" t="s">
        <v>10</v>
      </c>
      <c r="C1540" s="2">
        <v>41228</v>
      </c>
      <c r="D1540" s="3">
        <v>5</v>
      </c>
      <c r="E1540" s="1" t="str">
        <f t="shared" si="24"/>
        <v>Nov 2012</v>
      </c>
    </row>
    <row r="1541" spans="1:5" ht="10.199999999999999" x14ac:dyDescent="0.25">
      <c r="A1541" s="1">
        <v>101</v>
      </c>
      <c r="B1541" s="1" t="s">
        <v>9</v>
      </c>
      <c r="C1541" s="2">
        <v>41093</v>
      </c>
      <c r="D1541" s="3">
        <v>700</v>
      </c>
      <c r="E1541" s="1" t="str">
        <f t="shared" si="24"/>
        <v>Jul 2012</v>
      </c>
    </row>
    <row r="1542" spans="1:5" ht="10.199999999999999" x14ac:dyDescent="0.25">
      <c r="A1542" s="1">
        <v>101</v>
      </c>
      <c r="B1542" s="1" t="s">
        <v>9</v>
      </c>
      <c r="C1542" s="2">
        <v>41096</v>
      </c>
      <c r="D1542" s="3">
        <v>800</v>
      </c>
      <c r="E1542" s="1" t="str">
        <f t="shared" si="24"/>
        <v>Jul 2012</v>
      </c>
    </row>
    <row r="1543" spans="1:5" ht="10.199999999999999" x14ac:dyDescent="0.25">
      <c r="A1543" s="1">
        <v>101</v>
      </c>
      <c r="B1543" s="1" t="s">
        <v>9</v>
      </c>
      <c r="C1543" s="2">
        <v>41100</v>
      </c>
      <c r="D1543" s="3">
        <v>800</v>
      </c>
      <c r="E1543" s="1" t="str">
        <f t="shared" si="24"/>
        <v>Jul 2012</v>
      </c>
    </row>
    <row r="1544" spans="1:5" ht="10.199999999999999" x14ac:dyDescent="0.25">
      <c r="A1544" s="1">
        <v>101</v>
      </c>
      <c r="B1544" s="1" t="s">
        <v>9</v>
      </c>
      <c r="C1544" s="2">
        <v>41103</v>
      </c>
      <c r="D1544" s="3">
        <v>800</v>
      </c>
      <c r="E1544" s="1" t="str">
        <f t="shared" si="24"/>
        <v>Jul 2012</v>
      </c>
    </row>
    <row r="1545" spans="1:5" ht="10.199999999999999" x14ac:dyDescent="0.25">
      <c r="A1545" s="1">
        <v>101</v>
      </c>
      <c r="B1545" s="1" t="s">
        <v>9</v>
      </c>
      <c r="C1545" s="2">
        <v>41107</v>
      </c>
      <c r="D1545" s="3">
        <v>800</v>
      </c>
      <c r="E1545" s="1" t="str">
        <f t="shared" si="24"/>
        <v>Jul 2012</v>
      </c>
    </row>
    <row r="1546" spans="1:5" ht="10.199999999999999" x14ac:dyDescent="0.25">
      <c r="A1546" s="1">
        <v>101</v>
      </c>
      <c r="B1546" s="1" t="s">
        <v>9</v>
      </c>
      <c r="C1546" s="2">
        <v>41110</v>
      </c>
      <c r="D1546" s="3">
        <v>900</v>
      </c>
      <c r="E1546" s="1" t="str">
        <f t="shared" si="24"/>
        <v>Jul 2012</v>
      </c>
    </row>
    <row r="1547" spans="1:5" ht="10.199999999999999" x14ac:dyDescent="0.25">
      <c r="A1547" s="1">
        <v>101</v>
      </c>
      <c r="B1547" s="1" t="s">
        <v>9</v>
      </c>
      <c r="C1547" s="2">
        <v>41114</v>
      </c>
      <c r="D1547" s="3">
        <v>900</v>
      </c>
      <c r="E1547" s="1" t="str">
        <f t="shared" si="24"/>
        <v>Jul 2012</v>
      </c>
    </row>
    <row r="1548" spans="1:5" ht="10.199999999999999" x14ac:dyDescent="0.25">
      <c r="A1548" s="1">
        <v>101</v>
      </c>
      <c r="B1548" s="1" t="s">
        <v>9</v>
      </c>
      <c r="C1548" s="2">
        <v>41118</v>
      </c>
      <c r="D1548" s="3">
        <v>900</v>
      </c>
      <c r="E1548" s="1" t="str">
        <f t="shared" si="24"/>
        <v>Jul 2012</v>
      </c>
    </row>
    <row r="1549" spans="1:5" ht="10.199999999999999" x14ac:dyDescent="0.25">
      <c r="A1549" s="1">
        <v>101</v>
      </c>
      <c r="B1549" s="1" t="s">
        <v>9</v>
      </c>
      <c r="C1549" s="2">
        <v>41121</v>
      </c>
      <c r="D1549" s="3">
        <v>900</v>
      </c>
      <c r="E1549" s="1" t="str">
        <f t="shared" si="24"/>
        <v>Jul 2012</v>
      </c>
    </row>
    <row r="1550" spans="1:5" ht="10.199999999999999" x14ac:dyDescent="0.25">
      <c r="A1550" s="1">
        <v>101</v>
      </c>
      <c r="B1550" s="1" t="s">
        <v>9</v>
      </c>
      <c r="C1550" s="2">
        <v>41124</v>
      </c>
      <c r="D1550" s="3">
        <v>900</v>
      </c>
      <c r="E1550" s="1" t="str">
        <f t="shared" si="24"/>
        <v>Aug 2012</v>
      </c>
    </row>
    <row r="1551" spans="1:5" ht="10.199999999999999" x14ac:dyDescent="0.25">
      <c r="A1551" s="1">
        <v>101</v>
      </c>
      <c r="B1551" s="1" t="s">
        <v>9</v>
      </c>
      <c r="C1551" s="2">
        <v>41128</v>
      </c>
      <c r="D1551" s="3">
        <v>900</v>
      </c>
      <c r="E1551" s="1" t="str">
        <f t="shared" si="24"/>
        <v>Aug 2012</v>
      </c>
    </row>
    <row r="1552" spans="1:5" ht="10.199999999999999" x14ac:dyDescent="0.25">
      <c r="A1552" s="1">
        <v>101</v>
      </c>
      <c r="B1552" s="1" t="s">
        <v>9</v>
      </c>
      <c r="C1552" s="2">
        <v>41131</v>
      </c>
      <c r="D1552" s="3">
        <v>900</v>
      </c>
      <c r="E1552" s="1" t="str">
        <f t="shared" si="24"/>
        <v>Aug 2012</v>
      </c>
    </row>
    <row r="1553" spans="1:5" ht="10.199999999999999" x14ac:dyDescent="0.25">
      <c r="A1553" s="1">
        <v>101</v>
      </c>
      <c r="B1553" s="1" t="s">
        <v>9</v>
      </c>
      <c r="C1553" s="2">
        <v>41135</v>
      </c>
      <c r="D1553" s="3">
        <v>900</v>
      </c>
      <c r="E1553" s="1" t="str">
        <f t="shared" si="24"/>
        <v>Aug 2012</v>
      </c>
    </row>
    <row r="1554" spans="1:5" ht="10.199999999999999" x14ac:dyDescent="0.25">
      <c r="A1554" s="1">
        <v>101</v>
      </c>
      <c r="B1554" s="1" t="s">
        <v>9</v>
      </c>
      <c r="C1554" s="2">
        <v>41138</v>
      </c>
      <c r="D1554" s="3">
        <v>1200</v>
      </c>
      <c r="E1554" s="1" t="str">
        <f t="shared" si="24"/>
        <v>Aug 2012</v>
      </c>
    </row>
    <row r="1555" spans="1:5" ht="10.199999999999999" x14ac:dyDescent="0.25">
      <c r="A1555" s="1">
        <v>101</v>
      </c>
      <c r="B1555" s="1" t="s">
        <v>9</v>
      </c>
      <c r="C1555" s="2">
        <v>41142</v>
      </c>
      <c r="D1555" s="3">
        <v>1200</v>
      </c>
      <c r="E1555" s="1" t="str">
        <f t="shared" si="24"/>
        <v>Aug 2012</v>
      </c>
    </row>
    <row r="1556" spans="1:5" ht="10.199999999999999" x14ac:dyDescent="0.25">
      <c r="A1556" s="1">
        <v>101</v>
      </c>
      <c r="B1556" s="1" t="s">
        <v>9</v>
      </c>
      <c r="C1556" s="2">
        <v>41146</v>
      </c>
      <c r="D1556" s="3">
        <v>1200</v>
      </c>
      <c r="E1556" s="1" t="str">
        <f t="shared" si="24"/>
        <v>Aug 2012</v>
      </c>
    </row>
    <row r="1557" spans="1:5" ht="10.199999999999999" x14ac:dyDescent="0.25">
      <c r="A1557" s="1">
        <v>101</v>
      </c>
      <c r="B1557" s="1" t="s">
        <v>9</v>
      </c>
      <c r="C1557" s="2">
        <v>41149</v>
      </c>
      <c r="D1557" s="3">
        <v>1200</v>
      </c>
      <c r="E1557" s="1" t="str">
        <f t="shared" si="24"/>
        <v>Aug 2012</v>
      </c>
    </row>
    <row r="1558" spans="1:5" ht="10.199999999999999" x14ac:dyDescent="0.25">
      <c r="A1558" s="1">
        <v>101</v>
      </c>
      <c r="B1558" s="1" t="s">
        <v>9</v>
      </c>
      <c r="C1558" s="2">
        <v>41153</v>
      </c>
      <c r="D1558" s="3">
        <v>2400</v>
      </c>
      <c r="E1558" s="1" t="str">
        <f t="shared" si="24"/>
        <v>Sep 2012</v>
      </c>
    </row>
    <row r="1559" spans="1:5" ht="10.199999999999999" x14ac:dyDescent="0.25">
      <c r="A1559" s="1">
        <v>101</v>
      </c>
      <c r="B1559" s="1" t="s">
        <v>9</v>
      </c>
      <c r="C1559" s="2">
        <v>41156</v>
      </c>
      <c r="D1559" s="3">
        <v>2400</v>
      </c>
      <c r="E1559" s="1" t="str">
        <f t="shared" si="24"/>
        <v>Sep 2012</v>
      </c>
    </row>
    <row r="1560" spans="1:5" ht="10.199999999999999" x14ac:dyDescent="0.25">
      <c r="A1560" s="1">
        <v>101</v>
      </c>
      <c r="B1560" s="1" t="s">
        <v>10</v>
      </c>
      <c r="C1560" s="2">
        <v>41166</v>
      </c>
      <c r="D1560" s="3">
        <v>4</v>
      </c>
      <c r="E1560" s="1" t="str">
        <f t="shared" si="24"/>
        <v>Sep 2012</v>
      </c>
    </row>
    <row r="1561" spans="1:5" ht="10.199999999999999" x14ac:dyDescent="0.25">
      <c r="A1561" s="1">
        <v>101</v>
      </c>
      <c r="B1561" s="1" t="s">
        <v>10</v>
      </c>
      <c r="C1561" s="2">
        <v>41195</v>
      </c>
      <c r="D1561" s="3">
        <v>3</v>
      </c>
      <c r="E1561" s="1" t="str">
        <f t="shared" si="24"/>
        <v>Oct 2012</v>
      </c>
    </row>
    <row r="1562" spans="1:5" ht="10.199999999999999" x14ac:dyDescent="0.25">
      <c r="A1562" s="1">
        <v>101</v>
      </c>
      <c r="B1562" s="1" t="s">
        <v>10</v>
      </c>
      <c r="C1562" s="2">
        <v>41229</v>
      </c>
      <c r="D1562" s="3">
        <v>3</v>
      </c>
      <c r="E1562" s="1" t="str">
        <f t="shared" si="24"/>
        <v>Nov 2012</v>
      </c>
    </row>
    <row r="1563" spans="1:5" ht="10.199999999999999" x14ac:dyDescent="0.25">
      <c r="A1563" s="1">
        <v>102</v>
      </c>
      <c r="B1563" s="1" t="s">
        <v>9</v>
      </c>
      <c r="C1563" s="2">
        <v>41243</v>
      </c>
      <c r="D1563" s="3">
        <v>4900</v>
      </c>
      <c r="E1563" s="1" t="str">
        <f t="shared" si="24"/>
        <v>Nov 2012</v>
      </c>
    </row>
    <row r="1564" spans="1:5" ht="10.199999999999999" x14ac:dyDescent="0.25">
      <c r="A1564" s="1">
        <v>103</v>
      </c>
      <c r="B1564" s="1" t="s">
        <v>9</v>
      </c>
      <c r="C1564" s="2">
        <v>41092</v>
      </c>
      <c r="D1564" s="3">
        <v>400</v>
      </c>
      <c r="E1564" s="1" t="str">
        <f t="shared" si="24"/>
        <v>Jul 2012</v>
      </c>
    </row>
    <row r="1565" spans="1:5" ht="10.199999999999999" x14ac:dyDescent="0.25">
      <c r="A1565" s="1">
        <v>103</v>
      </c>
      <c r="B1565" s="1" t="s">
        <v>9</v>
      </c>
      <c r="C1565" s="2">
        <v>41094</v>
      </c>
      <c r="D1565" s="3">
        <v>400</v>
      </c>
      <c r="E1565" s="1" t="str">
        <f t="shared" si="24"/>
        <v>Jul 2012</v>
      </c>
    </row>
    <row r="1566" spans="1:5" ht="10.199999999999999" x14ac:dyDescent="0.25">
      <c r="A1566" s="1">
        <v>104</v>
      </c>
      <c r="B1566" s="1" t="s">
        <v>9</v>
      </c>
      <c r="C1566" s="2">
        <v>41093</v>
      </c>
      <c r="D1566" s="3">
        <v>1000</v>
      </c>
      <c r="E1566" s="1" t="str">
        <f t="shared" si="24"/>
        <v>Jul 2012</v>
      </c>
    </row>
    <row r="1567" spans="1:5" ht="10.199999999999999" x14ac:dyDescent="0.25">
      <c r="A1567" s="1">
        <v>104</v>
      </c>
      <c r="B1567" s="1" t="s">
        <v>9</v>
      </c>
      <c r="C1567" s="2">
        <v>41095</v>
      </c>
      <c r="D1567" s="3">
        <v>1000</v>
      </c>
      <c r="E1567" s="1" t="str">
        <f t="shared" si="24"/>
        <v>Jul 2012</v>
      </c>
    </row>
    <row r="1568" spans="1:5" ht="10.199999999999999" x14ac:dyDescent="0.25">
      <c r="A1568" s="1">
        <v>104</v>
      </c>
      <c r="B1568" s="1" t="s">
        <v>9</v>
      </c>
      <c r="C1568" s="2">
        <v>41097</v>
      </c>
      <c r="D1568" s="3">
        <v>1000</v>
      </c>
      <c r="E1568" s="1" t="str">
        <f t="shared" si="24"/>
        <v>Jul 2012</v>
      </c>
    </row>
    <row r="1569" spans="1:5" ht="10.199999999999999" x14ac:dyDescent="0.25">
      <c r="A1569" s="1">
        <v>104</v>
      </c>
      <c r="B1569" s="1" t="s">
        <v>9</v>
      </c>
      <c r="C1569" s="2">
        <v>41100</v>
      </c>
      <c r="D1569" s="3">
        <v>1000</v>
      </c>
      <c r="E1569" s="1" t="str">
        <f t="shared" si="24"/>
        <v>Jul 2012</v>
      </c>
    </row>
    <row r="1570" spans="1:5" ht="10.199999999999999" x14ac:dyDescent="0.25">
      <c r="A1570" s="1">
        <v>104</v>
      </c>
      <c r="B1570" s="1" t="s">
        <v>9</v>
      </c>
      <c r="C1570" s="2">
        <v>41102</v>
      </c>
      <c r="D1570" s="3">
        <v>1000</v>
      </c>
      <c r="E1570" s="1" t="str">
        <f t="shared" si="24"/>
        <v>Jul 2012</v>
      </c>
    </row>
    <row r="1571" spans="1:5" ht="10.199999999999999" x14ac:dyDescent="0.25">
      <c r="A1571" s="1">
        <v>104</v>
      </c>
      <c r="B1571" s="1" t="s">
        <v>9</v>
      </c>
      <c r="C1571" s="2">
        <v>41104</v>
      </c>
      <c r="D1571" s="3">
        <v>1000</v>
      </c>
      <c r="E1571" s="1" t="str">
        <f t="shared" si="24"/>
        <v>Jul 2012</v>
      </c>
    </row>
    <row r="1572" spans="1:5" ht="10.199999999999999" x14ac:dyDescent="0.25">
      <c r="A1572" s="1">
        <v>104</v>
      </c>
      <c r="B1572" s="1" t="s">
        <v>9</v>
      </c>
      <c r="C1572" s="2">
        <v>41107</v>
      </c>
      <c r="D1572" s="3">
        <v>1000</v>
      </c>
      <c r="E1572" s="1" t="str">
        <f t="shared" si="24"/>
        <v>Jul 2012</v>
      </c>
    </row>
    <row r="1573" spans="1:5" ht="10.199999999999999" x14ac:dyDescent="0.25">
      <c r="A1573" s="1">
        <v>104</v>
      </c>
      <c r="B1573" s="1" t="s">
        <v>9</v>
      </c>
      <c r="C1573" s="2">
        <v>41109</v>
      </c>
      <c r="D1573" s="3">
        <v>1000</v>
      </c>
      <c r="E1573" s="1" t="str">
        <f t="shared" si="24"/>
        <v>Jul 2012</v>
      </c>
    </row>
    <row r="1574" spans="1:5" ht="10.199999999999999" x14ac:dyDescent="0.25">
      <c r="A1574" s="1">
        <v>104</v>
      </c>
      <c r="B1574" s="1" t="s">
        <v>9</v>
      </c>
      <c r="C1574" s="2">
        <v>41111</v>
      </c>
      <c r="D1574" s="3">
        <v>1000</v>
      </c>
      <c r="E1574" s="1" t="str">
        <f t="shared" si="24"/>
        <v>Jul 2012</v>
      </c>
    </row>
    <row r="1575" spans="1:5" ht="10.199999999999999" x14ac:dyDescent="0.25">
      <c r="A1575" s="1">
        <v>104</v>
      </c>
      <c r="B1575" s="1" t="s">
        <v>9</v>
      </c>
      <c r="C1575" s="2">
        <v>41114</v>
      </c>
      <c r="D1575" s="3">
        <v>1000</v>
      </c>
      <c r="E1575" s="1" t="str">
        <f t="shared" si="24"/>
        <v>Jul 2012</v>
      </c>
    </row>
    <row r="1576" spans="1:5" ht="10.199999999999999" x14ac:dyDescent="0.25">
      <c r="A1576" s="1">
        <v>104</v>
      </c>
      <c r="B1576" s="1" t="s">
        <v>9</v>
      </c>
      <c r="C1576" s="2">
        <v>41116</v>
      </c>
      <c r="D1576" s="3">
        <v>1000</v>
      </c>
      <c r="E1576" s="1" t="str">
        <f t="shared" si="24"/>
        <v>Jul 2012</v>
      </c>
    </row>
    <row r="1577" spans="1:5" ht="10.199999999999999" x14ac:dyDescent="0.25">
      <c r="A1577" s="1">
        <v>104</v>
      </c>
      <c r="B1577" s="1" t="s">
        <v>9</v>
      </c>
      <c r="C1577" s="2">
        <v>41118</v>
      </c>
      <c r="D1577" s="3">
        <v>1000</v>
      </c>
      <c r="E1577" s="1" t="str">
        <f t="shared" si="24"/>
        <v>Jul 2012</v>
      </c>
    </row>
    <row r="1578" spans="1:5" ht="10.199999999999999" x14ac:dyDescent="0.25">
      <c r="A1578" s="1">
        <v>104</v>
      </c>
      <c r="B1578" s="1" t="s">
        <v>9</v>
      </c>
      <c r="C1578" s="2">
        <v>41121</v>
      </c>
      <c r="D1578" s="3">
        <v>1000</v>
      </c>
      <c r="E1578" s="1" t="str">
        <f t="shared" si="24"/>
        <v>Jul 2012</v>
      </c>
    </row>
    <row r="1579" spans="1:5" ht="10.199999999999999" x14ac:dyDescent="0.25">
      <c r="A1579" s="1">
        <v>104</v>
      </c>
      <c r="B1579" s="1" t="s">
        <v>9</v>
      </c>
      <c r="C1579" s="2">
        <v>41123</v>
      </c>
      <c r="D1579" s="3">
        <v>1000</v>
      </c>
      <c r="E1579" s="1" t="str">
        <f t="shared" si="24"/>
        <v>Aug 2012</v>
      </c>
    </row>
    <row r="1580" spans="1:5" ht="10.199999999999999" x14ac:dyDescent="0.25">
      <c r="A1580" s="1">
        <v>104</v>
      </c>
      <c r="B1580" s="1" t="s">
        <v>9</v>
      </c>
      <c r="C1580" s="2">
        <v>41139</v>
      </c>
      <c r="D1580" s="3">
        <v>1000</v>
      </c>
      <c r="E1580" s="1" t="str">
        <f t="shared" si="24"/>
        <v>Aug 2012</v>
      </c>
    </row>
    <row r="1581" spans="1:5" ht="10.199999999999999" x14ac:dyDescent="0.25">
      <c r="A1581" s="1">
        <v>104</v>
      </c>
      <c r="B1581" s="1" t="s">
        <v>9</v>
      </c>
      <c r="C1581" s="2">
        <v>41142</v>
      </c>
      <c r="D1581" s="3">
        <v>1000</v>
      </c>
      <c r="E1581" s="1" t="str">
        <f t="shared" si="24"/>
        <v>Aug 2012</v>
      </c>
    </row>
    <row r="1582" spans="1:5" ht="10.199999999999999" x14ac:dyDescent="0.25">
      <c r="A1582" s="1">
        <v>104</v>
      </c>
      <c r="B1582" s="1" t="s">
        <v>9</v>
      </c>
      <c r="C1582" s="2">
        <v>41144</v>
      </c>
      <c r="D1582" s="3">
        <v>1000</v>
      </c>
      <c r="E1582" s="1" t="str">
        <f t="shared" si="24"/>
        <v>Aug 2012</v>
      </c>
    </row>
    <row r="1583" spans="1:5" ht="10.199999999999999" x14ac:dyDescent="0.25">
      <c r="A1583" s="1">
        <v>104</v>
      </c>
      <c r="B1583" s="1" t="s">
        <v>9</v>
      </c>
      <c r="C1583" s="2">
        <v>41146</v>
      </c>
      <c r="D1583" s="3">
        <v>1000</v>
      </c>
      <c r="E1583" s="1" t="str">
        <f t="shared" si="24"/>
        <v>Aug 2012</v>
      </c>
    </row>
    <row r="1584" spans="1:5" ht="10.199999999999999" x14ac:dyDescent="0.25">
      <c r="A1584" s="1">
        <v>104</v>
      </c>
      <c r="B1584" s="1" t="s">
        <v>9</v>
      </c>
      <c r="C1584" s="2">
        <v>41149</v>
      </c>
      <c r="D1584" s="3">
        <v>1000</v>
      </c>
      <c r="E1584" s="1" t="str">
        <f t="shared" si="24"/>
        <v>Aug 2012</v>
      </c>
    </row>
    <row r="1585" spans="1:5" ht="10.199999999999999" x14ac:dyDescent="0.25">
      <c r="A1585" s="1">
        <v>104</v>
      </c>
      <c r="B1585" s="1" t="s">
        <v>9</v>
      </c>
      <c r="C1585" s="2">
        <v>41151</v>
      </c>
      <c r="D1585" s="3">
        <v>1000</v>
      </c>
      <c r="E1585" s="1" t="str">
        <f t="shared" si="24"/>
        <v>Aug 2012</v>
      </c>
    </row>
    <row r="1586" spans="1:5" ht="10.199999999999999" x14ac:dyDescent="0.25">
      <c r="A1586" s="1">
        <v>104</v>
      </c>
      <c r="B1586" s="1" t="s">
        <v>9</v>
      </c>
      <c r="C1586" s="2">
        <v>41153</v>
      </c>
      <c r="D1586" s="3">
        <v>1000</v>
      </c>
      <c r="E1586" s="1" t="str">
        <f t="shared" si="24"/>
        <v>Sep 2012</v>
      </c>
    </row>
    <row r="1587" spans="1:5" ht="10.199999999999999" x14ac:dyDescent="0.25">
      <c r="A1587" s="1">
        <v>104</v>
      </c>
      <c r="B1587" s="1" t="s">
        <v>9</v>
      </c>
      <c r="C1587" s="2">
        <v>41156</v>
      </c>
      <c r="D1587" s="3">
        <v>1000</v>
      </c>
      <c r="E1587" s="1" t="str">
        <f t="shared" si="24"/>
        <v>Sep 2012</v>
      </c>
    </row>
    <row r="1588" spans="1:5" ht="10.199999999999999" x14ac:dyDescent="0.25">
      <c r="A1588" s="1">
        <v>104</v>
      </c>
      <c r="B1588" s="1" t="s">
        <v>9</v>
      </c>
      <c r="C1588" s="2">
        <v>41158</v>
      </c>
      <c r="D1588" s="3">
        <v>1200</v>
      </c>
      <c r="E1588" s="1" t="str">
        <f t="shared" si="24"/>
        <v>Sep 2012</v>
      </c>
    </row>
    <row r="1589" spans="1:5" ht="10.199999999999999" x14ac:dyDescent="0.25">
      <c r="A1589" s="1">
        <v>104</v>
      </c>
      <c r="B1589" s="1" t="s">
        <v>10</v>
      </c>
      <c r="C1589" s="2">
        <v>41165</v>
      </c>
      <c r="D1589" s="3">
        <v>3</v>
      </c>
      <c r="E1589" s="1" t="str">
        <f t="shared" si="24"/>
        <v>Sep 2012</v>
      </c>
    </row>
    <row r="1590" spans="1:5" ht="10.199999999999999" x14ac:dyDescent="0.25">
      <c r="A1590" s="1">
        <v>104</v>
      </c>
      <c r="B1590" s="1" t="s">
        <v>10</v>
      </c>
      <c r="C1590" s="2">
        <v>41193</v>
      </c>
      <c r="D1590" s="3">
        <v>2</v>
      </c>
      <c r="E1590" s="1" t="str">
        <f t="shared" si="24"/>
        <v>Oct 2012</v>
      </c>
    </row>
    <row r="1591" spans="1:5" ht="10.199999999999999" x14ac:dyDescent="0.25">
      <c r="A1591" s="1">
        <v>105</v>
      </c>
      <c r="B1591" s="1" t="s">
        <v>9</v>
      </c>
      <c r="C1591" s="2">
        <v>41127</v>
      </c>
      <c r="D1591" s="3">
        <v>7300</v>
      </c>
      <c r="E1591" s="1" t="str">
        <f t="shared" si="24"/>
        <v>Aug 2012</v>
      </c>
    </row>
    <row r="1592" spans="1:5" ht="10.199999999999999" x14ac:dyDescent="0.25">
      <c r="A1592" s="1">
        <v>105</v>
      </c>
      <c r="B1592" s="1" t="s">
        <v>9</v>
      </c>
      <c r="C1592" s="2">
        <v>41129</v>
      </c>
      <c r="D1592" s="3">
        <v>7300</v>
      </c>
      <c r="E1592" s="1" t="str">
        <f t="shared" si="24"/>
        <v>Aug 2012</v>
      </c>
    </row>
    <row r="1593" spans="1:5" ht="10.199999999999999" x14ac:dyDescent="0.25">
      <c r="A1593" s="1">
        <v>105</v>
      </c>
      <c r="B1593" s="1" t="s">
        <v>9</v>
      </c>
      <c r="C1593" s="2">
        <v>41131</v>
      </c>
      <c r="D1593" s="3">
        <v>7300</v>
      </c>
      <c r="E1593" s="1" t="str">
        <f t="shared" si="24"/>
        <v>Aug 2012</v>
      </c>
    </row>
    <row r="1594" spans="1:5" ht="10.199999999999999" x14ac:dyDescent="0.25">
      <c r="A1594" s="1">
        <v>105</v>
      </c>
      <c r="B1594" s="1" t="s">
        <v>9</v>
      </c>
      <c r="C1594" s="2">
        <v>41134</v>
      </c>
      <c r="D1594" s="3">
        <v>7300</v>
      </c>
      <c r="E1594" s="1" t="str">
        <f t="shared" si="24"/>
        <v>Aug 2012</v>
      </c>
    </row>
    <row r="1595" spans="1:5" ht="10.199999999999999" x14ac:dyDescent="0.25">
      <c r="A1595" s="1">
        <v>105</v>
      </c>
      <c r="B1595" s="1" t="s">
        <v>9</v>
      </c>
      <c r="C1595" s="2">
        <v>41136</v>
      </c>
      <c r="D1595" s="3">
        <v>7300</v>
      </c>
      <c r="E1595" s="1" t="str">
        <f t="shared" si="24"/>
        <v>Aug 2012</v>
      </c>
    </row>
    <row r="1596" spans="1:5" ht="10.199999999999999" x14ac:dyDescent="0.25">
      <c r="A1596" s="1">
        <v>105</v>
      </c>
      <c r="B1596" s="1" t="s">
        <v>9</v>
      </c>
      <c r="C1596" s="2">
        <v>41150</v>
      </c>
      <c r="D1596" s="3">
        <v>7300</v>
      </c>
      <c r="E1596" s="1" t="str">
        <f t="shared" si="24"/>
        <v>Aug 2012</v>
      </c>
    </row>
    <row r="1597" spans="1:5" ht="10.199999999999999" x14ac:dyDescent="0.25">
      <c r="A1597" s="1">
        <v>105</v>
      </c>
      <c r="B1597" s="1" t="s">
        <v>9</v>
      </c>
      <c r="C1597" s="2">
        <v>41152</v>
      </c>
      <c r="D1597" s="3">
        <v>7300</v>
      </c>
      <c r="E1597" s="1" t="str">
        <f t="shared" si="24"/>
        <v>Aug 2012</v>
      </c>
    </row>
    <row r="1598" spans="1:5" ht="10.199999999999999" x14ac:dyDescent="0.25">
      <c r="A1598" s="1">
        <v>105</v>
      </c>
      <c r="B1598" s="1" t="s">
        <v>9</v>
      </c>
      <c r="C1598" s="2">
        <v>41155</v>
      </c>
      <c r="D1598" s="3">
        <v>7300</v>
      </c>
      <c r="E1598" s="1" t="str">
        <f t="shared" si="24"/>
        <v>Sep 2012</v>
      </c>
    </row>
    <row r="1599" spans="1:5" ht="10.199999999999999" x14ac:dyDescent="0.25">
      <c r="A1599" s="1">
        <v>105</v>
      </c>
      <c r="B1599" s="1" t="s">
        <v>9</v>
      </c>
      <c r="C1599" s="2">
        <v>41157</v>
      </c>
      <c r="D1599" s="3">
        <v>7300</v>
      </c>
      <c r="E1599" s="1" t="str">
        <f t="shared" si="24"/>
        <v>Sep 2012</v>
      </c>
    </row>
    <row r="1600" spans="1:5" ht="10.199999999999999" x14ac:dyDescent="0.25">
      <c r="A1600" s="1">
        <v>105</v>
      </c>
      <c r="B1600" s="1" t="s">
        <v>10</v>
      </c>
      <c r="C1600" s="2">
        <v>41164</v>
      </c>
      <c r="D1600" s="3">
        <v>10</v>
      </c>
      <c r="E1600" s="1" t="str">
        <f t="shared" si="24"/>
        <v>Sep 2012</v>
      </c>
    </row>
    <row r="1601" spans="1:5" ht="10.199999999999999" x14ac:dyDescent="0.25">
      <c r="A1601" s="1">
        <v>105</v>
      </c>
      <c r="B1601" s="1" t="s">
        <v>10</v>
      </c>
      <c r="C1601" s="2">
        <v>41223</v>
      </c>
      <c r="D1601" s="3">
        <v>13</v>
      </c>
      <c r="E1601" s="1" t="str">
        <f t="shared" si="24"/>
        <v>Nov 2012</v>
      </c>
    </row>
    <row r="1602" spans="1:5" ht="10.199999999999999" x14ac:dyDescent="0.25">
      <c r="A1602" s="1">
        <v>105</v>
      </c>
      <c r="B1602" s="1" t="s">
        <v>10</v>
      </c>
      <c r="C1602" s="2">
        <v>41228</v>
      </c>
      <c r="D1602" s="3">
        <v>13</v>
      </c>
      <c r="E1602" s="1" t="str">
        <f t="shared" si="24"/>
        <v>Nov 2012</v>
      </c>
    </row>
    <row r="1603" spans="1:5" ht="10.199999999999999" x14ac:dyDescent="0.25">
      <c r="A1603" s="1">
        <v>106</v>
      </c>
      <c r="B1603" s="1" t="s">
        <v>9</v>
      </c>
      <c r="C1603" s="2">
        <v>41092</v>
      </c>
      <c r="D1603" s="3">
        <v>5000</v>
      </c>
      <c r="E1603" s="1" t="str">
        <f t="shared" ref="E1603:E1666" si="25">TEXT(C1603,"mmm yyyy")</f>
        <v>Jul 2012</v>
      </c>
    </row>
    <row r="1604" spans="1:5" ht="10.199999999999999" x14ac:dyDescent="0.25">
      <c r="A1604" s="1">
        <v>106</v>
      </c>
      <c r="B1604" s="1" t="s">
        <v>9</v>
      </c>
      <c r="C1604" s="2">
        <v>41094</v>
      </c>
      <c r="D1604" s="3">
        <v>5000</v>
      </c>
      <c r="E1604" s="1" t="str">
        <f t="shared" si="25"/>
        <v>Jul 2012</v>
      </c>
    </row>
    <row r="1605" spans="1:5" ht="10.199999999999999" x14ac:dyDescent="0.25">
      <c r="A1605" s="1">
        <v>106</v>
      </c>
      <c r="B1605" s="1" t="s">
        <v>9</v>
      </c>
      <c r="C1605" s="2">
        <v>41096</v>
      </c>
      <c r="D1605" s="3">
        <v>5000</v>
      </c>
      <c r="E1605" s="1" t="str">
        <f t="shared" si="25"/>
        <v>Jul 2012</v>
      </c>
    </row>
    <row r="1606" spans="1:5" ht="10.199999999999999" x14ac:dyDescent="0.25">
      <c r="A1606" s="1">
        <v>106</v>
      </c>
      <c r="B1606" s="1" t="s">
        <v>9</v>
      </c>
      <c r="C1606" s="2">
        <v>41099</v>
      </c>
      <c r="D1606" s="3">
        <v>5000</v>
      </c>
      <c r="E1606" s="1" t="str">
        <f t="shared" si="25"/>
        <v>Jul 2012</v>
      </c>
    </row>
    <row r="1607" spans="1:5" ht="10.199999999999999" x14ac:dyDescent="0.25">
      <c r="A1607" s="1">
        <v>106</v>
      </c>
      <c r="B1607" s="1" t="s">
        <v>9</v>
      </c>
      <c r="C1607" s="2">
        <v>41101</v>
      </c>
      <c r="D1607" s="3">
        <v>5000</v>
      </c>
      <c r="E1607" s="1" t="str">
        <f t="shared" si="25"/>
        <v>Jul 2012</v>
      </c>
    </row>
    <row r="1608" spans="1:5" ht="10.199999999999999" x14ac:dyDescent="0.25">
      <c r="A1608" s="1">
        <v>106</v>
      </c>
      <c r="B1608" s="1" t="s">
        <v>9</v>
      </c>
      <c r="C1608" s="2">
        <v>41103</v>
      </c>
      <c r="D1608" s="3">
        <v>5000</v>
      </c>
      <c r="E1608" s="1" t="str">
        <f t="shared" si="25"/>
        <v>Jul 2012</v>
      </c>
    </row>
    <row r="1609" spans="1:5" ht="10.199999999999999" x14ac:dyDescent="0.25">
      <c r="A1609" s="1">
        <v>106</v>
      </c>
      <c r="B1609" s="1" t="s">
        <v>9</v>
      </c>
      <c r="C1609" s="2">
        <v>41106</v>
      </c>
      <c r="D1609" s="3">
        <v>5000</v>
      </c>
      <c r="E1609" s="1" t="str">
        <f t="shared" si="25"/>
        <v>Jul 2012</v>
      </c>
    </row>
    <row r="1610" spans="1:5" ht="10.199999999999999" x14ac:dyDescent="0.25">
      <c r="A1610" s="1">
        <v>106</v>
      </c>
      <c r="B1610" s="1" t="s">
        <v>9</v>
      </c>
      <c r="C1610" s="2">
        <v>41108</v>
      </c>
      <c r="D1610" s="3">
        <v>5000</v>
      </c>
      <c r="E1610" s="1" t="str">
        <f t="shared" si="25"/>
        <v>Jul 2012</v>
      </c>
    </row>
    <row r="1611" spans="1:5" ht="10.199999999999999" x14ac:dyDescent="0.25">
      <c r="A1611" s="1">
        <v>106</v>
      </c>
      <c r="B1611" s="1" t="s">
        <v>9</v>
      </c>
      <c r="C1611" s="2">
        <v>41110</v>
      </c>
      <c r="D1611" s="3">
        <v>5500</v>
      </c>
      <c r="E1611" s="1" t="str">
        <f t="shared" si="25"/>
        <v>Jul 2012</v>
      </c>
    </row>
    <row r="1612" spans="1:5" ht="10.199999999999999" x14ac:dyDescent="0.25">
      <c r="A1612" s="1">
        <v>106</v>
      </c>
      <c r="B1612" s="1" t="s">
        <v>9</v>
      </c>
      <c r="C1612" s="2">
        <v>41113</v>
      </c>
      <c r="D1612" s="3">
        <v>5500</v>
      </c>
      <c r="E1612" s="1" t="str">
        <f t="shared" si="25"/>
        <v>Jul 2012</v>
      </c>
    </row>
    <row r="1613" spans="1:5" ht="10.199999999999999" x14ac:dyDescent="0.25">
      <c r="A1613" s="1">
        <v>106</v>
      </c>
      <c r="B1613" s="1" t="s">
        <v>9</v>
      </c>
      <c r="C1613" s="2">
        <v>41115</v>
      </c>
      <c r="D1613" s="3">
        <v>5500</v>
      </c>
      <c r="E1613" s="1" t="str">
        <f t="shared" si="25"/>
        <v>Jul 2012</v>
      </c>
    </row>
    <row r="1614" spans="1:5" ht="10.199999999999999" x14ac:dyDescent="0.25">
      <c r="A1614" s="1">
        <v>106</v>
      </c>
      <c r="B1614" s="1" t="s">
        <v>9</v>
      </c>
      <c r="C1614" s="2">
        <v>41117</v>
      </c>
      <c r="D1614" s="3">
        <v>5500</v>
      </c>
      <c r="E1614" s="1" t="str">
        <f t="shared" si="25"/>
        <v>Jul 2012</v>
      </c>
    </row>
    <row r="1615" spans="1:5" ht="10.199999999999999" x14ac:dyDescent="0.25">
      <c r="A1615" s="1">
        <v>106</v>
      </c>
      <c r="B1615" s="1" t="s">
        <v>9</v>
      </c>
      <c r="C1615" s="2">
        <v>41120</v>
      </c>
      <c r="D1615" s="3">
        <v>5500</v>
      </c>
      <c r="E1615" s="1" t="str">
        <f t="shared" si="25"/>
        <v>Jul 2012</v>
      </c>
    </row>
    <row r="1616" spans="1:5" ht="10.199999999999999" x14ac:dyDescent="0.25">
      <c r="A1616" s="1">
        <v>106</v>
      </c>
      <c r="B1616" s="1" t="s">
        <v>9</v>
      </c>
      <c r="C1616" s="2">
        <v>41123</v>
      </c>
      <c r="D1616" s="3">
        <v>5500</v>
      </c>
      <c r="E1616" s="1" t="str">
        <f t="shared" si="25"/>
        <v>Aug 2012</v>
      </c>
    </row>
    <row r="1617" spans="1:5" ht="10.199999999999999" x14ac:dyDescent="0.25">
      <c r="A1617" s="1">
        <v>106</v>
      </c>
      <c r="B1617" s="1" t="s">
        <v>9</v>
      </c>
      <c r="C1617" s="2">
        <v>41125</v>
      </c>
      <c r="D1617" s="3">
        <v>7200</v>
      </c>
      <c r="E1617" s="1" t="str">
        <f t="shared" si="25"/>
        <v>Aug 2012</v>
      </c>
    </row>
    <row r="1618" spans="1:5" ht="10.199999999999999" x14ac:dyDescent="0.25">
      <c r="A1618" s="1">
        <v>106</v>
      </c>
      <c r="B1618" s="1" t="s">
        <v>9</v>
      </c>
      <c r="C1618" s="2">
        <v>41128</v>
      </c>
      <c r="D1618" s="3">
        <v>7200</v>
      </c>
      <c r="E1618" s="1" t="str">
        <f t="shared" si="25"/>
        <v>Aug 2012</v>
      </c>
    </row>
    <row r="1619" spans="1:5" ht="10.199999999999999" x14ac:dyDescent="0.25">
      <c r="A1619" s="1">
        <v>106</v>
      </c>
      <c r="B1619" s="1" t="s">
        <v>9</v>
      </c>
      <c r="C1619" s="2">
        <v>41130</v>
      </c>
      <c r="D1619" s="3">
        <v>7200</v>
      </c>
      <c r="E1619" s="1" t="str">
        <f t="shared" si="25"/>
        <v>Aug 2012</v>
      </c>
    </row>
    <row r="1620" spans="1:5" ht="10.199999999999999" x14ac:dyDescent="0.25">
      <c r="A1620" s="1">
        <v>106</v>
      </c>
      <c r="B1620" s="1" t="s">
        <v>9</v>
      </c>
      <c r="C1620" s="2">
        <v>41132</v>
      </c>
      <c r="D1620" s="3">
        <v>7200</v>
      </c>
      <c r="E1620" s="1" t="str">
        <f t="shared" si="25"/>
        <v>Aug 2012</v>
      </c>
    </row>
    <row r="1621" spans="1:5" ht="10.199999999999999" x14ac:dyDescent="0.25">
      <c r="A1621" s="1">
        <v>106</v>
      </c>
      <c r="B1621" s="1" t="s">
        <v>9</v>
      </c>
      <c r="C1621" s="2">
        <v>41135</v>
      </c>
      <c r="D1621" s="3">
        <v>7200</v>
      </c>
      <c r="E1621" s="1" t="str">
        <f t="shared" si="25"/>
        <v>Aug 2012</v>
      </c>
    </row>
    <row r="1622" spans="1:5" ht="10.199999999999999" x14ac:dyDescent="0.25">
      <c r="A1622" s="1">
        <v>106</v>
      </c>
      <c r="B1622" s="1" t="s">
        <v>9</v>
      </c>
      <c r="C1622" s="2">
        <v>41137</v>
      </c>
      <c r="D1622" s="3">
        <v>7200</v>
      </c>
      <c r="E1622" s="1" t="str">
        <f t="shared" si="25"/>
        <v>Aug 2012</v>
      </c>
    </row>
    <row r="1623" spans="1:5" ht="10.199999999999999" x14ac:dyDescent="0.25">
      <c r="A1623" s="1">
        <v>106</v>
      </c>
      <c r="B1623" s="1" t="s">
        <v>9</v>
      </c>
      <c r="C1623" s="2">
        <v>41139</v>
      </c>
      <c r="D1623" s="3">
        <v>8000</v>
      </c>
      <c r="E1623" s="1" t="str">
        <f t="shared" si="25"/>
        <v>Aug 2012</v>
      </c>
    </row>
    <row r="1624" spans="1:5" ht="10.199999999999999" x14ac:dyDescent="0.25">
      <c r="A1624" s="1">
        <v>106</v>
      </c>
      <c r="B1624" s="1" t="s">
        <v>9</v>
      </c>
      <c r="C1624" s="2">
        <v>41142</v>
      </c>
      <c r="D1624" s="3">
        <v>8000</v>
      </c>
      <c r="E1624" s="1" t="str">
        <f t="shared" si="25"/>
        <v>Aug 2012</v>
      </c>
    </row>
    <row r="1625" spans="1:5" ht="10.199999999999999" x14ac:dyDescent="0.25">
      <c r="A1625" s="1">
        <v>106</v>
      </c>
      <c r="B1625" s="1" t="s">
        <v>9</v>
      </c>
      <c r="C1625" s="2">
        <v>41144</v>
      </c>
      <c r="D1625" s="3">
        <v>8000</v>
      </c>
      <c r="E1625" s="1" t="str">
        <f t="shared" si="25"/>
        <v>Aug 2012</v>
      </c>
    </row>
    <row r="1626" spans="1:5" ht="10.199999999999999" x14ac:dyDescent="0.25">
      <c r="A1626" s="1">
        <v>106</v>
      </c>
      <c r="B1626" s="1" t="s">
        <v>9</v>
      </c>
      <c r="C1626" s="2">
        <v>41146</v>
      </c>
      <c r="D1626" s="3">
        <v>8000</v>
      </c>
      <c r="E1626" s="1" t="str">
        <f t="shared" si="25"/>
        <v>Aug 2012</v>
      </c>
    </row>
    <row r="1627" spans="1:5" ht="10.199999999999999" x14ac:dyDescent="0.25">
      <c r="A1627" s="1">
        <v>106</v>
      </c>
      <c r="B1627" s="1" t="s">
        <v>9</v>
      </c>
      <c r="C1627" s="2">
        <v>41149</v>
      </c>
      <c r="D1627" s="3">
        <v>8000</v>
      </c>
      <c r="E1627" s="1" t="str">
        <f t="shared" si="25"/>
        <v>Aug 2012</v>
      </c>
    </row>
    <row r="1628" spans="1:5" ht="10.199999999999999" x14ac:dyDescent="0.25">
      <c r="A1628" s="1">
        <v>106</v>
      </c>
      <c r="B1628" s="1" t="s">
        <v>9</v>
      </c>
      <c r="C1628" s="2">
        <v>41151</v>
      </c>
      <c r="D1628" s="3">
        <v>8000</v>
      </c>
      <c r="E1628" s="1" t="str">
        <f t="shared" si="25"/>
        <v>Aug 2012</v>
      </c>
    </row>
    <row r="1629" spans="1:5" ht="10.199999999999999" x14ac:dyDescent="0.25">
      <c r="A1629" s="1">
        <v>106</v>
      </c>
      <c r="B1629" s="1" t="s">
        <v>9</v>
      </c>
      <c r="C1629" s="2">
        <v>41153</v>
      </c>
      <c r="D1629" s="3">
        <v>8000</v>
      </c>
      <c r="E1629" s="1" t="str">
        <f t="shared" si="25"/>
        <v>Sep 2012</v>
      </c>
    </row>
    <row r="1630" spans="1:5" ht="10.199999999999999" x14ac:dyDescent="0.25">
      <c r="A1630" s="1">
        <v>106</v>
      </c>
      <c r="B1630" s="1" t="s">
        <v>9</v>
      </c>
      <c r="C1630" s="2">
        <v>41156</v>
      </c>
      <c r="D1630" s="3">
        <v>8000</v>
      </c>
      <c r="E1630" s="1" t="str">
        <f t="shared" si="25"/>
        <v>Sep 2012</v>
      </c>
    </row>
    <row r="1631" spans="1:5" ht="10.199999999999999" x14ac:dyDescent="0.25">
      <c r="A1631" s="1">
        <v>106</v>
      </c>
      <c r="B1631" s="1" t="s">
        <v>9</v>
      </c>
      <c r="C1631" s="2">
        <v>41158</v>
      </c>
      <c r="D1631" s="3">
        <v>8000</v>
      </c>
      <c r="E1631" s="1" t="str">
        <f t="shared" si="25"/>
        <v>Sep 2012</v>
      </c>
    </row>
    <row r="1632" spans="1:5" ht="10.199999999999999" x14ac:dyDescent="0.25">
      <c r="A1632" s="1">
        <v>106</v>
      </c>
      <c r="B1632" s="1" t="s">
        <v>10</v>
      </c>
      <c r="C1632" s="2">
        <v>41165</v>
      </c>
      <c r="D1632" s="3">
        <v>13</v>
      </c>
      <c r="E1632" s="1" t="str">
        <f t="shared" si="25"/>
        <v>Sep 2012</v>
      </c>
    </row>
    <row r="1633" spans="1:5" ht="10.199999999999999" x14ac:dyDescent="0.25">
      <c r="A1633" s="1">
        <v>106</v>
      </c>
      <c r="B1633" s="1" t="s">
        <v>10</v>
      </c>
      <c r="C1633" s="2">
        <v>41193</v>
      </c>
      <c r="D1633" s="3">
        <v>13</v>
      </c>
      <c r="E1633" s="1" t="str">
        <f t="shared" si="25"/>
        <v>Oct 2012</v>
      </c>
    </row>
    <row r="1634" spans="1:5" ht="10.199999999999999" x14ac:dyDescent="0.25">
      <c r="A1634" s="1">
        <v>106</v>
      </c>
      <c r="B1634" s="1" t="s">
        <v>10</v>
      </c>
      <c r="C1634" s="2">
        <v>41228</v>
      </c>
      <c r="D1634" s="3">
        <v>13</v>
      </c>
      <c r="E1634" s="1" t="str">
        <f t="shared" si="25"/>
        <v>Nov 2012</v>
      </c>
    </row>
    <row r="1635" spans="1:5" ht="10.199999999999999" x14ac:dyDescent="0.25">
      <c r="A1635" s="1">
        <v>107</v>
      </c>
      <c r="B1635" s="1" t="s">
        <v>9</v>
      </c>
      <c r="C1635" s="2">
        <v>41097</v>
      </c>
      <c r="D1635" s="3">
        <v>4400</v>
      </c>
      <c r="E1635" s="1" t="str">
        <f t="shared" si="25"/>
        <v>Jul 2012</v>
      </c>
    </row>
    <row r="1636" spans="1:5" ht="10.199999999999999" x14ac:dyDescent="0.25">
      <c r="A1636" s="1">
        <v>108</v>
      </c>
      <c r="B1636" s="1" t="s">
        <v>9</v>
      </c>
      <c r="C1636" s="2">
        <v>41093</v>
      </c>
      <c r="D1636" s="3">
        <v>4300</v>
      </c>
      <c r="E1636" s="1" t="str">
        <f t="shared" si="25"/>
        <v>Jul 2012</v>
      </c>
    </row>
    <row r="1637" spans="1:5" ht="10.199999999999999" x14ac:dyDescent="0.25">
      <c r="A1637" s="1">
        <v>108</v>
      </c>
      <c r="B1637" s="1" t="s">
        <v>9</v>
      </c>
      <c r="C1637" s="2">
        <v>41095</v>
      </c>
      <c r="D1637" s="3">
        <v>4300</v>
      </c>
      <c r="E1637" s="1" t="str">
        <f t="shared" si="25"/>
        <v>Jul 2012</v>
      </c>
    </row>
    <row r="1638" spans="1:5" ht="10.199999999999999" x14ac:dyDescent="0.25">
      <c r="A1638" s="1">
        <v>108</v>
      </c>
      <c r="B1638" s="1" t="s">
        <v>9</v>
      </c>
      <c r="C1638" s="2">
        <v>41097</v>
      </c>
      <c r="D1638" s="3">
        <v>4300</v>
      </c>
      <c r="E1638" s="1" t="str">
        <f t="shared" si="25"/>
        <v>Jul 2012</v>
      </c>
    </row>
    <row r="1639" spans="1:5" ht="10.199999999999999" x14ac:dyDescent="0.25">
      <c r="A1639" s="1">
        <v>108</v>
      </c>
      <c r="B1639" s="1" t="s">
        <v>9</v>
      </c>
      <c r="C1639" s="2">
        <v>41100</v>
      </c>
      <c r="D1639" s="3">
        <v>4300</v>
      </c>
      <c r="E1639" s="1" t="str">
        <f t="shared" si="25"/>
        <v>Jul 2012</v>
      </c>
    </row>
    <row r="1640" spans="1:5" ht="10.199999999999999" x14ac:dyDescent="0.25">
      <c r="A1640" s="1">
        <v>108</v>
      </c>
      <c r="B1640" s="1" t="s">
        <v>9</v>
      </c>
      <c r="C1640" s="2">
        <v>41102</v>
      </c>
      <c r="D1640" s="3">
        <v>4300</v>
      </c>
      <c r="E1640" s="1" t="str">
        <f t="shared" si="25"/>
        <v>Jul 2012</v>
      </c>
    </row>
    <row r="1641" spans="1:5" ht="10.199999999999999" x14ac:dyDescent="0.25">
      <c r="A1641" s="1">
        <v>108</v>
      </c>
      <c r="B1641" s="1" t="s">
        <v>9</v>
      </c>
      <c r="C1641" s="2">
        <v>41104</v>
      </c>
      <c r="D1641" s="3">
        <v>4300</v>
      </c>
      <c r="E1641" s="1" t="str">
        <f t="shared" si="25"/>
        <v>Jul 2012</v>
      </c>
    </row>
    <row r="1642" spans="1:5" ht="10.199999999999999" x14ac:dyDescent="0.25">
      <c r="A1642" s="1">
        <v>108</v>
      </c>
      <c r="B1642" s="1" t="s">
        <v>9</v>
      </c>
      <c r="C1642" s="2">
        <v>41107</v>
      </c>
      <c r="D1642" s="3">
        <v>4300</v>
      </c>
      <c r="E1642" s="1" t="str">
        <f t="shared" si="25"/>
        <v>Jul 2012</v>
      </c>
    </row>
    <row r="1643" spans="1:5" ht="10.199999999999999" x14ac:dyDescent="0.25">
      <c r="A1643" s="1">
        <v>108</v>
      </c>
      <c r="B1643" s="1" t="s">
        <v>9</v>
      </c>
      <c r="C1643" s="2">
        <v>41109</v>
      </c>
      <c r="D1643" s="3">
        <v>4300</v>
      </c>
      <c r="E1643" s="1" t="str">
        <f t="shared" si="25"/>
        <v>Jul 2012</v>
      </c>
    </row>
    <row r="1644" spans="1:5" ht="10.199999999999999" x14ac:dyDescent="0.25">
      <c r="A1644" s="1">
        <v>108</v>
      </c>
      <c r="B1644" s="1" t="s">
        <v>9</v>
      </c>
      <c r="C1644" s="2">
        <v>41111</v>
      </c>
      <c r="D1644" s="3">
        <v>3900</v>
      </c>
      <c r="E1644" s="1" t="str">
        <f t="shared" si="25"/>
        <v>Jul 2012</v>
      </c>
    </row>
    <row r="1645" spans="1:5" ht="10.199999999999999" x14ac:dyDescent="0.25">
      <c r="A1645" s="1">
        <v>108</v>
      </c>
      <c r="B1645" s="1" t="s">
        <v>9</v>
      </c>
      <c r="C1645" s="2">
        <v>41114</v>
      </c>
      <c r="D1645" s="3">
        <v>3900</v>
      </c>
      <c r="E1645" s="1" t="str">
        <f t="shared" si="25"/>
        <v>Jul 2012</v>
      </c>
    </row>
    <row r="1646" spans="1:5" ht="10.199999999999999" x14ac:dyDescent="0.25">
      <c r="A1646" s="1">
        <v>108</v>
      </c>
      <c r="B1646" s="1" t="s">
        <v>9</v>
      </c>
      <c r="C1646" s="2">
        <v>41116</v>
      </c>
      <c r="D1646" s="3">
        <v>3900</v>
      </c>
      <c r="E1646" s="1" t="str">
        <f t="shared" si="25"/>
        <v>Jul 2012</v>
      </c>
    </row>
    <row r="1647" spans="1:5" ht="10.199999999999999" x14ac:dyDescent="0.25">
      <c r="A1647" s="1">
        <v>108</v>
      </c>
      <c r="B1647" s="1" t="s">
        <v>9</v>
      </c>
      <c r="C1647" s="2">
        <v>41118</v>
      </c>
      <c r="D1647" s="3">
        <v>3900</v>
      </c>
      <c r="E1647" s="1" t="str">
        <f t="shared" si="25"/>
        <v>Jul 2012</v>
      </c>
    </row>
    <row r="1648" spans="1:5" ht="10.199999999999999" x14ac:dyDescent="0.25">
      <c r="A1648" s="1">
        <v>108</v>
      </c>
      <c r="B1648" s="1" t="s">
        <v>9</v>
      </c>
      <c r="C1648" s="2">
        <v>41122</v>
      </c>
      <c r="D1648" s="3">
        <v>3900</v>
      </c>
      <c r="E1648" s="1" t="str">
        <f t="shared" si="25"/>
        <v>Aug 2012</v>
      </c>
    </row>
    <row r="1649" spans="1:5" ht="10.199999999999999" x14ac:dyDescent="0.25">
      <c r="A1649" s="1">
        <v>108</v>
      </c>
      <c r="B1649" s="1" t="s">
        <v>9</v>
      </c>
      <c r="C1649" s="2">
        <v>41123</v>
      </c>
      <c r="D1649" s="3">
        <v>3900</v>
      </c>
      <c r="E1649" s="1" t="str">
        <f t="shared" si="25"/>
        <v>Aug 2012</v>
      </c>
    </row>
    <row r="1650" spans="1:5" ht="10.199999999999999" x14ac:dyDescent="0.25">
      <c r="A1650" s="1">
        <v>108</v>
      </c>
      <c r="B1650" s="1" t="s">
        <v>9</v>
      </c>
      <c r="C1650" s="2">
        <v>41139</v>
      </c>
      <c r="D1650" s="3">
        <v>3200</v>
      </c>
      <c r="E1650" s="1" t="str">
        <f t="shared" si="25"/>
        <v>Aug 2012</v>
      </c>
    </row>
    <row r="1651" spans="1:5" ht="10.199999999999999" x14ac:dyDescent="0.25">
      <c r="A1651" s="1">
        <v>108</v>
      </c>
      <c r="B1651" s="1" t="s">
        <v>9</v>
      </c>
      <c r="C1651" s="2">
        <v>41142</v>
      </c>
      <c r="D1651" s="3">
        <v>3200</v>
      </c>
      <c r="E1651" s="1" t="str">
        <f t="shared" si="25"/>
        <v>Aug 2012</v>
      </c>
    </row>
    <row r="1652" spans="1:5" ht="10.199999999999999" x14ac:dyDescent="0.25">
      <c r="A1652" s="1">
        <v>108</v>
      </c>
      <c r="B1652" s="1" t="s">
        <v>9</v>
      </c>
      <c r="C1652" s="2">
        <v>41144</v>
      </c>
      <c r="D1652" s="3">
        <v>3200</v>
      </c>
      <c r="E1652" s="1" t="str">
        <f t="shared" si="25"/>
        <v>Aug 2012</v>
      </c>
    </row>
    <row r="1653" spans="1:5" ht="10.199999999999999" x14ac:dyDescent="0.25">
      <c r="A1653" s="1">
        <v>108</v>
      </c>
      <c r="B1653" s="1" t="s">
        <v>10</v>
      </c>
      <c r="C1653" s="2">
        <v>41193</v>
      </c>
      <c r="D1653" s="3">
        <v>1</v>
      </c>
      <c r="E1653" s="1" t="str">
        <f t="shared" si="25"/>
        <v>Oct 2012</v>
      </c>
    </row>
    <row r="1654" spans="1:5" ht="10.199999999999999" x14ac:dyDescent="0.25">
      <c r="A1654" s="1">
        <v>108</v>
      </c>
      <c r="B1654" s="1" t="s">
        <v>10</v>
      </c>
      <c r="C1654" s="2">
        <v>41244</v>
      </c>
      <c r="D1654" s="3">
        <v>1</v>
      </c>
      <c r="E1654" s="1" t="str">
        <f t="shared" si="25"/>
        <v>Dec 2012</v>
      </c>
    </row>
    <row r="1655" spans="1:5" ht="10.199999999999999" x14ac:dyDescent="0.25">
      <c r="A1655" s="1">
        <v>109</v>
      </c>
      <c r="B1655" s="1" t="s">
        <v>9</v>
      </c>
      <c r="C1655" s="2">
        <v>41092</v>
      </c>
      <c r="D1655" s="3">
        <v>200</v>
      </c>
      <c r="E1655" s="1" t="str">
        <f t="shared" si="25"/>
        <v>Jul 2012</v>
      </c>
    </row>
    <row r="1656" spans="1:5" ht="10.199999999999999" x14ac:dyDescent="0.25">
      <c r="A1656" s="1">
        <v>109</v>
      </c>
      <c r="B1656" s="1" t="s">
        <v>9</v>
      </c>
      <c r="C1656" s="2">
        <v>41094</v>
      </c>
      <c r="D1656" s="3">
        <v>200</v>
      </c>
      <c r="E1656" s="1" t="str">
        <f t="shared" si="25"/>
        <v>Jul 2012</v>
      </c>
    </row>
    <row r="1657" spans="1:5" ht="10.199999999999999" x14ac:dyDescent="0.25">
      <c r="A1657" s="1">
        <v>109</v>
      </c>
      <c r="B1657" s="1" t="s">
        <v>10</v>
      </c>
      <c r="C1657" s="2">
        <v>41178</v>
      </c>
      <c r="D1657" s="3">
        <v>1</v>
      </c>
      <c r="E1657" s="1" t="str">
        <f t="shared" si="25"/>
        <v>Sep 2012</v>
      </c>
    </row>
    <row r="1658" spans="1:5" ht="10.199999999999999" x14ac:dyDescent="0.25">
      <c r="A1658" s="1">
        <v>109</v>
      </c>
      <c r="B1658" s="1" t="s">
        <v>10</v>
      </c>
      <c r="C1658" s="2">
        <v>41192</v>
      </c>
      <c r="D1658" s="3">
        <v>2</v>
      </c>
      <c r="E1658" s="1" t="str">
        <f t="shared" si="25"/>
        <v>Oct 2012</v>
      </c>
    </row>
    <row r="1659" spans="1:5" ht="10.199999999999999" x14ac:dyDescent="0.25">
      <c r="A1659" s="1">
        <v>109</v>
      </c>
      <c r="B1659" s="1" t="s">
        <v>10</v>
      </c>
      <c r="C1659" s="2">
        <v>41227</v>
      </c>
      <c r="D1659" s="3">
        <v>3</v>
      </c>
      <c r="E1659" s="1" t="str">
        <f t="shared" si="25"/>
        <v>Nov 2012</v>
      </c>
    </row>
    <row r="1660" spans="1:5" ht="10.199999999999999" x14ac:dyDescent="0.25">
      <c r="A1660" s="1">
        <v>110</v>
      </c>
      <c r="B1660" s="1" t="s">
        <v>9</v>
      </c>
      <c r="C1660" s="2">
        <v>41093</v>
      </c>
      <c r="D1660" s="3">
        <v>4900</v>
      </c>
      <c r="E1660" s="1" t="str">
        <f t="shared" si="25"/>
        <v>Jul 2012</v>
      </c>
    </row>
    <row r="1661" spans="1:5" ht="10.199999999999999" x14ac:dyDescent="0.25">
      <c r="A1661" s="1">
        <v>110</v>
      </c>
      <c r="B1661" s="1" t="s">
        <v>9</v>
      </c>
      <c r="C1661" s="2">
        <v>41095</v>
      </c>
      <c r="D1661" s="3">
        <v>4900</v>
      </c>
      <c r="E1661" s="1" t="str">
        <f t="shared" si="25"/>
        <v>Jul 2012</v>
      </c>
    </row>
    <row r="1662" spans="1:5" ht="10.199999999999999" x14ac:dyDescent="0.25">
      <c r="A1662" s="1">
        <v>110</v>
      </c>
      <c r="B1662" s="1" t="s">
        <v>9</v>
      </c>
      <c r="C1662" s="2">
        <v>41097</v>
      </c>
      <c r="D1662" s="3">
        <v>4900</v>
      </c>
      <c r="E1662" s="1" t="str">
        <f t="shared" si="25"/>
        <v>Jul 2012</v>
      </c>
    </row>
    <row r="1663" spans="1:5" ht="10.199999999999999" x14ac:dyDescent="0.25">
      <c r="A1663" s="1">
        <v>110</v>
      </c>
      <c r="B1663" s="1" t="s">
        <v>9</v>
      </c>
      <c r="C1663" s="2">
        <v>41100</v>
      </c>
      <c r="D1663" s="3">
        <v>4900</v>
      </c>
      <c r="E1663" s="1" t="str">
        <f t="shared" si="25"/>
        <v>Jul 2012</v>
      </c>
    </row>
    <row r="1664" spans="1:5" ht="10.199999999999999" x14ac:dyDescent="0.25">
      <c r="A1664" s="1">
        <v>110</v>
      </c>
      <c r="B1664" s="1" t="s">
        <v>9</v>
      </c>
      <c r="C1664" s="2">
        <v>41102</v>
      </c>
      <c r="D1664" s="3">
        <v>4900</v>
      </c>
      <c r="E1664" s="1" t="str">
        <f t="shared" si="25"/>
        <v>Jul 2012</v>
      </c>
    </row>
    <row r="1665" spans="1:5" ht="10.199999999999999" x14ac:dyDescent="0.25">
      <c r="A1665" s="1">
        <v>110</v>
      </c>
      <c r="B1665" s="1" t="s">
        <v>9</v>
      </c>
      <c r="C1665" s="2">
        <v>41104</v>
      </c>
      <c r="D1665" s="3">
        <v>4900</v>
      </c>
      <c r="E1665" s="1" t="str">
        <f t="shared" si="25"/>
        <v>Jul 2012</v>
      </c>
    </row>
    <row r="1666" spans="1:5" ht="10.199999999999999" x14ac:dyDescent="0.25">
      <c r="A1666" s="1">
        <v>110</v>
      </c>
      <c r="B1666" s="1" t="s">
        <v>9</v>
      </c>
      <c r="C1666" s="2">
        <v>41107</v>
      </c>
      <c r="D1666" s="3">
        <v>4900</v>
      </c>
      <c r="E1666" s="1" t="str">
        <f t="shared" si="25"/>
        <v>Jul 2012</v>
      </c>
    </row>
    <row r="1667" spans="1:5" ht="10.199999999999999" x14ac:dyDescent="0.25">
      <c r="A1667" s="1">
        <v>110</v>
      </c>
      <c r="B1667" s="1" t="s">
        <v>9</v>
      </c>
      <c r="C1667" s="2">
        <v>41109</v>
      </c>
      <c r="D1667" s="3">
        <v>4900</v>
      </c>
      <c r="E1667" s="1" t="str">
        <f t="shared" ref="E1667:E1730" si="26">TEXT(C1667,"mmm yyyy")</f>
        <v>Jul 2012</v>
      </c>
    </row>
    <row r="1668" spans="1:5" ht="10.199999999999999" x14ac:dyDescent="0.25">
      <c r="A1668" s="1">
        <v>110</v>
      </c>
      <c r="B1668" s="1" t="s">
        <v>9</v>
      </c>
      <c r="C1668" s="2">
        <v>41111</v>
      </c>
      <c r="D1668" s="3">
        <v>4900</v>
      </c>
      <c r="E1668" s="1" t="str">
        <f t="shared" si="26"/>
        <v>Jul 2012</v>
      </c>
    </row>
    <row r="1669" spans="1:5" ht="10.199999999999999" x14ac:dyDescent="0.25">
      <c r="A1669" s="1">
        <v>110</v>
      </c>
      <c r="B1669" s="1" t="s">
        <v>9</v>
      </c>
      <c r="C1669" s="2">
        <v>41114</v>
      </c>
      <c r="D1669" s="3">
        <v>4900</v>
      </c>
      <c r="E1669" s="1" t="str">
        <f t="shared" si="26"/>
        <v>Jul 2012</v>
      </c>
    </row>
    <row r="1670" spans="1:5" ht="10.199999999999999" x14ac:dyDescent="0.25">
      <c r="A1670" s="1">
        <v>110</v>
      </c>
      <c r="B1670" s="1" t="s">
        <v>9</v>
      </c>
      <c r="C1670" s="2">
        <v>41116</v>
      </c>
      <c r="D1670" s="3">
        <v>4900</v>
      </c>
      <c r="E1670" s="1" t="str">
        <f t="shared" si="26"/>
        <v>Jul 2012</v>
      </c>
    </row>
    <row r="1671" spans="1:5" ht="10.199999999999999" x14ac:dyDescent="0.25">
      <c r="A1671" s="1">
        <v>110</v>
      </c>
      <c r="B1671" s="1" t="s">
        <v>9</v>
      </c>
      <c r="C1671" s="2">
        <v>41118</v>
      </c>
      <c r="D1671" s="3">
        <v>4900</v>
      </c>
      <c r="E1671" s="1" t="str">
        <f t="shared" si="26"/>
        <v>Jul 2012</v>
      </c>
    </row>
    <row r="1672" spans="1:5" ht="10.199999999999999" x14ac:dyDescent="0.25">
      <c r="A1672" s="1">
        <v>110</v>
      </c>
      <c r="B1672" s="1" t="s">
        <v>9</v>
      </c>
      <c r="C1672" s="2">
        <v>41121</v>
      </c>
      <c r="D1672" s="3">
        <v>4900</v>
      </c>
      <c r="E1672" s="1" t="str">
        <f t="shared" si="26"/>
        <v>Jul 2012</v>
      </c>
    </row>
    <row r="1673" spans="1:5" ht="10.199999999999999" x14ac:dyDescent="0.25">
      <c r="A1673" s="1">
        <v>110</v>
      </c>
      <c r="B1673" s="1" t="s">
        <v>9</v>
      </c>
      <c r="C1673" s="2">
        <v>41123</v>
      </c>
      <c r="D1673" s="3">
        <v>4900</v>
      </c>
      <c r="E1673" s="1" t="str">
        <f t="shared" si="26"/>
        <v>Aug 2012</v>
      </c>
    </row>
    <row r="1674" spans="1:5" ht="10.199999999999999" x14ac:dyDescent="0.25">
      <c r="A1674" s="1">
        <v>110</v>
      </c>
      <c r="B1674" s="1" t="s">
        <v>9</v>
      </c>
      <c r="C1674" s="2">
        <v>41125</v>
      </c>
      <c r="D1674" s="3">
        <v>5400</v>
      </c>
      <c r="E1674" s="1" t="str">
        <f t="shared" si="26"/>
        <v>Aug 2012</v>
      </c>
    </row>
    <row r="1675" spans="1:5" ht="10.199999999999999" x14ac:dyDescent="0.25">
      <c r="A1675" s="1">
        <v>110</v>
      </c>
      <c r="B1675" s="1" t="s">
        <v>9</v>
      </c>
      <c r="C1675" s="2">
        <v>41128</v>
      </c>
      <c r="D1675" s="3">
        <v>5400</v>
      </c>
      <c r="E1675" s="1" t="str">
        <f t="shared" si="26"/>
        <v>Aug 2012</v>
      </c>
    </row>
    <row r="1676" spans="1:5" ht="10.199999999999999" x14ac:dyDescent="0.25">
      <c r="A1676" s="1">
        <v>110</v>
      </c>
      <c r="B1676" s="1" t="s">
        <v>9</v>
      </c>
      <c r="C1676" s="2">
        <v>41130</v>
      </c>
      <c r="D1676" s="3">
        <v>5400</v>
      </c>
      <c r="E1676" s="1" t="str">
        <f t="shared" si="26"/>
        <v>Aug 2012</v>
      </c>
    </row>
    <row r="1677" spans="1:5" ht="10.199999999999999" x14ac:dyDescent="0.25">
      <c r="A1677" s="1">
        <v>110</v>
      </c>
      <c r="B1677" s="1" t="s">
        <v>9</v>
      </c>
      <c r="C1677" s="2">
        <v>41132</v>
      </c>
      <c r="D1677" s="3">
        <v>5400</v>
      </c>
      <c r="E1677" s="1" t="str">
        <f t="shared" si="26"/>
        <v>Aug 2012</v>
      </c>
    </row>
    <row r="1678" spans="1:5" ht="10.199999999999999" x14ac:dyDescent="0.25">
      <c r="A1678" s="1">
        <v>110</v>
      </c>
      <c r="B1678" s="1" t="s">
        <v>9</v>
      </c>
      <c r="C1678" s="2">
        <v>41135</v>
      </c>
      <c r="D1678" s="3">
        <v>5400</v>
      </c>
      <c r="E1678" s="1" t="str">
        <f t="shared" si="26"/>
        <v>Aug 2012</v>
      </c>
    </row>
    <row r="1679" spans="1:5" ht="10.199999999999999" x14ac:dyDescent="0.25">
      <c r="A1679" s="1">
        <v>110</v>
      </c>
      <c r="B1679" s="1" t="s">
        <v>9</v>
      </c>
      <c r="C1679" s="2">
        <v>41137</v>
      </c>
      <c r="D1679" s="3">
        <v>5400</v>
      </c>
      <c r="E1679" s="1" t="str">
        <f t="shared" si="26"/>
        <v>Aug 2012</v>
      </c>
    </row>
    <row r="1680" spans="1:5" ht="10.199999999999999" x14ac:dyDescent="0.25">
      <c r="A1680" s="1">
        <v>110</v>
      </c>
      <c r="B1680" s="1" t="s">
        <v>9</v>
      </c>
      <c r="C1680" s="2">
        <v>41139</v>
      </c>
      <c r="D1680" s="3">
        <v>5400</v>
      </c>
      <c r="E1680" s="1" t="str">
        <f t="shared" si="26"/>
        <v>Aug 2012</v>
      </c>
    </row>
    <row r="1681" spans="1:5" ht="10.199999999999999" x14ac:dyDescent="0.25">
      <c r="A1681" s="1">
        <v>110</v>
      </c>
      <c r="B1681" s="1" t="s">
        <v>9</v>
      </c>
      <c r="C1681" s="2">
        <v>41142</v>
      </c>
      <c r="D1681" s="3">
        <v>5400</v>
      </c>
      <c r="E1681" s="1" t="str">
        <f t="shared" si="26"/>
        <v>Aug 2012</v>
      </c>
    </row>
    <row r="1682" spans="1:5" ht="10.199999999999999" x14ac:dyDescent="0.25">
      <c r="A1682" s="1">
        <v>110</v>
      </c>
      <c r="B1682" s="1" t="s">
        <v>9</v>
      </c>
      <c r="C1682" s="2">
        <v>41144</v>
      </c>
      <c r="D1682" s="3">
        <v>5400</v>
      </c>
      <c r="E1682" s="1" t="str">
        <f t="shared" si="26"/>
        <v>Aug 2012</v>
      </c>
    </row>
    <row r="1683" spans="1:5" ht="10.199999999999999" x14ac:dyDescent="0.25">
      <c r="A1683" s="1">
        <v>110</v>
      </c>
      <c r="B1683" s="1" t="s">
        <v>9</v>
      </c>
      <c r="C1683" s="2">
        <v>41146</v>
      </c>
      <c r="D1683" s="3">
        <v>5400</v>
      </c>
      <c r="E1683" s="1" t="str">
        <f t="shared" si="26"/>
        <v>Aug 2012</v>
      </c>
    </row>
    <row r="1684" spans="1:5" ht="10.199999999999999" x14ac:dyDescent="0.25">
      <c r="A1684" s="1">
        <v>110</v>
      </c>
      <c r="B1684" s="1" t="s">
        <v>9</v>
      </c>
      <c r="C1684" s="2">
        <v>41149</v>
      </c>
      <c r="D1684" s="3">
        <v>5400</v>
      </c>
      <c r="E1684" s="1" t="str">
        <f t="shared" si="26"/>
        <v>Aug 2012</v>
      </c>
    </row>
    <row r="1685" spans="1:5" ht="10.199999999999999" x14ac:dyDescent="0.25">
      <c r="A1685" s="1">
        <v>110</v>
      </c>
      <c r="B1685" s="1" t="s">
        <v>9</v>
      </c>
      <c r="C1685" s="2">
        <v>41151</v>
      </c>
      <c r="D1685" s="3">
        <v>5400</v>
      </c>
      <c r="E1685" s="1" t="str">
        <f t="shared" si="26"/>
        <v>Aug 2012</v>
      </c>
    </row>
    <row r="1686" spans="1:5" ht="10.199999999999999" x14ac:dyDescent="0.25">
      <c r="A1686" s="1">
        <v>110</v>
      </c>
      <c r="B1686" s="1" t="s">
        <v>9</v>
      </c>
      <c r="C1686" s="2">
        <v>41153</v>
      </c>
      <c r="D1686" s="3">
        <v>5400</v>
      </c>
      <c r="E1686" s="1" t="str">
        <f t="shared" si="26"/>
        <v>Sep 2012</v>
      </c>
    </row>
    <row r="1687" spans="1:5" ht="10.199999999999999" x14ac:dyDescent="0.25">
      <c r="A1687" s="1">
        <v>110</v>
      </c>
      <c r="B1687" s="1" t="s">
        <v>9</v>
      </c>
      <c r="C1687" s="2">
        <v>41156</v>
      </c>
      <c r="D1687" s="3">
        <v>5400</v>
      </c>
      <c r="E1687" s="1" t="str">
        <f t="shared" si="26"/>
        <v>Sep 2012</v>
      </c>
    </row>
    <row r="1688" spans="1:5" ht="10.199999999999999" x14ac:dyDescent="0.25">
      <c r="A1688" s="1">
        <v>110</v>
      </c>
      <c r="B1688" s="1" t="s">
        <v>9</v>
      </c>
      <c r="C1688" s="2">
        <v>41158</v>
      </c>
      <c r="D1688" s="3">
        <v>5400</v>
      </c>
      <c r="E1688" s="1" t="str">
        <f t="shared" si="26"/>
        <v>Sep 2012</v>
      </c>
    </row>
    <row r="1689" spans="1:5" ht="10.199999999999999" x14ac:dyDescent="0.25">
      <c r="A1689" s="1">
        <v>110</v>
      </c>
      <c r="B1689" s="1" t="s">
        <v>10</v>
      </c>
      <c r="C1689" s="2">
        <v>41165</v>
      </c>
      <c r="D1689" s="3">
        <v>8</v>
      </c>
      <c r="E1689" s="1" t="str">
        <f t="shared" si="26"/>
        <v>Sep 2012</v>
      </c>
    </row>
    <row r="1690" spans="1:5" ht="10.199999999999999" x14ac:dyDescent="0.25">
      <c r="A1690" s="1">
        <v>110</v>
      </c>
      <c r="B1690" s="1" t="s">
        <v>10</v>
      </c>
      <c r="C1690" s="2">
        <v>41193</v>
      </c>
      <c r="D1690" s="3">
        <v>8</v>
      </c>
      <c r="E1690" s="1" t="str">
        <f t="shared" si="26"/>
        <v>Oct 2012</v>
      </c>
    </row>
    <row r="1691" spans="1:5" ht="10.199999999999999" x14ac:dyDescent="0.25">
      <c r="A1691" s="1">
        <v>110</v>
      </c>
      <c r="B1691" s="1" t="s">
        <v>10</v>
      </c>
      <c r="C1691" s="2">
        <v>41234</v>
      </c>
      <c r="D1691" s="3">
        <v>10</v>
      </c>
      <c r="E1691" s="1" t="str">
        <f t="shared" si="26"/>
        <v>Nov 2012</v>
      </c>
    </row>
    <row r="1692" spans="1:5" ht="10.199999999999999" x14ac:dyDescent="0.25">
      <c r="A1692" s="1">
        <v>111</v>
      </c>
      <c r="B1692" s="1" t="s">
        <v>9</v>
      </c>
      <c r="C1692" s="2">
        <v>41093</v>
      </c>
      <c r="D1692" s="3">
        <v>700</v>
      </c>
      <c r="E1692" s="1" t="str">
        <f t="shared" si="26"/>
        <v>Jul 2012</v>
      </c>
    </row>
    <row r="1693" spans="1:5" ht="10.199999999999999" x14ac:dyDescent="0.25">
      <c r="A1693" s="1">
        <v>111</v>
      </c>
      <c r="B1693" s="1" t="s">
        <v>9</v>
      </c>
      <c r="C1693" s="2">
        <v>41095</v>
      </c>
      <c r="D1693" s="3">
        <v>700</v>
      </c>
      <c r="E1693" s="1" t="str">
        <f t="shared" si="26"/>
        <v>Jul 2012</v>
      </c>
    </row>
    <row r="1694" spans="1:5" ht="10.199999999999999" x14ac:dyDescent="0.25">
      <c r="A1694" s="1">
        <v>111</v>
      </c>
      <c r="B1694" s="1" t="s">
        <v>9</v>
      </c>
      <c r="C1694" s="2">
        <v>41097</v>
      </c>
      <c r="D1694" s="3">
        <v>700</v>
      </c>
      <c r="E1694" s="1" t="str">
        <f t="shared" si="26"/>
        <v>Jul 2012</v>
      </c>
    </row>
    <row r="1695" spans="1:5" ht="10.199999999999999" x14ac:dyDescent="0.25">
      <c r="A1695" s="1">
        <v>111</v>
      </c>
      <c r="B1695" s="1" t="s">
        <v>9</v>
      </c>
      <c r="C1695" s="2">
        <v>41100</v>
      </c>
      <c r="D1695" s="3">
        <v>700</v>
      </c>
      <c r="E1695" s="1" t="str">
        <f t="shared" si="26"/>
        <v>Jul 2012</v>
      </c>
    </row>
    <row r="1696" spans="1:5" ht="10.199999999999999" x14ac:dyDescent="0.25">
      <c r="A1696" s="1">
        <v>111</v>
      </c>
      <c r="B1696" s="1" t="s">
        <v>9</v>
      </c>
      <c r="C1696" s="2">
        <v>41102</v>
      </c>
      <c r="D1696" s="3">
        <v>700</v>
      </c>
      <c r="E1696" s="1" t="str">
        <f t="shared" si="26"/>
        <v>Jul 2012</v>
      </c>
    </row>
    <row r="1697" spans="1:5" ht="10.199999999999999" x14ac:dyDescent="0.25">
      <c r="A1697" s="1">
        <v>111</v>
      </c>
      <c r="B1697" s="1" t="s">
        <v>9</v>
      </c>
      <c r="C1697" s="2">
        <v>41104</v>
      </c>
      <c r="D1697" s="3">
        <v>700</v>
      </c>
      <c r="E1697" s="1" t="str">
        <f t="shared" si="26"/>
        <v>Jul 2012</v>
      </c>
    </row>
    <row r="1698" spans="1:5" ht="10.199999999999999" x14ac:dyDescent="0.25">
      <c r="A1698" s="1">
        <v>111</v>
      </c>
      <c r="B1698" s="1" t="s">
        <v>9</v>
      </c>
      <c r="C1698" s="2">
        <v>41107</v>
      </c>
      <c r="D1698" s="3">
        <v>700</v>
      </c>
      <c r="E1698" s="1" t="str">
        <f t="shared" si="26"/>
        <v>Jul 2012</v>
      </c>
    </row>
    <row r="1699" spans="1:5" ht="10.199999999999999" x14ac:dyDescent="0.25">
      <c r="A1699" s="1">
        <v>111</v>
      </c>
      <c r="B1699" s="1" t="s">
        <v>9</v>
      </c>
      <c r="C1699" s="2">
        <v>41109</v>
      </c>
      <c r="D1699" s="3">
        <v>700</v>
      </c>
      <c r="E1699" s="1" t="str">
        <f t="shared" si="26"/>
        <v>Jul 2012</v>
      </c>
    </row>
    <row r="1700" spans="1:5" ht="10.199999999999999" x14ac:dyDescent="0.25">
      <c r="A1700" s="1">
        <v>111</v>
      </c>
      <c r="B1700" s="1" t="s">
        <v>9</v>
      </c>
      <c r="C1700" s="2">
        <v>41130</v>
      </c>
      <c r="D1700" s="3">
        <v>500</v>
      </c>
      <c r="E1700" s="1" t="str">
        <f t="shared" si="26"/>
        <v>Aug 2012</v>
      </c>
    </row>
    <row r="1701" spans="1:5" ht="10.199999999999999" x14ac:dyDescent="0.25">
      <c r="A1701" s="1">
        <v>111</v>
      </c>
      <c r="B1701" s="1" t="s">
        <v>9</v>
      </c>
      <c r="C1701" s="2">
        <v>41132</v>
      </c>
      <c r="D1701" s="3">
        <v>500</v>
      </c>
      <c r="E1701" s="1" t="str">
        <f t="shared" si="26"/>
        <v>Aug 2012</v>
      </c>
    </row>
    <row r="1702" spans="1:5" ht="10.199999999999999" x14ac:dyDescent="0.25">
      <c r="A1702" s="1">
        <v>111</v>
      </c>
      <c r="B1702" s="1" t="s">
        <v>9</v>
      </c>
      <c r="C1702" s="2">
        <v>41135</v>
      </c>
      <c r="D1702" s="3">
        <v>500</v>
      </c>
      <c r="E1702" s="1" t="str">
        <f t="shared" si="26"/>
        <v>Aug 2012</v>
      </c>
    </row>
    <row r="1703" spans="1:5" ht="10.199999999999999" x14ac:dyDescent="0.25">
      <c r="A1703" s="1">
        <v>111</v>
      </c>
      <c r="B1703" s="1" t="s">
        <v>9</v>
      </c>
      <c r="C1703" s="2">
        <v>41137</v>
      </c>
      <c r="D1703" s="3">
        <v>500</v>
      </c>
      <c r="E1703" s="1" t="str">
        <f t="shared" si="26"/>
        <v>Aug 2012</v>
      </c>
    </row>
    <row r="1704" spans="1:5" ht="10.199999999999999" x14ac:dyDescent="0.25">
      <c r="A1704" s="1">
        <v>111</v>
      </c>
      <c r="B1704" s="1" t="s">
        <v>9</v>
      </c>
      <c r="C1704" s="2">
        <v>41139</v>
      </c>
      <c r="D1704" s="3">
        <v>500</v>
      </c>
      <c r="E1704" s="1" t="str">
        <f t="shared" si="26"/>
        <v>Aug 2012</v>
      </c>
    </row>
    <row r="1705" spans="1:5" ht="10.199999999999999" x14ac:dyDescent="0.25">
      <c r="A1705" s="1">
        <v>111</v>
      </c>
      <c r="B1705" s="1" t="s">
        <v>9</v>
      </c>
      <c r="C1705" s="2">
        <v>41142</v>
      </c>
      <c r="D1705" s="3">
        <v>500</v>
      </c>
      <c r="E1705" s="1" t="str">
        <f t="shared" si="26"/>
        <v>Aug 2012</v>
      </c>
    </row>
    <row r="1706" spans="1:5" ht="10.199999999999999" x14ac:dyDescent="0.25">
      <c r="A1706" s="1">
        <v>111</v>
      </c>
      <c r="B1706" s="1" t="s">
        <v>9</v>
      </c>
      <c r="C1706" s="2">
        <v>41144</v>
      </c>
      <c r="D1706" s="3">
        <v>500</v>
      </c>
      <c r="E1706" s="1" t="str">
        <f t="shared" si="26"/>
        <v>Aug 2012</v>
      </c>
    </row>
    <row r="1707" spans="1:5" ht="10.199999999999999" x14ac:dyDescent="0.25">
      <c r="A1707" s="1">
        <v>111</v>
      </c>
      <c r="B1707" s="1" t="s">
        <v>9</v>
      </c>
      <c r="C1707" s="2">
        <v>41146</v>
      </c>
      <c r="D1707" s="3">
        <v>500</v>
      </c>
      <c r="E1707" s="1" t="str">
        <f t="shared" si="26"/>
        <v>Aug 2012</v>
      </c>
    </row>
    <row r="1708" spans="1:5" ht="10.199999999999999" x14ac:dyDescent="0.25">
      <c r="A1708" s="1">
        <v>111</v>
      </c>
      <c r="B1708" s="1" t="s">
        <v>9</v>
      </c>
      <c r="C1708" s="2">
        <v>41149</v>
      </c>
      <c r="D1708" s="3">
        <v>500</v>
      </c>
      <c r="E1708" s="1" t="str">
        <f t="shared" si="26"/>
        <v>Aug 2012</v>
      </c>
    </row>
    <row r="1709" spans="1:5" ht="10.199999999999999" x14ac:dyDescent="0.25">
      <c r="A1709" s="1">
        <v>111</v>
      </c>
      <c r="B1709" s="1" t="s">
        <v>9</v>
      </c>
      <c r="C1709" s="2">
        <v>41151</v>
      </c>
      <c r="D1709" s="3">
        <v>500</v>
      </c>
      <c r="E1709" s="1" t="str">
        <f t="shared" si="26"/>
        <v>Aug 2012</v>
      </c>
    </row>
    <row r="1710" spans="1:5" ht="10.199999999999999" x14ac:dyDescent="0.25">
      <c r="A1710" s="1">
        <v>111</v>
      </c>
      <c r="B1710" s="1" t="s">
        <v>9</v>
      </c>
      <c r="C1710" s="2">
        <v>41153</v>
      </c>
      <c r="D1710" s="3">
        <v>500</v>
      </c>
      <c r="E1710" s="1" t="str">
        <f t="shared" si="26"/>
        <v>Sep 2012</v>
      </c>
    </row>
    <row r="1711" spans="1:5" ht="10.199999999999999" x14ac:dyDescent="0.25">
      <c r="A1711" s="1">
        <v>111</v>
      </c>
      <c r="B1711" s="1" t="s">
        <v>9</v>
      </c>
      <c r="C1711" s="2">
        <v>41156</v>
      </c>
      <c r="D1711" s="3">
        <v>500</v>
      </c>
      <c r="E1711" s="1" t="str">
        <f t="shared" si="26"/>
        <v>Sep 2012</v>
      </c>
    </row>
    <row r="1712" spans="1:5" ht="10.199999999999999" x14ac:dyDescent="0.25">
      <c r="A1712" s="1">
        <v>111</v>
      </c>
      <c r="B1712" s="1" t="s">
        <v>9</v>
      </c>
      <c r="C1712" s="2">
        <v>41158</v>
      </c>
      <c r="D1712" s="3">
        <v>500</v>
      </c>
      <c r="E1712" s="1" t="str">
        <f t="shared" si="26"/>
        <v>Sep 2012</v>
      </c>
    </row>
    <row r="1713" spans="1:5" ht="10.199999999999999" x14ac:dyDescent="0.25">
      <c r="A1713" s="1">
        <v>111</v>
      </c>
      <c r="B1713" s="1" t="s">
        <v>10</v>
      </c>
      <c r="C1713" s="2">
        <v>41193</v>
      </c>
      <c r="D1713" s="3">
        <v>4</v>
      </c>
      <c r="E1713" s="1" t="str">
        <f t="shared" si="26"/>
        <v>Oct 2012</v>
      </c>
    </row>
    <row r="1714" spans="1:5" ht="10.199999999999999" x14ac:dyDescent="0.25">
      <c r="A1714" s="1">
        <v>111</v>
      </c>
      <c r="B1714" s="1" t="s">
        <v>10</v>
      </c>
      <c r="C1714" s="2">
        <v>41228</v>
      </c>
      <c r="D1714" s="3">
        <v>3</v>
      </c>
      <c r="E1714" s="1" t="str">
        <f t="shared" si="26"/>
        <v>Nov 2012</v>
      </c>
    </row>
    <row r="1715" spans="1:5" ht="10.199999999999999" x14ac:dyDescent="0.25">
      <c r="A1715" s="1">
        <v>112</v>
      </c>
      <c r="B1715" s="1" t="s">
        <v>9</v>
      </c>
      <c r="C1715" s="2">
        <v>41092</v>
      </c>
      <c r="D1715" s="3">
        <v>3500</v>
      </c>
      <c r="E1715" s="1" t="str">
        <f t="shared" si="26"/>
        <v>Jul 2012</v>
      </c>
    </row>
    <row r="1716" spans="1:5" ht="10.199999999999999" x14ac:dyDescent="0.25">
      <c r="A1716" s="1">
        <v>112</v>
      </c>
      <c r="B1716" s="1" t="s">
        <v>9</v>
      </c>
      <c r="C1716" s="2">
        <v>41094</v>
      </c>
      <c r="D1716" s="3">
        <v>3500</v>
      </c>
      <c r="E1716" s="1" t="str">
        <f t="shared" si="26"/>
        <v>Jul 2012</v>
      </c>
    </row>
    <row r="1717" spans="1:5" ht="10.199999999999999" x14ac:dyDescent="0.25">
      <c r="A1717" s="1">
        <v>112</v>
      </c>
      <c r="B1717" s="1" t="s">
        <v>9</v>
      </c>
      <c r="C1717" s="2">
        <v>41096</v>
      </c>
      <c r="D1717" s="3">
        <v>3500</v>
      </c>
      <c r="E1717" s="1" t="str">
        <f t="shared" si="26"/>
        <v>Jul 2012</v>
      </c>
    </row>
    <row r="1718" spans="1:5" ht="10.199999999999999" x14ac:dyDescent="0.25">
      <c r="A1718" s="1">
        <v>112</v>
      </c>
      <c r="B1718" s="1" t="s">
        <v>9</v>
      </c>
      <c r="C1718" s="2">
        <v>41099</v>
      </c>
      <c r="D1718" s="3">
        <v>3500</v>
      </c>
      <c r="E1718" s="1" t="str">
        <f t="shared" si="26"/>
        <v>Jul 2012</v>
      </c>
    </row>
    <row r="1719" spans="1:5" ht="10.199999999999999" x14ac:dyDescent="0.25">
      <c r="A1719" s="1">
        <v>112</v>
      </c>
      <c r="B1719" s="1" t="s">
        <v>9</v>
      </c>
      <c r="C1719" s="2">
        <v>41101</v>
      </c>
      <c r="D1719" s="3">
        <v>3500</v>
      </c>
      <c r="E1719" s="1" t="str">
        <f t="shared" si="26"/>
        <v>Jul 2012</v>
      </c>
    </row>
    <row r="1720" spans="1:5" ht="10.199999999999999" x14ac:dyDescent="0.25">
      <c r="A1720" s="1">
        <v>112</v>
      </c>
      <c r="B1720" s="1" t="s">
        <v>9</v>
      </c>
      <c r="C1720" s="2">
        <v>41103</v>
      </c>
      <c r="D1720" s="3">
        <v>3500</v>
      </c>
      <c r="E1720" s="1" t="str">
        <f t="shared" si="26"/>
        <v>Jul 2012</v>
      </c>
    </row>
    <row r="1721" spans="1:5" ht="10.199999999999999" x14ac:dyDescent="0.25">
      <c r="A1721" s="1">
        <v>112</v>
      </c>
      <c r="B1721" s="1" t="s">
        <v>9</v>
      </c>
      <c r="C1721" s="2">
        <v>41106</v>
      </c>
      <c r="D1721" s="3">
        <v>3500</v>
      </c>
      <c r="E1721" s="1" t="str">
        <f t="shared" si="26"/>
        <v>Jul 2012</v>
      </c>
    </row>
    <row r="1722" spans="1:5" ht="10.199999999999999" x14ac:dyDescent="0.25">
      <c r="A1722" s="1">
        <v>112</v>
      </c>
      <c r="B1722" s="1" t="s">
        <v>9</v>
      </c>
      <c r="C1722" s="2">
        <v>41108</v>
      </c>
      <c r="D1722" s="3">
        <v>3500</v>
      </c>
      <c r="E1722" s="1" t="str">
        <f t="shared" si="26"/>
        <v>Jul 2012</v>
      </c>
    </row>
    <row r="1723" spans="1:5" ht="10.199999999999999" x14ac:dyDescent="0.25">
      <c r="A1723" s="1">
        <v>112</v>
      </c>
      <c r="B1723" s="1" t="s">
        <v>9</v>
      </c>
      <c r="C1723" s="2">
        <v>41110</v>
      </c>
      <c r="D1723" s="3">
        <v>3500</v>
      </c>
      <c r="E1723" s="1" t="str">
        <f t="shared" si="26"/>
        <v>Jul 2012</v>
      </c>
    </row>
    <row r="1724" spans="1:5" ht="10.199999999999999" x14ac:dyDescent="0.25">
      <c r="A1724" s="1">
        <v>112</v>
      </c>
      <c r="B1724" s="1" t="s">
        <v>9</v>
      </c>
      <c r="C1724" s="2">
        <v>41113</v>
      </c>
      <c r="D1724" s="3">
        <v>3500</v>
      </c>
      <c r="E1724" s="1" t="str">
        <f t="shared" si="26"/>
        <v>Jul 2012</v>
      </c>
    </row>
    <row r="1725" spans="1:5" ht="10.199999999999999" x14ac:dyDescent="0.25">
      <c r="A1725" s="1">
        <v>112</v>
      </c>
      <c r="B1725" s="1" t="s">
        <v>9</v>
      </c>
      <c r="C1725" s="2">
        <v>41115</v>
      </c>
      <c r="D1725" s="3">
        <v>3500</v>
      </c>
      <c r="E1725" s="1" t="str">
        <f t="shared" si="26"/>
        <v>Jul 2012</v>
      </c>
    </row>
    <row r="1726" spans="1:5" ht="10.199999999999999" x14ac:dyDescent="0.25">
      <c r="A1726" s="1">
        <v>112</v>
      </c>
      <c r="B1726" s="1" t="s">
        <v>9</v>
      </c>
      <c r="C1726" s="2">
        <v>41117</v>
      </c>
      <c r="D1726" s="3">
        <v>3500</v>
      </c>
      <c r="E1726" s="1" t="str">
        <f t="shared" si="26"/>
        <v>Jul 2012</v>
      </c>
    </row>
    <row r="1727" spans="1:5" ht="10.199999999999999" x14ac:dyDescent="0.25">
      <c r="A1727" s="1">
        <v>112</v>
      </c>
      <c r="B1727" s="1" t="s">
        <v>9</v>
      </c>
      <c r="C1727" s="2">
        <v>41120</v>
      </c>
      <c r="D1727" s="3">
        <v>3500</v>
      </c>
      <c r="E1727" s="1" t="str">
        <f t="shared" si="26"/>
        <v>Jul 2012</v>
      </c>
    </row>
    <row r="1728" spans="1:5" ht="10.199999999999999" x14ac:dyDescent="0.25">
      <c r="A1728" s="1">
        <v>112</v>
      </c>
      <c r="B1728" s="1" t="s">
        <v>9</v>
      </c>
      <c r="C1728" s="2">
        <v>41122</v>
      </c>
      <c r="D1728" s="3">
        <v>3500</v>
      </c>
      <c r="E1728" s="1" t="str">
        <f t="shared" si="26"/>
        <v>Aug 2012</v>
      </c>
    </row>
    <row r="1729" spans="1:5" ht="10.199999999999999" x14ac:dyDescent="0.25">
      <c r="A1729" s="1">
        <v>112</v>
      </c>
      <c r="B1729" s="1" t="s">
        <v>9</v>
      </c>
      <c r="C1729" s="2">
        <v>41141</v>
      </c>
      <c r="D1729" s="3">
        <v>2500</v>
      </c>
      <c r="E1729" s="1" t="str">
        <f t="shared" si="26"/>
        <v>Aug 2012</v>
      </c>
    </row>
    <row r="1730" spans="1:5" ht="10.199999999999999" x14ac:dyDescent="0.25">
      <c r="A1730" s="1">
        <v>112</v>
      </c>
      <c r="B1730" s="1" t="s">
        <v>9</v>
      </c>
      <c r="C1730" s="2">
        <v>41143</v>
      </c>
      <c r="D1730" s="3">
        <v>2500</v>
      </c>
      <c r="E1730" s="1" t="str">
        <f t="shared" si="26"/>
        <v>Aug 2012</v>
      </c>
    </row>
    <row r="1731" spans="1:5" ht="10.199999999999999" x14ac:dyDescent="0.25">
      <c r="A1731" s="1">
        <v>112</v>
      </c>
      <c r="B1731" s="1" t="s">
        <v>9</v>
      </c>
      <c r="C1731" s="2">
        <v>41145</v>
      </c>
      <c r="D1731" s="3">
        <v>2500</v>
      </c>
      <c r="E1731" s="1" t="str">
        <f t="shared" ref="E1731:E1794" si="27">TEXT(C1731,"mmm yyyy")</f>
        <v>Aug 2012</v>
      </c>
    </row>
    <row r="1732" spans="1:5" ht="10.199999999999999" x14ac:dyDescent="0.25">
      <c r="A1732" s="1">
        <v>112</v>
      </c>
      <c r="B1732" s="1" t="s">
        <v>9</v>
      </c>
      <c r="C1732" s="2">
        <v>41148</v>
      </c>
      <c r="D1732" s="3">
        <v>2500</v>
      </c>
      <c r="E1732" s="1" t="str">
        <f t="shared" si="27"/>
        <v>Aug 2012</v>
      </c>
    </row>
    <row r="1733" spans="1:5" ht="10.199999999999999" x14ac:dyDescent="0.25">
      <c r="A1733" s="1">
        <v>112</v>
      </c>
      <c r="B1733" s="1" t="s">
        <v>9</v>
      </c>
      <c r="C1733" s="2">
        <v>41150</v>
      </c>
      <c r="D1733" s="3">
        <v>2500</v>
      </c>
      <c r="E1733" s="1" t="str">
        <f t="shared" si="27"/>
        <v>Aug 2012</v>
      </c>
    </row>
    <row r="1734" spans="1:5" ht="10.199999999999999" x14ac:dyDescent="0.25">
      <c r="A1734" s="1">
        <v>112</v>
      </c>
      <c r="B1734" s="1" t="s">
        <v>9</v>
      </c>
      <c r="C1734" s="2">
        <v>41152</v>
      </c>
      <c r="D1734" s="3">
        <v>2500</v>
      </c>
      <c r="E1734" s="1" t="str">
        <f t="shared" si="27"/>
        <v>Aug 2012</v>
      </c>
    </row>
    <row r="1735" spans="1:5" ht="10.199999999999999" x14ac:dyDescent="0.25">
      <c r="A1735" s="1">
        <v>112</v>
      </c>
      <c r="B1735" s="1" t="s">
        <v>9</v>
      </c>
      <c r="C1735" s="2">
        <v>41155</v>
      </c>
      <c r="D1735" s="3">
        <v>2500</v>
      </c>
      <c r="E1735" s="1" t="str">
        <f t="shared" si="27"/>
        <v>Sep 2012</v>
      </c>
    </row>
    <row r="1736" spans="1:5" ht="10.199999999999999" x14ac:dyDescent="0.25">
      <c r="A1736" s="1">
        <v>112</v>
      </c>
      <c r="B1736" s="1" t="s">
        <v>9</v>
      </c>
      <c r="C1736" s="2">
        <v>41157</v>
      </c>
      <c r="D1736" s="3">
        <v>2500</v>
      </c>
      <c r="E1736" s="1" t="str">
        <f t="shared" si="27"/>
        <v>Sep 2012</v>
      </c>
    </row>
    <row r="1737" spans="1:5" ht="10.199999999999999" x14ac:dyDescent="0.25">
      <c r="A1737" s="1">
        <v>112</v>
      </c>
      <c r="B1737" s="1" t="s">
        <v>10</v>
      </c>
      <c r="C1737" s="2">
        <v>41164</v>
      </c>
      <c r="D1737" s="3">
        <v>5</v>
      </c>
      <c r="E1737" s="1" t="str">
        <f t="shared" si="27"/>
        <v>Sep 2012</v>
      </c>
    </row>
    <row r="1738" spans="1:5" ht="10.199999999999999" x14ac:dyDescent="0.25">
      <c r="A1738" s="1">
        <v>112</v>
      </c>
      <c r="B1738" s="1" t="s">
        <v>10</v>
      </c>
      <c r="C1738" s="2">
        <v>41227</v>
      </c>
      <c r="D1738" s="3">
        <v>2</v>
      </c>
      <c r="E1738" s="1" t="str">
        <f t="shared" si="27"/>
        <v>Nov 2012</v>
      </c>
    </row>
    <row r="1739" spans="1:5" ht="10.199999999999999" x14ac:dyDescent="0.25">
      <c r="A1739" s="1">
        <v>113</v>
      </c>
      <c r="B1739" s="1" t="s">
        <v>9</v>
      </c>
      <c r="C1739" s="2">
        <v>41097</v>
      </c>
      <c r="D1739" s="3">
        <v>8000</v>
      </c>
      <c r="E1739" s="1" t="str">
        <f t="shared" si="27"/>
        <v>Jul 2012</v>
      </c>
    </row>
    <row r="1740" spans="1:5" ht="10.199999999999999" x14ac:dyDescent="0.25">
      <c r="A1740" s="1">
        <v>113</v>
      </c>
      <c r="B1740" s="1" t="s">
        <v>9</v>
      </c>
      <c r="C1740" s="2">
        <v>41100</v>
      </c>
      <c r="D1740" s="3">
        <v>8000</v>
      </c>
      <c r="E1740" s="1" t="str">
        <f t="shared" si="27"/>
        <v>Jul 2012</v>
      </c>
    </row>
    <row r="1741" spans="1:5" ht="10.199999999999999" x14ac:dyDescent="0.25">
      <c r="A1741" s="1">
        <v>113</v>
      </c>
      <c r="B1741" s="1" t="s">
        <v>9</v>
      </c>
      <c r="C1741" s="2">
        <v>41102</v>
      </c>
      <c r="D1741" s="3">
        <v>8000</v>
      </c>
      <c r="E1741" s="1" t="str">
        <f t="shared" si="27"/>
        <v>Jul 2012</v>
      </c>
    </row>
    <row r="1742" spans="1:5" ht="10.199999999999999" x14ac:dyDescent="0.25">
      <c r="A1742" s="1">
        <v>113</v>
      </c>
      <c r="B1742" s="1" t="s">
        <v>9</v>
      </c>
      <c r="C1742" s="2">
        <v>41104</v>
      </c>
      <c r="D1742" s="3">
        <v>8000</v>
      </c>
      <c r="E1742" s="1" t="str">
        <f t="shared" si="27"/>
        <v>Jul 2012</v>
      </c>
    </row>
    <row r="1743" spans="1:5" ht="10.199999999999999" x14ac:dyDescent="0.25">
      <c r="A1743" s="1">
        <v>113</v>
      </c>
      <c r="B1743" s="1" t="s">
        <v>9</v>
      </c>
      <c r="C1743" s="2">
        <v>41107</v>
      </c>
      <c r="D1743" s="3">
        <v>8000</v>
      </c>
      <c r="E1743" s="1" t="str">
        <f t="shared" si="27"/>
        <v>Jul 2012</v>
      </c>
    </row>
    <row r="1744" spans="1:5" ht="10.199999999999999" x14ac:dyDescent="0.25">
      <c r="A1744" s="1">
        <v>113</v>
      </c>
      <c r="B1744" s="1" t="s">
        <v>9</v>
      </c>
      <c r="C1744" s="2">
        <v>41109</v>
      </c>
      <c r="D1744" s="3">
        <v>8000</v>
      </c>
      <c r="E1744" s="1" t="str">
        <f t="shared" si="27"/>
        <v>Jul 2012</v>
      </c>
    </row>
    <row r="1745" spans="1:5" ht="10.199999999999999" x14ac:dyDescent="0.25">
      <c r="A1745" s="1">
        <v>113</v>
      </c>
      <c r="B1745" s="1" t="s">
        <v>9</v>
      </c>
      <c r="C1745" s="2">
        <v>41111</v>
      </c>
      <c r="D1745" s="3">
        <v>8000</v>
      </c>
      <c r="E1745" s="1" t="str">
        <f t="shared" si="27"/>
        <v>Jul 2012</v>
      </c>
    </row>
    <row r="1746" spans="1:5" ht="10.199999999999999" x14ac:dyDescent="0.25">
      <c r="A1746" s="1">
        <v>113</v>
      </c>
      <c r="B1746" s="1" t="s">
        <v>9</v>
      </c>
      <c r="C1746" s="2">
        <v>41114</v>
      </c>
      <c r="D1746" s="3">
        <v>8000</v>
      </c>
      <c r="E1746" s="1" t="str">
        <f t="shared" si="27"/>
        <v>Jul 2012</v>
      </c>
    </row>
    <row r="1747" spans="1:5" ht="10.199999999999999" x14ac:dyDescent="0.25">
      <c r="A1747" s="1">
        <v>113</v>
      </c>
      <c r="B1747" s="1" t="s">
        <v>9</v>
      </c>
      <c r="C1747" s="2">
        <v>41116</v>
      </c>
      <c r="D1747" s="3">
        <v>8000</v>
      </c>
      <c r="E1747" s="1" t="str">
        <f t="shared" si="27"/>
        <v>Jul 2012</v>
      </c>
    </row>
    <row r="1748" spans="1:5" ht="10.199999999999999" x14ac:dyDescent="0.25">
      <c r="A1748" s="1">
        <v>113</v>
      </c>
      <c r="B1748" s="1" t="s">
        <v>9</v>
      </c>
      <c r="C1748" s="2">
        <v>41118</v>
      </c>
      <c r="D1748" s="3">
        <v>8000</v>
      </c>
      <c r="E1748" s="1" t="str">
        <f t="shared" si="27"/>
        <v>Jul 2012</v>
      </c>
    </row>
    <row r="1749" spans="1:5" ht="10.199999999999999" x14ac:dyDescent="0.25">
      <c r="A1749" s="1">
        <v>113</v>
      </c>
      <c r="B1749" s="1" t="s">
        <v>9</v>
      </c>
      <c r="C1749" s="2">
        <v>41121</v>
      </c>
      <c r="D1749" s="3">
        <v>8000</v>
      </c>
      <c r="E1749" s="1" t="str">
        <f t="shared" si="27"/>
        <v>Jul 2012</v>
      </c>
    </row>
    <row r="1750" spans="1:5" ht="10.199999999999999" x14ac:dyDescent="0.25">
      <c r="A1750" s="1">
        <v>113</v>
      </c>
      <c r="B1750" s="1" t="s">
        <v>9</v>
      </c>
      <c r="C1750" s="2">
        <v>41123</v>
      </c>
      <c r="D1750" s="3">
        <v>8000</v>
      </c>
      <c r="E1750" s="1" t="str">
        <f t="shared" si="27"/>
        <v>Aug 2012</v>
      </c>
    </row>
    <row r="1751" spans="1:5" ht="10.199999999999999" x14ac:dyDescent="0.25">
      <c r="A1751" s="1">
        <v>113</v>
      </c>
      <c r="B1751" s="1" t="s">
        <v>9</v>
      </c>
      <c r="C1751" s="2">
        <v>41125</v>
      </c>
      <c r="D1751" s="3">
        <v>8000</v>
      </c>
      <c r="E1751" s="1" t="str">
        <f t="shared" si="27"/>
        <v>Aug 2012</v>
      </c>
    </row>
    <row r="1752" spans="1:5" ht="10.199999999999999" x14ac:dyDescent="0.25">
      <c r="A1752" s="1">
        <v>113</v>
      </c>
      <c r="B1752" s="1" t="s">
        <v>9</v>
      </c>
      <c r="C1752" s="2">
        <v>41128</v>
      </c>
      <c r="D1752" s="3">
        <v>8000</v>
      </c>
      <c r="E1752" s="1" t="str">
        <f t="shared" si="27"/>
        <v>Aug 2012</v>
      </c>
    </row>
    <row r="1753" spans="1:5" ht="10.199999999999999" x14ac:dyDescent="0.25">
      <c r="A1753" s="1">
        <v>113</v>
      </c>
      <c r="B1753" s="1" t="s">
        <v>9</v>
      </c>
      <c r="C1753" s="2">
        <v>41130</v>
      </c>
      <c r="D1753" s="3">
        <v>8000</v>
      </c>
      <c r="E1753" s="1" t="str">
        <f t="shared" si="27"/>
        <v>Aug 2012</v>
      </c>
    </row>
    <row r="1754" spans="1:5" ht="10.199999999999999" x14ac:dyDescent="0.25">
      <c r="A1754" s="1">
        <v>113</v>
      </c>
      <c r="B1754" s="1" t="s">
        <v>9</v>
      </c>
      <c r="C1754" s="2">
        <v>41132</v>
      </c>
      <c r="D1754" s="3">
        <v>8000</v>
      </c>
      <c r="E1754" s="1" t="str">
        <f t="shared" si="27"/>
        <v>Aug 2012</v>
      </c>
    </row>
    <row r="1755" spans="1:5" ht="10.199999999999999" x14ac:dyDescent="0.25">
      <c r="A1755" s="1">
        <v>113</v>
      </c>
      <c r="B1755" s="1" t="s">
        <v>9</v>
      </c>
      <c r="C1755" s="2">
        <v>41135</v>
      </c>
      <c r="D1755" s="3">
        <v>8000</v>
      </c>
      <c r="E1755" s="1" t="str">
        <f t="shared" si="27"/>
        <v>Aug 2012</v>
      </c>
    </row>
    <row r="1756" spans="1:5" ht="10.199999999999999" x14ac:dyDescent="0.25">
      <c r="A1756" s="1">
        <v>113</v>
      </c>
      <c r="B1756" s="1" t="s">
        <v>9</v>
      </c>
      <c r="C1756" s="2">
        <v>41137</v>
      </c>
      <c r="D1756" s="3">
        <v>8000</v>
      </c>
      <c r="E1756" s="1" t="str">
        <f t="shared" si="27"/>
        <v>Aug 2012</v>
      </c>
    </row>
    <row r="1757" spans="1:5" ht="10.199999999999999" x14ac:dyDescent="0.25">
      <c r="A1757" s="1">
        <v>113</v>
      </c>
      <c r="B1757" s="1" t="s">
        <v>9</v>
      </c>
      <c r="C1757" s="2">
        <v>41139</v>
      </c>
      <c r="D1757" s="3">
        <v>9600</v>
      </c>
      <c r="E1757" s="1" t="str">
        <f t="shared" si="27"/>
        <v>Aug 2012</v>
      </c>
    </row>
    <row r="1758" spans="1:5" ht="10.199999999999999" x14ac:dyDescent="0.25">
      <c r="A1758" s="1">
        <v>113</v>
      </c>
      <c r="B1758" s="1" t="s">
        <v>9</v>
      </c>
      <c r="C1758" s="2">
        <v>41142</v>
      </c>
      <c r="D1758" s="3">
        <v>9600</v>
      </c>
      <c r="E1758" s="1" t="str">
        <f t="shared" si="27"/>
        <v>Aug 2012</v>
      </c>
    </row>
    <row r="1759" spans="1:5" ht="10.199999999999999" x14ac:dyDescent="0.25">
      <c r="A1759" s="1">
        <v>113</v>
      </c>
      <c r="B1759" s="1" t="s">
        <v>9</v>
      </c>
      <c r="C1759" s="2">
        <v>41144</v>
      </c>
      <c r="D1759" s="3">
        <v>9600</v>
      </c>
      <c r="E1759" s="1" t="str">
        <f t="shared" si="27"/>
        <v>Aug 2012</v>
      </c>
    </row>
    <row r="1760" spans="1:5" ht="10.199999999999999" x14ac:dyDescent="0.25">
      <c r="A1760" s="1">
        <v>113</v>
      </c>
      <c r="B1760" s="1" t="s">
        <v>9</v>
      </c>
      <c r="C1760" s="2">
        <v>41146</v>
      </c>
      <c r="D1760" s="3">
        <v>9600</v>
      </c>
      <c r="E1760" s="1" t="str">
        <f t="shared" si="27"/>
        <v>Aug 2012</v>
      </c>
    </row>
    <row r="1761" spans="1:5" ht="10.199999999999999" x14ac:dyDescent="0.25">
      <c r="A1761" s="1">
        <v>113</v>
      </c>
      <c r="B1761" s="1" t="s">
        <v>9</v>
      </c>
      <c r="C1761" s="2">
        <v>41149</v>
      </c>
      <c r="D1761" s="3">
        <v>9600</v>
      </c>
      <c r="E1761" s="1" t="str">
        <f t="shared" si="27"/>
        <v>Aug 2012</v>
      </c>
    </row>
    <row r="1762" spans="1:5" ht="10.199999999999999" x14ac:dyDescent="0.25">
      <c r="A1762" s="1">
        <v>113</v>
      </c>
      <c r="B1762" s="1" t="s">
        <v>9</v>
      </c>
      <c r="C1762" s="2">
        <v>41151</v>
      </c>
      <c r="D1762" s="3">
        <v>9600</v>
      </c>
      <c r="E1762" s="1" t="str">
        <f t="shared" si="27"/>
        <v>Aug 2012</v>
      </c>
    </row>
    <row r="1763" spans="1:5" ht="10.199999999999999" x14ac:dyDescent="0.25">
      <c r="A1763" s="1">
        <v>113</v>
      </c>
      <c r="B1763" s="1" t="s">
        <v>9</v>
      </c>
      <c r="C1763" s="2">
        <v>41153</v>
      </c>
      <c r="D1763" s="3">
        <v>9600</v>
      </c>
      <c r="E1763" s="1" t="str">
        <f t="shared" si="27"/>
        <v>Sep 2012</v>
      </c>
    </row>
    <row r="1764" spans="1:5" ht="10.199999999999999" x14ac:dyDescent="0.25">
      <c r="A1764" s="1">
        <v>113</v>
      </c>
      <c r="B1764" s="1" t="s">
        <v>9</v>
      </c>
      <c r="C1764" s="2">
        <v>41156</v>
      </c>
      <c r="D1764" s="3">
        <v>9600</v>
      </c>
      <c r="E1764" s="1" t="str">
        <f t="shared" si="27"/>
        <v>Sep 2012</v>
      </c>
    </row>
    <row r="1765" spans="1:5" ht="10.199999999999999" x14ac:dyDescent="0.25">
      <c r="A1765" s="1">
        <v>113</v>
      </c>
      <c r="B1765" s="1" t="s">
        <v>9</v>
      </c>
      <c r="C1765" s="2">
        <v>41158</v>
      </c>
      <c r="D1765" s="3">
        <v>9600</v>
      </c>
      <c r="E1765" s="1" t="str">
        <f t="shared" si="27"/>
        <v>Sep 2012</v>
      </c>
    </row>
    <row r="1766" spans="1:5" ht="10.199999999999999" x14ac:dyDescent="0.25">
      <c r="A1766" s="1">
        <v>113</v>
      </c>
      <c r="B1766" s="1" t="s">
        <v>10</v>
      </c>
      <c r="C1766" s="2">
        <v>41165</v>
      </c>
      <c r="D1766" s="3">
        <v>10</v>
      </c>
      <c r="E1766" s="1" t="str">
        <f t="shared" si="27"/>
        <v>Sep 2012</v>
      </c>
    </row>
    <row r="1767" spans="1:5" ht="10.199999999999999" x14ac:dyDescent="0.25">
      <c r="A1767" s="1">
        <v>113</v>
      </c>
      <c r="B1767" s="1" t="s">
        <v>10</v>
      </c>
      <c r="C1767" s="2">
        <v>41193</v>
      </c>
      <c r="D1767" s="3">
        <v>10</v>
      </c>
      <c r="E1767" s="1" t="str">
        <f t="shared" si="27"/>
        <v>Oct 2012</v>
      </c>
    </row>
    <row r="1768" spans="1:5" ht="10.199999999999999" x14ac:dyDescent="0.25">
      <c r="A1768" s="1">
        <v>113</v>
      </c>
      <c r="B1768" s="1" t="s">
        <v>10</v>
      </c>
      <c r="C1768" s="2">
        <v>41228</v>
      </c>
      <c r="D1768" s="3">
        <v>10</v>
      </c>
      <c r="E1768" s="1" t="str">
        <f t="shared" si="27"/>
        <v>Nov 2012</v>
      </c>
    </row>
    <row r="1769" spans="1:5" ht="10.199999999999999" x14ac:dyDescent="0.25">
      <c r="A1769" s="1">
        <v>114</v>
      </c>
      <c r="B1769" s="1" t="s">
        <v>9</v>
      </c>
      <c r="C1769" s="2">
        <v>41093</v>
      </c>
      <c r="D1769" s="3">
        <v>3700</v>
      </c>
      <c r="E1769" s="1" t="str">
        <f t="shared" si="27"/>
        <v>Jul 2012</v>
      </c>
    </row>
    <row r="1770" spans="1:5" ht="10.199999999999999" x14ac:dyDescent="0.25">
      <c r="A1770" s="1">
        <v>114</v>
      </c>
      <c r="B1770" s="1" t="s">
        <v>9</v>
      </c>
      <c r="C1770" s="2">
        <v>41095</v>
      </c>
      <c r="D1770" s="3">
        <v>3700</v>
      </c>
      <c r="E1770" s="1" t="str">
        <f t="shared" si="27"/>
        <v>Jul 2012</v>
      </c>
    </row>
    <row r="1771" spans="1:5" ht="10.199999999999999" x14ac:dyDescent="0.25">
      <c r="A1771" s="1">
        <v>114</v>
      </c>
      <c r="B1771" s="1" t="s">
        <v>9</v>
      </c>
      <c r="C1771" s="2">
        <v>41097</v>
      </c>
      <c r="D1771" s="3">
        <v>3700</v>
      </c>
      <c r="E1771" s="1" t="str">
        <f t="shared" si="27"/>
        <v>Jul 2012</v>
      </c>
    </row>
    <row r="1772" spans="1:5" ht="10.199999999999999" x14ac:dyDescent="0.25">
      <c r="A1772" s="1">
        <v>114</v>
      </c>
      <c r="B1772" s="1" t="s">
        <v>9</v>
      </c>
      <c r="C1772" s="2">
        <v>41100</v>
      </c>
      <c r="D1772" s="3">
        <v>3700</v>
      </c>
      <c r="E1772" s="1" t="str">
        <f t="shared" si="27"/>
        <v>Jul 2012</v>
      </c>
    </row>
    <row r="1773" spans="1:5" ht="10.199999999999999" x14ac:dyDescent="0.25">
      <c r="A1773" s="1">
        <v>114</v>
      </c>
      <c r="B1773" s="1" t="s">
        <v>9</v>
      </c>
      <c r="C1773" s="2">
        <v>41102</v>
      </c>
      <c r="D1773" s="3">
        <v>3700</v>
      </c>
      <c r="E1773" s="1" t="str">
        <f t="shared" si="27"/>
        <v>Jul 2012</v>
      </c>
    </row>
    <row r="1774" spans="1:5" ht="10.199999999999999" x14ac:dyDescent="0.25">
      <c r="A1774" s="1">
        <v>114</v>
      </c>
      <c r="B1774" s="1" t="s">
        <v>9</v>
      </c>
      <c r="C1774" s="2">
        <v>41104</v>
      </c>
      <c r="D1774" s="3">
        <v>3700</v>
      </c>
      <c r="E1774" s="1" t="str">
        <f t="shared" si="27"/>
        <v>Jul 2012</v>
      </c>
    </row>
    <row r="1775" spans="1:5" ht="10.199999999999999" x14ac:dyDescent="0.25">
      <c r="A1775" s="1">
        <v>114</v>
      </c>
      <c r="B1775" s="1" t="s">
        <v>9</v>
      </c>
      <c r="C1775" s="2">
        <v>41107</v>
      </c>
      <c r="D1775" s="3">
        <v>3700</v>
      </c>
      <c r="E1775" s="1" t="str">
        <f t="shared" si="27"/>
        <v>Jul 2012</v>
      </c>
    </row>
    <row r="1776" spans="1:5" ht="10.199999999999999" x14ac:dyDescent="0.25">
      <c r="A1776" s="1">
        <v>114</v>
      </c>
      <c r="B1776" s="1" t="s">
        <v>9</v>
      </c>
      <c r="C1776" s="2">
        <v>41109</v>
      </c>
      <c r="D1776" s="3">
        <v>3700</v>
      </c>
      <c r="E1776" s="1" t="str">
        <f t="shared" si="27"/>
        <v>Jul 2012</v>
      </c>
    </row>
    <row r="1777" spans="1:5" ht="10.199999999999999" x14ac:dyDescent="0.25">
      <c r="A1777" s="1">
        <v>114</v>
      </c>
      <c r="B1777" s="1" t="s">
        <v>9</v>
      </c>
      <c r="C1777" s="2">
        <v>41111</v>
      </c>
      <c r="D1777" s="3">
        <v>3700</v>
      </c>
      <c r="E1777" s="1" t="str">
        <f t="shared" si="27"/>
        <v>Jul 2012</v>
      </c>
    </row>
    <row r="1778" spans="1:5" ht="10.199999999999999" x14ac:dyDescent="0.25">
      <c r="A1778" s="1">
        <v>114</v>
      </c>
      <c r="B1778" s="1" t="s">
        <v>9</v>
      </c>
      <c r="C1778" s="2">
        <v>41114</v>
      </c>
      <c r="D1778" s="3">
        <v>3700</v>
      </c>
      <c r="E1778" s="1" t="str">
        <f t="shared" si="27"/>
        <v>Jul 2012</v>
      </c>
    </row>
    <row r="1779" spans="1:5" ht="10.199999999999999" x14ac:dyDescent="0.25">
      <c r="A1779" s="1">
        <v>114</v>
      </c>
      <c r="B1779" s="1" t="s">
        <v>9</v>
      </c>
      <c r="C1779" s="2">
        <v>41116</v>
      </c>
      <c r="D1779" s="3">
        <v>3700</v>
      </c>
      <c r="E1779" s="1" t="str">
        <f t="shared" si="27"/>
        <v>Jul 2012</v>
      </c>
    </row>
    <row r="1780" spans="1:5" ht="10.199999999999999" x14ac:dyDescent="0.25">
      <c r="A1780" s="1">
        <v>114</v>
      </c>
      <c r="B1780" s="1" t="s">
        <v>9</v>
      </c>
      <c r="C1780" s="2">
        <v>41118</v>
      </c>
      <c r="D1780" s="3">
        <v>3700</v>
      </c>
      <c r="E1780" s="1" t="str">
        <f t="shared" si="27"/>
        <v>Jul 2012</v>
      </c>
    </row>
    <row r="1781" spans="1:5" ht="10.199999999999999" x14ac:dyDescent="0.25">
      <c r="A1781" s="1">
        <v>114</v>
      </c>
      <c r="B1781" s="1" t="s">
        <v>9</v>
      </c>
      <c r="C1781" s="2">
        <v>41121</v>
      </c>
      <c r="D1781" s="3">
        <v>3700</v>
      </c>
      <c r="E1781" s="1" t="str">
        <f t="shared" si="27"/>
        <v>Jul 2012</v>
      </c>
    </row>
    <row r="1782" spans="1:5" ht="10.199999999999999" x14ac:dyDescent="0.25">
      <c r="A1782" s="1">
        <v>114</v>
      </c>
      <c r="B1782" s="1" t="s">
        <v>9</v>
      </c>
      <c r="C1782" s="2">
        <v>41123</v>
      </c>
      <c r="D1782" s="3">
        <v>3700</v>
      </c>
      <c r="E1782" s="1" t="str">
        <f t="shared" si="27"/>
        <v>Aug 2012</v>
      </c>
    </row>
    <row r="1783" spans="1:5" ht="10.199999999999999" x14ac:dyDescent="0.25">
      <c r="A1783" s="1">
        <v>114</v>
      </c>
      <c r="B1783" s="1" t="s">
        <v>9</v>
      </c>
      <c r="C1783" s="2">
        <v>41125</v>
      </c>
      <c r="D1783" s="3">
        <v>3700</v>
      </c>
      <c r="E1783" s="1" t="str">
        <f t="shared" si="27"/>
        <v>Aug 2012</v>
      </c>
    </row>
    <row r="1784" spans="1:5" ht="10.199999999999999" x14ac:dyDescent="0.25">
      <c r="A1784" s="1">
        <v>114</v>
      </c>
      <c r="B1784" s="1" t="s">
        <v>9</v>
      </c>
      <c r="C1784" s="2">
        <v>41128</v>
      </c>
      <c r="D1784" s="3">
        <v>3700</v>
      </c>
      <c r="E1784" s="1" t="str">
        <f t="shared" si="27"/>
        <v>Aug 2012</v>
      </c>
    </row>
    <row r="1785" spans="1:5" ht="10.199999999999999" x14ac:dyDescent="0.25">
      <c r="A1785" s="1">
        <v>114</v>
      </c>
      <c r="B1785" s="1" t="s">
        <v>9</v>
      </c>
      <c r="C1785" s="2">
        <v>41130</v>
      </c>
      <c r="D1785" s="3">
        <v>3700</v>
      </c>
      <c r="E1785" s="1" t="str">
        <f t="shared" si="27"/>
        <v>Aug 2012</v>
      </c>
    </row>
    <row r="1786" spans="1:5" ht="10.199999999999999" x14ac:dyDescent="0.25">
      <c r="A1786" s="1">
        <v>114</v>
      </c>
      <c r="B1786" s="1" t="s">
        <v>9</v>
      </c>
      <c r="C1786" s="2">
        <v>41132</v>
      </c>
      <c r="D1786" s="3">
        <v>3700</v>
      </c>
      <c r="E1786" s="1" t="str">
        <f t="shared" si="27"/>
        <v>Aug 2012</v>
      </c>
    </row>
    <row r="1787" spans="1:5" ht="10.199999999999999" x14ac:dyDescent="0.25">
      <c r="A1787" s="1">
        <v>114</v>
      </c>
      <c r="B1787" s="1" t="s">
        <v>9</v>
      </c>
      <c r="C1787" s="2">
        <v>41135</v>
      </c>
      <c r="D1787" s="3">
        <v>3700</v>
      </c>
      <c r="E1787" s="1" t="str">
        <f t="shared" si="27"/>
        <v>Aug 2012</v>
      </c>
    </row>
    <row r="1788" spans="1:5" ht="10.199999999999999" x14ac:dyDescent="0.25">
      <c r="A1788" s="1">
        <v>114</v>
      </c>
      <c r="B1788" s="1" t="s">
        <v>9</v>
      </c>
      <c r="C1788" s="2">
        <v>41139</v>
      </c>
      <c r="D1788" s="3">
        <v>3700</v>
      </c>
      <c r="E1788" s="1" t="str">
        <f t="shared" si="27"/>
        <v>Aug 2012</v>
      </c>
    </row>
    <row r="1789" spans="1:5" ht="10.199999999999999" x14ac:dyDescent="0.25">
      <c r="A1789" s="1">
        <v>114</v>
      </c>
      <c r="B1789" s="1" t="s">
        <v>9</v>
      </c>
      <c r="C1789" s="2">
        <v>41142</v>
      </c>
      <c r="D1789" s="3">
        <v>3700</v>
      </c>
      <c r="E1789" s="1" t="str">
        <f t="shared" si="27"/>
        <v>Aug 2012</v>
      </c>
    </row>
    <row r="1790" spans="1:5" ht="10.199999999999999" x14ac:dyDescent="0.25">
      <c r="A1790" s="1">
        <v>114</v>
      </c>
      <c r="B1790" s="1" t="s">
        <v>9</v>
      </c>
      <c r="C1790" s="2">
        <v>41144</v>
      </c>
      <c r="D1790" s="3">
        <v>5600</v>
      </c>
      <c r="E1790" s="1" t="str">
        <f t="shared" si="27"/>
        <v>Aug 2012</v>
      </c>
    </row>
    <row r="1791" spans="1:5" ht="10.199999999999999" x14ac:dyDescent="0.25">
      <c r="A1791" s="1">
        <v>114</v>
      </c>
      <c r="B1791" s="1" t="s">
        <v>9</v>
      </c>
      <c r="C1791" s="2">
        <v>41146</v>
      </c>
      <c r="D1791" s="3">
        <v>5600</v>
      </c>
      <c r="E1791" s="1" t="str">
        <f t="shared" si="27"/>
        <v>Aug 2012</v>
      </c>
    </row>
    <row r="1792" spans="1:5" ht="10.199999999999999" x14ac:dyDescent="0.25">
      <c r="A1792" s="1">
        <v>114</v>
      </c>
      <c r="B1792" s="1" t="s">
        <v>9</v>
      </c>
      <c r="C1792" s="2">
        <v>41151</v>
      </c>
      <c r="D1792" s="3">
        <v>5600</v>
      </c>
      <c r="E1792" s="1" t="str">
        <f t="shared" si="27"/>
        <v>Aug 2012</v>
      </c>
    </row>
    <row r="1793" spans="1:5" ht="10.199999999999999" x14ac:dyDescent="0.25">
      <c r="A1793" s="1">
        <v>114</v>
      </c>
      <c r="B1793" s="1" t="s">
        <v>9</v>
      </c>
      <c r="C1793" s="2">
        <v>41153</v>
      </c>
      <c r="D1793" s="3">
        <v>5600</v>
      </c>
      <c r="E1793" s="1" t="str">
        <f t="shared" si="27"/>
        <v>Sep 2012</v>
      </c>
    </row>
    <row r="1794" spans="1:5" ht="10.199999999999999" x14ac:dyDescent="0.25">
      <c r="A1794" s="1">
        <v>114</v>
      </c>
      <c r="B1794" s="1" t="s">
        <v>9</v>
      </c>
      <c r="C1794" s="2">
        <v>41156</v>
      </c>
      <c r="D1794" s="3">
        <v>5600</v>
      </c>
      <c r="E1794" s="1" t="str">
        <f t="shared" si="27"/>
        <v>Sep 2012</v>
      </c>
    </row>
    <row r="1795" spans="1:5" ht="10.199999999999999" x14ac:dyDescent="0.25">
      <c r="A1795" s="1">
        <v>114</v>
      </c>
      <c r="B1795" s="1" t="s">
        <v>9</v>
      </c>
      <c r="C1795" s="2">
        <v>41158</v>
      </c>
      <c r="D1795" s="3">
        <v>5600</v>
      </c>
      <c r="E1795" s="1" t="str">
        <f t="shared" ref="E1795:E1858" si="28">TEXT(C1795,"mmm yyyy")</f>
        <v>Sep 2012</v>
      </c>
    </row>
    <row r="1796" spans="1:5" ht="10.199999999999999" x14ac:dyDescent="0.25">
      <c r="A1796" s="1">
        <v>114</v>
      </c>
      <c r="B1796" s="1" t="s">
        <v>10</v>
      </c>
      <c r="C1796" s="2">
        <v>41166</v>
      </c>
      <c r="D1796" s="3">
        <v>8</v>
      </c>
      <c r="E1796" s="1" t="str">
        <f t="shared" si="28"/>
        <v>Sep 2012</v>
      </c>
    </row>
    <row r="1797" spans="1:5" ht="10.199999999999999" x14ac:dyDescent="0.25">
      <c r="A1797" s="1">
        <v>114</v>
      </c>
      <c r="B1797" s="1" t="s">
        <v>10</v>
      </c>
      <c r="C1797" s="2">
        <v>41193</v>
      </c>
      <c r="D1797" s="3">
        <v>8</v>
      </c>
      <c r="E1797" s="1" t="str">
        <f t="shared" si="28"/>
        <v>Oct 2012</v>
      </c>
    </row>
    <row r="1798" spans="1:5" ht="10.199999999999999" x14ac:dyDescent="0.25">
      <c r="A1798" s="1">
        <v>114</v>
      </c>
      <c r="B1798" s="1" t="s">
        <v>10</v>
      </c>
      <c r="C1798" s="2">
        <v>41228</v>
      </c>
      <c r="D1798" s="3">
        <v>8</v>
      </c>
      <c r="E1798" s="1" t="str">
        <f t="shared" si="28"/>
        <v>Nov 2012</v>
      </c>
    </row>
    <row r="1799" spans="1:5" ht="10.199999999999999" x14ac:dyDescent="0.25">
      <c r="A1799" s="1">
        <v>115</v>
      </c>
      <c r="B1799" s="1" t="s">
        <v>9</v>
      </c>
      <c r="C1799" s="2">
        <v>41092</v>
      </c>
      <c r="D1799" s="3">
        <v>5800</v>
      </c>
      <c r="E1799" s="1" t="str">
        <f t="shared" si="28"/>
        <v>Jul 2012</v>
      </c>
    </row>
    <row r="1800" spans="1:5" ht="10.199999999999999" x14ac:dyDescent="0.25">
      <c r="A1800" s="1">
        <v>115</v>
      </c>
      <c r="B1800" s="1" t="s">
        <v>9</v>
      </c>
      <c r="C1800" s="2">
        <v>41094</v>
      </c>
      <c r="D1800" s="3">
        <v>5800</v>
      </c>
      <c r="E1800" s="1" t="str">
        <f t="shared" si="28"/>
        <v>Jul 2012</v>
      </c>
    </row>
    <row r="1801" spans="1:5" ht="10.199999999999999" x14ac:dyDescent="0.25">
      <c r="A1801" s="1">
        <v>115</v>
      </c>
      <c r="B1801" s="1" t="s">
        <v>9</v>
      </c>
      <c r="C1801" s="2">
        <v>41096</v>
      </c>
      <c r="D1801" s="3">
        <v>5800</v>
      </c>
      <c r="E1801" s="1" t="str">
        <f t="shared" si="28"/>
        <v>Jul 2012</v>
      </c>
    </row>
    <row r="1802" spans="1:5" ht="10.199999999999999" x14ac:dyDescent="0.25">
      <c r="A1802" s="1">
        <v>115</v>
      </c>
      <c r="B1802" s="1" t="s">
        <v>9</v>
      </c>
      <c r="C1802" s="2">
        <v>41099</v>
      </c>
      <c r="D1802" s="3">
        <v>5800</v>
      </c>
      <c r="E1802" s="1" t="str">
        <f t="shared" si="28"/>
        <v>Jul 2012</v>
      </c>
    </row>
    <row r="1803" spans="1:5" ht="10.199999999999999" x14ac:dyDescent="0.25">
      <c r="A1803" s="1">
        <v>115</v>
      </c>
      <c r="B1803" s="1" t="s">
        <v>9</v>
      </c>
      <c r="C1803" s="2">
        <v>41101</v>
      </c>
      <c r="D1803" s="3">
        <v>5800</v>
      </c>
      <c r="E1803" s="1" t="str">
        <f t="shared" si="28"/>
        <v>Jul 2012</v>
      </c>
    </row>
    <row r="1804" spans="1:5" ht="10.199999999999999" x14ac:dyDescent="0.25">
      <c r="A1804" s="1">
        <v>115</v>
      </c>
      <c r="B1804" s="1" t="s">
        <v>9</v>
      </c>
      <c r="C1804" s="2">
        <v>41103</v>
      </c>
      <c r="D1804" s="3">
        <v>5800</v>
      </c>
      <c r="E1804" s="1" t="str">
        <f t="shared" si="28"/>
        <v>Jul 2012</v>
      </c>
    </row>
    <row r="1805" spans="1:5" ht="10.199999999999999" x14ac:dyDescent="0.25">
      <c r="A1805" s="1">
        <v>116</v>
      </c>
      <c r="B1805" s="1" t="s">
        <v>9</v>
      </c>
      <c r="C1805" s="2">
        <v>41092</v>
      </c>
      <c r="D1805" s="3">
        <v>2900</v>
      </c>
      <c r="E1805" s="1" t="str">
        <f t="shared" si="28"/>
        <v>Jul 2012</v>
      </c>
    </row>
    <row r="1806" spans="1:5" ht="10.199999999999999" x14ac:dyDescent="0.25">
      <c r="A1806" s="1">
        <v>116</v>
      </c>
      <c r="B1806" s="1" t="s">
        <v>9</v>
      </c>
      <c r="C1806" s="2">
        <v>41094</v>
      </c>
      <c r="D1806" s="3">
        <v>2900</v>
      </c>
      <c r="E1806" s="1" t="str">
        <f t="shared" si="28"/>
        <v>Jul 2012</v>
      </c>
    </row>
    <row r="1807" spans="1:5" ht="10.199999999999999" x14ac:dyDescent="0.25">
      <c r="A1807" s="1">
        <v>116</v>
      </c>
      <c r="B1807" s="1" t="s">
        <v>9</v>
      </c>
      <c r="C1807" s="2">
        <v>41096</v>
      </c>
      <c r="D1807" s="3">
        <v>2900</v>
      </c>
      <c r="E1807" s="1" t="str">
        <f t="shared" si="28"/>
        <v>Jul 2012</v>
      </c>
    </row>
    <row r="1808" spans="1:5" ht="10.199999999999999" x14ac:dyDescent="0.25">
      <c r="A1808" s="1">
        <v>116</v>
      </c>
      <c r="B1808" s="1" t="s">
        <v>9</v>
      </c>
      <c r="C1808" s="2">
        <v>41099</v>
      </c>
      <c r="D1808" s="3">
        <v>2900</v>
      </c>
      <c r="E1808" s="1" t="str">
        <f t="shared" si="28"/>
        <v>Jul 2012</v>
      </c>
    </row>
    <row r="1809" spans="1:5" ht="10.199999999999999" x14ac:dyDescent="0.25">
      <c r="A1809" s="1">
        <v>116</v>
      </c>
      <c r="B1809" s="1" t="s">
        <v>9</v>
      </c>
      <c r="C1809" s="2">
        <v>41101</v>
      </c>
      <c r="D1809" s="3">
        <v>2900</v>
      </c>
      <c r="E1809" s="1" t="str">
        <f t="shared" si="28"/>
        <v>Jul 2012</v>
      </c>
    </row>
    <row r="1810" spans="1:5" ht="10.199999999999999" x14ac:dyDescent="0.25">
      <c r="A1810" s="1">
        <v>116</v>
      </c>
      <c r="B1810" s="1" t="s">
        <v>9</v>
      </c>
      <c r="C1810" s="2">
        <v>41106</v>
      </c>
      <c r="D1810" s="3">
        <v>2900</v>
      </c>
      <c r="E1810" s="1" t="str">
        <f t="shared" si="28"/>
        <v>Jul 2012</v>
      </c>
    </row>
    <row r="1811" spans="1:5" ht="10.199999999999999" x14ac:dyDescent="0.25">
      <c r="A1811" s="1">
        <v>116</v>
      </c>
      <c r="B1811" s="1" t="s">
        <v>9</v>
      </c>
      <c r="C1811" s="2">
        <v>41108</v>
      </c>
      <c r="D1811" s="3">
        <v>2900</v>
      </c>
      <c r="E1811" s="1" t="str">
        <f t="shared" si="28"/>
        <v>Jul 2012</v>
      </c>
    </row>
    <row r="1812" spans="1:5" ht="10.199999999999999" x14ac:dyDescent="0.25">
      <c r="A1812" s="1">
        <v>116</v>
      </c>
      <c r="B1812" s="1" t="s">
        <v>9</v>
      </c>
      <c r="C1812" s="2">
        <v>41110</v>
      </c>
      <c r="D1812" s="3">
        <v>3200</v>
      </c>
      <c r="E1812" s="1" t="str">
        <f t="shared" si="28"/>
        <v>Jul 2012</v>
      </c>
    </row>
    <row r="1813" spans="1:5" ht="10.199999999999999" x14ac:dyDescent="0.25">
      <c r="A1813" s="1">
        <v>116</v>
      </c>
      <c r="B1813" s="1" t="s">
        <v>9</v>
      </c>
      <c r="C1813" s="2">
        <v>41115</v>
      </c>
      <c r="D1813" s="3">
        <v>3200</v>
      </c>
      <c r="E1813" s="1" t="str">
        <f t="shared" si="28"/>
        <v>Jul 2012</v>
      </c>
    </row>
    <row r="1814" spans="1:5" ht="10.199999999999999" x14ac:dyDescent="0.25">
      <c r="A1814" s="1">
        <v>116</v>
      </c>
      <c r="B1814" s="1" t="s">
        <v>9</v>
      </c>
      <c r="C1814" s="2">
        <v>41117</v>
      </c>
      <c r="D1814" s="3">
        <v>3200</v>
      </c>
      <c r="E1814" s="1" t="str">
        <f t="shared" si="28"/>
        <v>Jul 2012</v>
      </c>
    </row>
    <row r="1815" spans="1:5" ht="10.199999999999999" x14ac:dyDescent="0.25">
      <c r="A1815" s="1">
        <v>116</v>
      </c>
      <c r="B1815" s="1" t="s">
        <v>9</v>
      </c>
      <c r="C1815" s="2">
        <v>41120</v>
      </c>
      <c r="D1815" s="3">
        <v>3200</v>
      </c>
      <c r="E1815" s="1" t="str">
        <f t="shared" si="28"/>
        <v>Jul 2012</v>
      </c>
    </row>
    <row r="1816" spans="1:5" ht="10.199999999999999" x14ac:dyDescent="0.25">
      <c r="A1816" s="1">
        <v>116</v>
      </c>
      <c r="B1816" s="1" t="s">
        <v>9</v>
      </c>
      <c r="C1816" s="2">
        <v>41122</v>
      </c>
      <c r="D1816" s="3">
        <v>3200</v>
      </c>
      <c r="E1816" s="1" t="str">
        <f t="shared" si="28"/>
        <v>Aug 2012</v>
      </c>
    </row>
    <row r="1817" spans="1:5" ht="10.199999999999999" x14ac:dyDescent="0.25">
      <c r="A1817" s="1">
        <v>116</v>
      </c>
      <c r="B1817" s="1" t="s">
        <v>9</v>
      </c>
      <c r="C1817" s="2">
        <v>41124</v>
      </c>
      <c r="D1817" s="3">
        <v>3200</v>
      </c>
      <c r="E1817" s="1" t="str">
        <f t="shared" si="28"/>
        <v>Aug 2012</v>
      </c>
    </row>
    <row r="1818" spans="1:5" ht="10.199999999999999" x14ac:dyDescent="0.25">
      <c r="A1818" s="1">
        <v>116</v>
      </c>
      <c r="B1818" s="1" t="s">
        <v>9</v>
      </c>
      <c r="C1818" s="2">
        <v>41127</v>
      </c>
      <c r="D1818" s="3">
        <v>3200</v>
      </c>
      <c r="E1818" s="1" t="str">
        <f t="shared" si="28"/>
        <v>Aug 2012</v>
      </c>
    </row>
    <row r="1819" spans="1:5" ht="10.199999999999999" x14ac:dyDescent="0.25">
      <c r="A1819" s="1">
        <v>116</v>
      </c>
      <c r="B1819" s="1" t="s">
        <v>9</v>
      </c>
      <c r="C1819" s="2">
        <v>41129</v>
      </c>
      <c r="D1819" s="3">
        <v>3200</v>
      </c>
      <c r="E1819" s="1" t="str">
        <f t="shared" si="28"/>
        <v>Aug 2012</v>
      </c>
    </row>
    <row r="1820" spans="1:5" ht="10.199999999999999" x14ac:dyDescent="0.25">
      <c r="A1820" s="1">
        <v>116</v>
      </c>
      <c r="B1820" s="1" t="s">
        <v>9</v>
      </c>
      <c r="C1820" s="2">
        <v>41131</v>
      </c>
      <c r="D1820" s="3">
        <v>3200</v>
      </c>
      <c r="E1820" s="1" t="str">
        <f t="shared" si="28"/>
        <v>Aug 2012</v>
      </c>
    </row>
    <row r="1821" spans="1:5" ht="10.199999999999999" x14ac:dyDescent="0.25">
      <c r="A1821" s="1">
        <v>116</v>
      </c>
      <c r="B1821" s="1" t="s">
        <v>9</v>
      </c>
      <c r="C1821" s="2">
        <v>41134</v>
      </c>
      <c r="D1821" s="3">
        <v>3200</v>
      </c>
      <c r="E1821" s="1" t="str">
        <f t="shared" si="28"/>
        <v>Aug 2012</v>
      </c>
    </row>
    <row r="1822" spans="1:5" ht="10.199999999999999" x14ac:dyDescent="0.25">
      <c r="A1822" s="1">
        <v>116</v>
      </c>
      <c r="B1822" s="1" t="s">
        <v>9</v>
      </c>
      <c r="C1822" s="2">
        <v>41136</v>
      </c>
      <c r="D1822" s="3">
        <v>3200</v>
      </c>
      <c r="E1822" s="1" t="str">
        <f t="shared" si="28"/>
        <v>Aug 2012</v>
      </c>
    </row>
    <row r="1823" spans="1:5" ht="10.199999999999999" x14ac:dyDescent="0.25">
      <c r="A1823" s="1">
        <v>116</v>
      </c>
      <c r="B1823" s="1" t="s">
        <v>9</v>
      </c>
      <c r="C1823" s="2">
        <v>41155</v>
      </c>
      <c r="D1823" s="3">
        <v>2600</v>
      </c>
      <c r="E1823" s="1" t="str">
        <f t="shared" si="28"/>
        <v>Sep 2012</v>
      </c>
    </row>
    <row r="1824" spans="1:5" ht="10.199999999999999" x14ac:dyDescent="0.25">
      <c r="A1824" s="1">
        <v>116</v>
      </c>
      <c r="B1824" s="1" t="s">
        <v>10</v>
      </c>
      <c r="C1824" s="2">
        <v>41164</v>
      </c>
      <c r="D1824" s="3">
        <v>5</v>
      </c>
      <c r="E1824" s="1" t="str">
        <f t="shared" si="28"/>
        <v>Sep 2012</v>
      </c>
    </row>
    <row r="1825" spans="1:5" ht="10.199999999999999" x14ac:dyDescent="0.25">
      <c r="A1825" s="1">
        <v>116</v>
      </c>
      <c r="B1825" s="1" t="s">
        <v>10</v>
      </c>
      <c r="C1825" s="2">
        <v>41227</v>
      </c>
      <c r="D1825" s="3">
        <v>8</v>
      </c>
      <c r="E1825" s="1" t="str">
        <f t="shared" si="28"/>
        <v>Nov 2012</v>
      </c>
    </row>
    <row r="1826" spans="1:5" ht="10.199999999999999" x14ac:dyDescent="0.25">
      <c r="A1826" s="1">
        <v>117</v>
      </c>
      <c r="B1826" s="1" t="s">
        <v>9</v>
      </c>
      <c r="C1826" s="2">
        <v>41092</v>
      </c>
      <c r="D1826" s="3">
        <v>8800</v>
      </c>
      <c r="E1826" s="1" t="str">
        <f t="shared" si="28"/>
        <v>Jul 2012</v>
      </c>
    </row>
    <row r="1827" spans="1:5" ht="10.199999999999999" x14ac:dyDescent="0.25">
      <c r="A1827" s="1">
        <v>117</v>
      </c>
      <c r="B1827" s="1" t="s">
        <v>9</v>
      </c>
      <c r="C1827" s="2">
        <v>41094</v>
      </c>
      <c r="D1827" s="3">
        <v>8800</v>
      </c>
      <c r="E1827" s="1" t="str">
        <f t="shared" si="28"/>
        <v>Jul 2012</v>
      </c>
    </row>
    <row r="1828" spans="1:5" ht="10.199999999999999" x14ac:dyDescent="0.25">
      <c r="A1828" s="1">
        <v>117</v>
      </c>
      <c r="B1828" s="1" t="s">
        <v>9</v>
      </c>
      <c r="C1828" s="2">
        <v>41096</v>
      </c>
      <c r="D1828" s="3">
        <v>9700</v>
      </c>
      <c r="E1828" s="1" t="str">
        <f t="shared" si="28"/>
        <v>Jul 2012</v>
      </c>
    </row>
    <row r="1829" spans="1:5" ht="10.199999999999999" x14ac:dyDescent="0.25">
      <c r="A1829" s="1">
        <v>117</v>
      </c>
      <c r="B1829" s="1" t="s">
        <v>9</v>
      </c>
      <c r="C1829" s="2">
        <v>41099</v>
      </c>
      <c r="D1829" s="3">
        <v>9700</v>
      </c>
      <c r="E1829" s="1" t="str">
        <f t="shared" si="28"/>
        <v>Jul 2012</v>
      </c>
    </row>
    <row r="1830" spans="1:5" ht="10.199999999999999" x14ac:dyDescent="0.25">
      <c r="A1830" s="1">
        <v>117</v>
      </c>
      <c r="B1830" s="1" t="s">
        <v>9</v>
      </c>
      <c r="C1830" s="2">
        <v>41101</v>
      </c>
      <c r="D1830" s="3">
        <v>9700</v>
      </c>
      <c r="E1830" s="1" t="str">
        <f t="shared" si="28"/>
        <v>Jul 2012</v>
      </c>
    </row>
    <row r="1831" spans="1:5" ht="10.199999999999999" x14ac:dyDescent="0.25">
      <c r="A1831" s="1">
        <v>117</v>
      </c>
      <c r="B1831" s="1" t="s">
        <v>9</v>
      </c>
      <c r="C1831" s="2">
        <v>41103</v>
      </c>
      <c r="D1831" s="3">
        <v>9700</v>
      </c>
      <c r="E1831" s="1" t="str">
        <f t="shared" si="28"/>
        <v>Jul 2012</v>
      </c>
    </row>
    <row r="1832" spans="1:5" ht="10.199999999999999" x14ac:dyDescent="0.25">
      <c r="A1832" s="1">
        <v>117</v>
      </c>
      <c r="B1832" s="1" t="s">
        <v>9</v>
      </c>
      <c r="C1832" s="2">
        <v>41106</v>
      </c>
      <c r="D1832" s="3">
        <v>9700</v>
      </c>
      <c r="E1832" s="1" t="str">
        <f t="shared" si="28"/>
        <v>Jul 2012</v>
      </c>
    </row>
    <row r="1833" spans="1:5" ht="10.199999999999999" x14ac:dyDescent="0.25">
      <c r="A1833" s="1">
        <v>117</v>
      </c>
      <c r="B1833" s="1" t="s">
        <v>9</v>
      </c>
      <c r="C1833" s="2">
        <v>41108</v>
      </c>
      <c r="D1833" s="3">
        <v>9700</v>
      </c>
      <c r="E1833" s="1" t="str">
        <f t="shared" si="28"/>
        <v>Jul 2012</v>
      </c>
    </row>
    <row r="1834" spans="1:5" ht="10.199999999999999" x14ac:dyDescent="0.25">
      <c r="A1834" s="1">
        <v>117</v>
      </c>
      <c r="B1834" s="1" t="s">
        <v>9</v>
      </c>
      <c r="C1834" s="2">
        <v>41110</v>
      </c>
      <c r="D1834" s="3">
        <v>10700</v>
      </c>
      <c r="E1834" s="1" t="str">
        <f t="shared" si="28"/>
        <v>Jul 2012</v>
      </c>
    </row>
    <row r="1835" spans="1:5" ht="10.199999999999999" x14ac:dyDescent="0.25">
      <c r="A1835" s="1">
        <v>117</v>
      </c>
      <c r="B1835" s="1" t="s">
        <v>9</v>
      </c>
      <c r="C1835" s="2">
        <v>41113</v>
      </c>
      <c r="D1835" s="3">
        <v>10700</v>
      </c>
      <c r="E1835" s="1" t="str">
        <f t="shared" si="28"/>
        <v>Jul 2012</v>
      </c>
    </row>
    <row r="1836" spans="1:5" ht="10.199999999999999" x14ac:dyDescent="0.25">
      <c r="A1836" s="1">
        <v>117</v>
      </c>
      <c r="B1836" s="1" t="s">
        <v>9</v>
      </c>
      <c r="C1836" s="2">
        <v>41117</v>
      </c>
      <c r="D1836" s="3">
        <v>10700</v>
      </c>
      <c r="E1836" s="1" t="str">
        <f t="shared" si="28"/>
        <v>Jul 2012</v>
      </c>
    </row>
    <row r="1837" spans="1:5" ht="10.199999999999999" x14ac:dyDescent="0.25">
      <c r="A1837" s="1">
        <v>117</v>
      </c>
      <c r="B1837" s="1" t="s">
        <v>9</v>
      </c>
      <c r="C1837" s="2">
        <v>41120</v>
      </c>
      <c r="D1837" s="3">
        <v>10700</v>
      </c>
      <c r="E1837" s="1" t="str">
        <f t="shared" si="28"/>
        <v>Jul 2012</v>
      </c>
    </row>
    <row r="1838" spans="1:5" ht="10.199999999999999" x14ac:dyDescent="0.25">
      <c r="A1838" s="1">
        <v>117</v>
      </c>
      <c r="B1838" s="1" t="s">
        <v>9</v>
      </c>
      <c r="C1838" s="2">
        <v>41122</v>
      </c>
      <c r="D1838" s="3">
        <v>10700</v>
      </c>
      <c r="E1838" s="1" t="str">
        <f t="shared" si="28"/>
        <v>Aug 2012</v>
      </c>
    </row>
    <row r="1839" spans="1:5" ht="10.199999999999999" x14ac:dyDescent="0.25">
      <c r="A1839" s="1">
        <v>117</v>
      </c>
      <c r="B1839" s="1" t="s">
        <v>9</v>
      </c>
      <c r="C1839" s="2">
        <v>41124</v>
      </c>
      <c r="D1839" s="3">
        <v>20000</v>
      </c>
      <c r="E1839" s="1" t="str">
        <f t="shared" si="28"/>
        <v>Aug 2012</v>
      </c>
    </row>
    <row r="1840" spans="1:5" ht="10.199999999999999" x14ac:dyDescent="0.25">
      <c r="A1840" s="1">
        <v>117</v>
      </c>
      <c r="B1840" s="1" t="s">
        <v>9</v>
      </c>
      <c r="C1840" s="2">
        <v>41127</v>
      </c>
      <c r="D1840" s="3">
        <v>20000</v>
      </c>
      <c r="E1840" s="1" t="str">
        <f t="shared" si="28"/>
        <v>Aug 2012</v>
      </c>
    </row>
    <row r="1841" spans="1:5" ht="10.199999999999999" x14ac:dyDescent="0.25">
      <c r="A1841" s="1">
        <v>117</v>
      </c>
      <c r="B1841" s="1" t="s">
        <v>9</v>
      </c>
      <c r="C1841" s="2">
        <v>41129</v>
      </c>
      <c r="D1841" s="3">
        <v>20000</v>
      </c>
      <c r="E1841" s="1" t="str">
        <f t="shared" si="28"/>
        <v>Aug 2012</v>
      </c>
    </row>
    <row r="1842" spans="1:5" ht="10.199999999999999" x14ac:dyDescent="0.25">
      <c r="A1842" s="1">
        <v>117</v>
      </c>
      <c r="B1842" s="1" t="s">
        <v>9</v>
      </c>
      <c r="C1842" s="2">
        <v>41131</v>
      </c>
      <c r="D1842" s="3">
        <v>20000</v>
      </c>
      <c r="E1842" s="1" t="str">
        <f t="shared" si="28"/>
        <v>Aug 2012</v>
      </c>
    </row>
    <row r="1843" spans="1:5" ht="10.199999999999999" x14ac:dyDescent="0.25">
      <c r="A1843" s="1">
        <v>117</v>
      </c>
      <c r="B1843" s="1" t="s">
        <v>9</v>
      </c>
      <c r="C1843" s="2">
        <v>41134</v>
      </c>
      <c r="D1843" s="3">
        <v>20000</v>
      </c>
      <c r="E1843" s="1" t="str">
        <f t="shared" si="28"/>
        <v>Aug 2012</v>
      </c>
    </row>
    <row r="1844" spans="1:5" ht="10.199999999999999" x14ac:dyDescent="0.25">
      <c r="A1844" s="1">
        <v>117</v>
      </c>
      <c r="B1844" s="1" t="s">
        <v>9</v>
      </c>
      <c r="C1844" s="2">
        <v>41136</v>
      </c>
      <c r="D1844" s="3">
        <v>20000</v>
      </c>
      <c r="E1844" s="1" t="str">
        <f t="shared" si="28"/>
        <v>Aug 2012</v>
      </c>
    </row>
    <row r="1845" spans="1:5" ht="10.199999999999999" x14ac:dyDescent="0.25">
      <c r="A1845" s="1">
        <v>117</v>
      </c>
      <c r="B1845" s="1" t="s">
        <v>9</v>
      </c>
      <c r="C1845" s="2">
        <v>41138</v>
      </c>
      <c r="D1845" s="3">
        <v>20000</v>
      </c>
      <c r="E1845" s="1" t="str">
        <f t="shared" si="28"/>
        <v>Aug 2012</v>
      </c>
    </row>
    <row r="1846" spans="1:5" ht="10.199999999999999" x14ac:dyDescent="0.25">
      <c r="A1846" s="1">
        <v>117</v>
      </c>
      <c r="B1846" s="1" t="s">
        <v>9</v>
      </c>
      <c r="C1846" s="2">
        <v>41141</v>
      </c>
      <c r="D1846" s="3">
        <v>20000</v>
      </c>
      <c r="E1846" s="1" t="str">
        <f t="shared" si="28"/>
        <v>Aug 2012</v>
      </c>
    </row>
    <row r="1847" spans="1:5" ht="10.199999999999999" x14ac:dyDescent="0.25">
      <c r="A1847" s="1">
        <v>117</v>
      </c>
      <c r="B1847" s="1" t="s">
        <v>9</v>
      </c>
      <c r="C1847" s="2">
        <v>41143</v>
      </c>
      <c r="D1847" s="3">
        <v>20000</v>
      </c>
      <c r="E1847" s="1" t="str">
        <f t="shared" si="28"/>
        <v>Aug 2012</v>
      </c>
    </row>
    <row r="1848" spans="1:5" ht="10.199999999999999" x14ac:dyDescent="0.25">
      <c r="A1848" s="1">
        <v>117</v>
      </c>
      <c r="B1848" s="1" t="s">
        <v>9</v>
      </c>
      <c r="C1848" s="2">
        <v>41145</v>
      </c>
      <c r="D1848" s="3">
        <v>20000</v>
      </c>
      <c r="E1848" s="1" t="str">
        <f t="shared" si="28"/>
        <v>Aug 2012</v>
      </c>
    </row>
    <row r="1849" spans="1:5" ht="10.199999999999999" x14ac:dyDescent="0.25">
      <c r="A1849" s="1">
        <v>117</v>
      </c>
      <c r="B1849" s="1" t="s">
        <v>9</v>
      </c>
      <c r="C1849" s="2">
        <v>41148</v>
      </c>
      <c r="D1849" s="3">
        <v>20000</v>
      </c>
      <c r="E1849" s="1" t="str">
        <f t="shared" si="28"/>
        <v>Aug 2012</v>
      </c>
    </row>
    <row r="1850" spans="1:5" ht="10.199999999999999" x14ac:dyDescent="0.25">
      <c r="A1850" s="1">
        <v>117</v>
      </c>
      <c r="B1850" s="1" t="s">
        <v>9</v>
      </c>
      <c r="C1850" s="2">
        <v>41150</v>
      </c>
      <c r="D1850" s="3">
        <v>20000</v>
      </c>
      <c r="E1850" s="1" t="str">
        <f t="shared" si="28"/>
        <v>Aug 2012</v>
      </c>
    </row>
    <row r="1851" spans="1:5" ht="10.199999999999999" x14ac:dyDescent="0.25">
      <c r="A1851" s="1">
        <v>117</v>
      </c>
      <c r="B1851" s="1" t="s">
        <v>9</v>
      </c>
      <c r="C1851" s="2">
        <v>41152</v>
      </c>
      <c r="D1851" s="3">
        <v>20000</v>
      </c>
      <c r="E1851" s="1" t="str">
        <f t="shared" si="28"/>
        <v>Aug 2012</v>
      </c>
    </row>
    <row r="1852" spans="1:5" ht="10.199999999999999" x14ac:dyDescent="0.25">
      <c r="A1852" s="1">
        <v>117</v>
      </c>
      <c r="B1852" s="1" t="s">
        <v>9</v>
      </c>
      <c r="C1852" s="2">
        <v>41155</v>
      </c>
      <c r="D1852" s="3">
        <v>20000</v>
      </c>
      <c r="E1852" s="1" t="str">
        <f t="shared" si="28"/>
        <v>Sep 2012</v>
      </c>
    </row>
    <row r="1853" spans="1:5" ht="10.199999999999999" x14ac:dyDescent="0.25">
      <c r="A1853" s="1">
        <v>117</v>
      </c>
      <c r="B1853" s="1" t="s">
        <v>9</v>
      </c>
      <c r="C1853" s="2">
        <v>41157</v>
      </c>
      <c r="D1853" s="3">
        <v>20000</v>
      </c>
      <c r="E1853" s="1" t="str">
        <f t="shared" si="28"/>
        <v>Sep 2012</v>
      </c>
    </row>
    <row r="1854" spans="1:5" ht="10.199999999999999" x14ac:dyDescent="0.25">
      <c r="A1854" s="1">
        <v>117</v>
      </c>
      <c r="B1854" s="1" t="s">
        <v>10</v>
      </c>
      <c r="C1854" s="2">
        <v>41164</v>
      </c>
      <c r="D1854" s="3">
        <v>20</v>
      </c>
      <c r="E1854" s="1" t="str">
        <f t="shared" si="28"/>
        <v>Sep 2012</v>
      </c>
    </row>
    <row r="1855" spans="1:5" ht="10.199999999999999" x14ac:dyDescent="0.25">
      <c r="A1855" s="1">
        <v>117</v>
      </c>
      <c r="B1855" s="1" t="s">
        <v>10</v>
      </c>
      <c r="C1855" s="2">
        <v>41241</v>
      </c>
      <c r="D1855" s="3">
        <v>3</v>
      </c>
      <c r="E1855" s="1" t="str">
        <f t="shared" si="28"/>
        <v>Nov 2012</v>
      </c>
    </row>
    <row r="1856" spans="1:5" ht="10.199999999999999" x14ac:dyDescent="0.25">
      <c r="A1856" s="1">
        <v>118</v>
      </c>
      <c r="B1856" s="1" t="s">
        <v>9</v>
      </c>
      <c r="C1856" s="2">
        <v>41093</v>
      </c>
      <c r="D1856" s="3">
        <v>1000</v>
      </c>
      <c r="E1856" s="1" t="str">
        <f t="shared" si="28"/>
        <v>Jul 2012</v>
      </c>
    </row>
    <row r="1857" spans="1:5" ht="10.199999999999999" x14ac:dyDescent="0.25">
      <c r="A1857" s="1">
        <v>118</v>
      </c>
      <c r="B1857" s="1" t="s">
        <v>9</v>
      </c>
      <c r="C1857" s="2">
        <v>41095</v>
      </c>
      <c r="D1857" s="3">
        <v>1000</v>
      </c>
      <c r="E1857" s="1" t="str">
        <f t="shared" si="28"/>
        <v>Jul 2012</v>
      </c>
    </row>
    <row r="1858" spans="1:5" ht="10.199999999999999" x14ac:dyDescent="0.25">
      <c r="A1858" s="1">
        <v>118</v>
      </c>
      <c r="B1858" s="1" t="s">
        <v>9</v>
      </c>
      <c r="C1858" s="2">
        <v>41100</v>
      </c>
      <c r="D1858" s="3">
        <v>1000</v>
      </c>
      <c r="E1858" s="1" t="str">
        <f t="shared" si="28"/>
        <v>Jul 2012</v>
      </c>
    </row>
    <row r="1859" spans="1:5" ht="10.199999999999999" x14ac:dyDescent="0.25">
      <c r="A1859" s="1">
        <v>118</v>
      </c>
      <c r="B1859" s="1" t="s">
        <v>9</v>
      </c>
      <c r="C1859" s="2">
        <v>41102</v>
      </c>
      <c r="D1859" s="3">
        <v>1000</v>
      </c>
      <c r="E1859" s="1" t="str">
        <f t="shared" ref="E1859:E1922" si="29">TEXT(C1859,"mmm yyyy")</f>
        <v>Jul 2012</v>
      </c>
    </row>
    <row r="1860" spans="1:5" ht="10.199999999999999" x14ac:dyDescent="0.25">
      <c r="A1860" s="1">
        <v>118</v>
      </c>
      <c r="B1860" s="1" t="s">
        <v>9</v>
      </c>
      <c r="C1860" s="2">
        <v>41107</v>
      </c>
      <c r="D1860" s="3">
        <v>1000</v>
      </c>
      <c r="E1860" s="1" t="str">
        <f t="shared" si="29"/>
        <v>Jul 2012</v>
      </c>
    </row>
    <row r="1861" spans="1:5" ht="10.199999999999999" x14ac:dyDescent="0.25">
      <c r="A1861" s="1">
        <v>118</v>
      </c>
      <c r="B1861" s="1" t="s">
        <v>9</v>
      </c>
      <c r="C1861" s="2">
        <v>41109</v>
      </c>
      <c r="D1861" s="3">
        <v>1000</v>
      </c>
      <c r="E1861" s="1" t="str">
        <f t="shared" si="29"/>
        <v>Jul 2012</v>
      </c>
    </row>
    <row r="1862" spans="1:5" ht="10.199999999999999" x14ac:dyDescent="0.25">
      <c r="A1862" s="1">
        <v>118</v>
      </c>
      <c r="B1862" s="1" t="s">
        <v>9</v>
      </c>
      <c r="C1862" s="2">
        <v>41114</v>
      </c>
      <c r="D1862" s="3">
        <v>1000</v>
      </c>
      <c r="E1862" s="1" t="str">
        <f t="shared" si="29"/>
        <v>Jul 2012</v>
      </c>
    </row>
    <row r="1863" spans="1:5" ht="10.199999999999999" x14ac:dyDescent="0.25">
      <c r="A1863" s="1">
        <v>118</v>
      </c>
      <c r="B1863" s="1" t="s">
        <v>9</v>
      </c>
      <c r="C1863" s="2">
        <v>41116</v>
      </c>
      <c r="D1863" s="3">
        <v>1000</v>
      </c>
      <c r="E1863" s="1" t="str">
        <f t="shared" si="29"/>
        <v>Jul 2012</v>
      </c>
    </row>
    <row r="1864" spans="1:5" ht="10.199999999999999" x14ac:dyDescent="0.25">
      <c r="A1864" s="1">
        <v>118</v>
      </c>
      <c r="B1864" s="1" t="s">
        <v>9</v>
      </c>
      <c r="C1864" s="2">
        <v>41121</v>
      </c>
      <c r="D1864" s="3">
        <v>1000</v>
      </c>
      <c r="E1864" s="1" t="str">
        <f t="shared" si="29"/>
        <v>Jul 2012</v>
      </c>
    </row>
    <row r="1865" spans="1:5" ht="10.199999999999999" x14ac:dyDescent="0.25">
      <c r="A1865" s="1">
        <v>118</v>
      </c>
      <c r="B1865" s="1" t="s">
        <v>9</v>
      </c>
      <c r="C1865" s="2">
        <v>41123</v>
      </c>
      <c r="D1865" s="3">
        <v>1000</v>
      </c>
      <c r="E1865" s="1" t="str">
        <f t="shared" si="29"/>
        <v>Aug 2012</v>
      </c>
    </row>
    <row r="1866" spans="1:5" ht="10.199999999999999" x14ac:dyDescent="0.25">
      <c r="A1866" s="1">
        <v>118</v>
      </c>
      <c r="B1866" s="1" t="s">
        <v>9</v>
      </c>
      <c r="C1866" s="2">
        <v>41128</v>
      </c>
      <c r="D1866" s="3">
        <v>1000</v>
      </c>
      <c r="E1866" s="1" t="str">
        <f t="shared" si="29"/>
        <v>Aug 2012</v>
      </c>
    </row>
    <row r="1867" spans="1:5" ht="10.199999999999999" x14ac:dyDescent="0.25">
      <c r="A1867" s="1">
        <v>118</v>
      </c>
      <c r="B1867" s="1" t="s">
        <v>9</v>
      </c>
      <c r="C1867" s="2">
        <v>41130</v>
      </c>
      <c r="D1867" s="3">
        <v>1000</v>
      </c>
      <c r="E1867" s="1" t="str">
        <f t="shared" si="29"/>
        <v>Aug 2012</v>
      </c>
    </row>
    <row r="1868" spans="1:5" ht="10.199999999999999" x14ac:dyDescent="0.25">
      <c r="A1868" s="1">
        <v>118</v>
      </c>
      <c r="B1868" s="1" t="s">
        <v>9</v>
      </c>
      <c r="C1868" s="2">
        <v>41135</v>
      </c>
      <c r="D1868" s="3">
        <v>1000</v>
      </c>
      <c r="E1868" s="1" t="str">
        <f t="shared" si="29"/>
        <v>Aug 2012</v>
      </c>
    </row>
    <row r="1869" spans="1:5" ht="10.199999999999999" x14ac:dyDescent="0.25">
      <c r="A1869" s="1">
        <v>118</v>
      </c>
      <c r="B1869" s="1" t="s">
        <v>9</v>
      </c>
      <c r="C1869" s="2">
        <v>41137</v>
      </c>
      <c r="D1869" s="3">
        <v>1000</v>
      </c>
      <c r="E1869" s="1" t="str">
        <f t="shared" si="29"/>
        <v>Aug 2012</v>
      </c>
    </row>
    <row r="1870" spans="1:5" ht="10.199999999999999" x14ac:dyDescent="0.25">
      <c r="A1870" s="1">
        <v>118</v>
      </c>
      <c r="B1870" s="1" t="s">
        <v>9</v>
      </c>
      <c r="C1870" s="2">
        <v>41158</v>
      </c>
      <c r="D1870" s="3">
        <v>800</v>
      </c>
      <c r="E1870" s="1" t="str">
        <f t="shared" si="29"/>
        <v>Sep 2012</v>
      </c>
    </row>
    <row r="1871" spans="1:5" ht="10.199999999999999" x14ac:dyDescent="0.25">
      <c r="A1871" s="1">
        <v>118</v>
      </c>
      <c r="B1871" s="1" t="s">
        <v>10</v>
      </c>
      <c r="C1871" s="2">
        <v>41165</v>
      </c>
      <c r="D1871" s="3">
        <v>2</v>
      </c>
      <c r="E1871" s="1" t="str">
        <f t="shared" si="29"/>
        <v>Sep 2012</v>
      </c>
    </row>
    <row r="1872" spans="1:5" ht="10.199999999999999" x14ac:dyDescent="0.25">
      <c r="A1872" s="1">
        <v>119</v>
      </c>
      <c r="B1872" s="1" t="s">
        <v>9</v>
      </c>
      <c r="C1872" s="2">
        <v>41093</v>
      </c>
      <c r="D1872" s="3">
        <v>2400</v>
      </c>
      <c r="E1872" s="1" t="str">
        <f t="shared" si="29"/>
        <v>Jul 2012</v>
      </c>
    </row>
    <row r="1873" spans="1:5" ht="10.199999999999999" x14ac:dyDescent="0.25">
      <c r="A1873" s="1">
        <v>119</v>
      </c>
      <c r="B1873" s="1" t="s">
        <v>9</v>
      </c>
      <c r="C1873" s="2">
        <v>41095</v>
      </c>
      <c r="D1873" s="3">
        <v>2400</v>
      </c>
      <c r="E1873" s="1" t="str">
        <f t="shared" si="29"/>
        <v>Jul 2012</v>
      </c>
    </row>
    <row r="1874" spans="1:5" ht="10.199999999999999" x14ac:dyDescent="0.25">
      <c r="A1874" s="1">
        <v>119</v>
      </c>
      <c r="B1874" s="1" t="s">
        <v>9</v>
      </c>
      <c r="C1874" s="2">
        <v>41097</v>
      </c>
      <c r="D1874" s="3">
        <v>2400</v>
      </c>
      <c r="E1874" s="1" t="str">
        <f t="shared" si="29"/>
        <v>Jul 2012</v>
      </c>
    </row>
    <row r="1875" spans="1:5" ht="10.199999999999999" x14ac:dyDescent="0.25">
      <c r="A1875" s="1">
        <v>119</v>
      </c>
      <c r="B1875" s="1" t="s">
        <v>9</v>
      </c>
      <c r="C1875" s="2">
        <v>41102</v>
      </c>
      <c r="D1875" s="3">
        <v>2400</v>
      </c>
      <c r="E1875" s="1" t="str">
        <f t="shared" si="29"/>
        <v>Jul 2012</v>
      </c>
    </row>
    <row r="1876" spans="1:5" ht="10.199999999999999" x14ac:dyDescent="0.25">
      <c r="A1876" s="1">
        <v>119</v>
      </c>
      <c r="B1876" s="1" t="s">
        <v>9</v>
      </c>
      <c r="C1876" s="2">
        <v>41104</v>
      </c>
      <c r="D1876" s="3">
        <v>2400</v>
      </c>
      <c r="E1876" s="1" t="str">
        <f t="shared" si="29"/>
        <v>Jul 2012</v>
      </c>
    </row>
    <row r="1877" spans="1:5" ht="10.199999999999999" x14ac:dyDescent="0.25">
      <c r="A1877" s="1">
        <v>119</v>
      </c>
      <c r="B1877" s="1" t="s">
        <v>9</v>
      </c>
      <c r="C1877" s="2">
        <v>41109</v>
      </c>
      <c r="D1877" s="3">
        <v>2400</v>
      </c>
      <c r="E1877" s="1" t="str">
        <f t="shared" si="29"/>
        <v>Jul 2012</v>
      </c>
    </row>
    <row r="1878" spans="1:5" ht="10.199999999999999" x14ac:dyDescent="0.25">
      <c r="A1878" s="1">
        <v>119</v>
      </c>
      <c r="B1878" s="1" t="s">
        <v>9</v>
      </c>
      <c r="C1878" s="2">
        <v>41111</v>
      </c>
      <c r="D1878" s="3">
        <v>2900</v>
      </c>
      <c r="E1878" s="1" t="str">
        <f t="shared" si="29"/>
        <v>Jul 2012</v>
      </c>
    </row>
    <row r="1879" spans="1:5" ht="10.199999999999999" x14ac:dyDescent="0.25">
      <c r="A1879" s="1">
        <v>119</v>
      </c>
      <c r="B1879" s="1" t="s">
        <v>9</v>
      </c>
      <c r="C1879" s="2">
        <v>41115</v>
      </c>
      <c r="D1879" s="3">
        <v>2900</v>
      </c>
      <c r="E1879" s="1" t="str">
        <f t="shared" si="29"/>
        <v>Jul 2012</v>
      </c>
    </row>
    <row r="1880" spans="1:5" ht="10.199999999999999" x14ac:dyDescent="0.25">
      <c r="A1880" s="1">
        <v>119</v>
      </c>
      <c r="B1880" s="1" t="s">
        <v>9</v>
      </c>
      <c r="C1880" s="2">
        <v>41116</v>
      </c>
      <c r="D1880" s="3">
        <v>2900</v>
      </c>
      <c r="E1880" s="1" t="str">
        <f t="shared" si="29"/>
        <v>Jul 2012</v>
      </c>
    </row>
    <row r="1881" spans="1:5" ht="10.199999999999999" x14ac:dyDescent="0.25">
      <c r="A1881" s="1">
        <v>119</v>
      </c>
      <c r="B1881" s="1" t="s">
        <v>9</v>
      </c>
      <c r="C1881" s="2">
        <v>41118</v>
      </c>
      <c r="D1881" s="3">
        <v>2900</v>
      </c>
      <c r="E1881" s="1" t="str">
        <f t="shared" si="29"/>
        <v>Jul 2012</v>
      </c>
    </row>
    <row r="1882" spans="1:5" ht="10.199999999999999" x14ac:dyDescent="0.25">
      <c r="A1882" s="1">
        <v>119</v>
      </c>
      <c r="B1882" s="1" t="s">
        <v>9</v>
      </c>
      <c r="C1882" s="2">
        <v>41121</v>
      </c>
      <c r="D1882" s="3">
        <v>2900</v>
      </c>
      <c r="E1882" s="1" t="str">
        <f t="shared" si="29"/>
        <v>Jul 2012</v>
      </c>
    </row>
    <row r="1883" spans="1:5" ht="10.199999999999999" x14ac:dyDescent="0.25">
      <c r="A1883" s="1">
        <v>119</v>
      </c>
      <c r="B1883" s="1" t="s">
        <v>9</v>
      </c>
      <c r="C1883" s="2">
        <v>41123</v>
      </c>
      <c r="D1883" s="3">
        <v>2900</v>
      </c>
      <c r="E1883" s="1" t="str">
        <f t="shared" si="29"/>
        <v>Aug 2012</v>
      </c>
    </row>
    <row r="1884" spans="1:5" ht="10.199999999999999" x14ac:dyDescent="0.25">
      <c r="A1884" s="1">
        <v>119</v>
      </c>
      <c r="B1884" s="1" t="s">
        <v>9</v>
      </c>
      <c r="C1884" s="2">
        <v>41128</v>
      </c>
      <c r="D1884" s="3">
        <v>3500</v>
      </c>
      <c r="E1884" s="1" t="str">
        <f t="shared" si="29"/>
        <v>Aug 2012</v>
      </c>
    </row>
    <row r="1885" spans="1:5" ht="10.199999999999999" x14ac:dyDescent="0.25">
      <c r="A1885" s="1">
        <v>119</v>
      </c>
      <c r="B1885" s="1" t="s">
        <v>9</v>
      </c>
      <c r="C1885" s="2">
        <v>41130</v>
      </c>
      <c r="D1885" s="3">
        <v>3500</v>
      </c>
      <c r="E1885" s="1" t="str">
        <f t="shared" si="29"/>
        <v>Aug 2012</v>
      </c>
    </row>
    <row r="1886" spans="1:5" ht="10.199999999999999" x14ac:dyDescent="0.25">
      <c r="A1886" s="1">
        <v>119</v>
      </c>
      <c r="B1886" s="1" t="s">
        <v>9</v>
      </c>
      <c r="C1886" s="2">
        <v>41132</v>
      </c>
      <c r="D1886" s="3">
        <v>3500</v>
      </c>
      <c r="E1886" s="1" t="str">
        <f t="shared" si="29"/>
        <v>Aug 2012</v>
      </c>
    </row>
    <row r="1887" spans="1:5" ht="10.199999999999999" x14ac:dyDescent="0.25">
      <c r="A1887" s="1">
        <v>119</v>
      </c>
      <c r="B1887" s="1" t="s">
        <v>9</v>
      </c>
      <c r="C1887" s="2">
        <v>41135</v>
      </c>
      <c r="D1887" s="3">
        <v>3500</v>
      </c>
      <c r="E1887" s="1" t="str">
        <f t="shared" si="29"/>
        <v>Aug 2012</v>
      </c>
    </row>
    <row r="1888" spans="1:5" ht="10.199999999999999" x14ac:dyDescent="0.25">
      <c r="A1888" s="1">
        <v>119</v>
      </c>
      <c r="B1888" s="1" t="s">
        <v>9</v>
      </c>
      <c r="C1888" s="2">
        <v>41137</v>
      </c>
      <c r="D1888" s="3">
        <v>3500</v>
      </c>
      <c r="E1888" s="1" t="str">
        <f t="shared" si="29"/>
        <v>Aug 2012</v>
      </c>
    </row>
    <row r="1889" spans="1:5" ht="10.199999999999999" x14ac:dyDescent="0.25">
      <c r="A1889" s="1">
        <v>119</v>
      </c>
      <c r="B1889" s="1" t="s">
        <v>9</v>
      </c>
      <c r="C1889" s="2">
        <v>41139</v>
      </c>
      <c r="D1889" s="3">
        <v>4200</v>
      </c>
      <c r="E1889" s="1" t="str">
        <f t="shared" si="29"/>
        <v>Aug 2012</v>
      </c>
    </row>
    <row r="1890" spans="1:5" ht="10.199999999999999" x14ac:dyDescent="0.25">
      <c r="A1890" s="1">
        <v>119</v>
      </c>
      <c r="B1890" s="1" t="s">
        <v>9</v>
      </c>
      <c r="C1890" s="2">
        <v>41142</v>
      </c>
      <c r="D1890" s="3">
        <v>4200</v>
      </c>
      <c r="E1890" s="1" t="str">
        <f t="shared" si="29"/>
        <v>Aug 2012</v>
      </c>
    </row>
    <row r="1891" spans="1:5" ht="10.199999999999999" x14ac:dyDescent="0.25">
      <c r="A1891" s="1">
        <v>119</v>
      </c>
      <c r="B1891" s="1" t="s">
        <v>9</v>
      </c>
      <c r="C1891" s="2">
        <v>41144</v>
      </c>
      <c r="D1891" s="3">
        <v>4200</v>
      </c>
      <c r="E1891" s="1" t="str">
        <f t="shared" si="29"/>
        <v>Aug 2012</v>
      </c>
    </row>
    <row r="1892" spans="1:5" ht="10.199999999999999" x14ac:dyDescent="0.25">
      <c r="A1892" s="1">
        <v>119</v>
      </c>
      <c r="B1892" s="1" t="s">
        <v>9</v>
      </c>
      <c r="C1892" s="2">
        <v>41146</v>
      </c>
      <c r="D1892" s="3">
        <v>4200</v>
      </c>
      <c r="E1892" s="1" t="str">
        <f t="shared" si="29"/>
        <v>Aug 2012</v>
      </c>
    </row>
    <row r="1893" spans="1:5" ht="10.199999999999999" x14ac:dyDescent="0.25">
      <c r="A1893" s="1">
        <v>119</v>
      </c>
      <c r="B1893" s="1" t="s">
        <v>9</v>
      </c>
      <c r="C1893" s="2">
        <v>41149</v>
      </c>
      <c r="D1893" s="3">
        <v>4200</v>
      </c>
      <c r="E1893" s="1" t="str">
        <f t="shared" si="29"/>
        <v>Aug 2012</v>
      </c>
    </row>
    <row r="1894" spans="1:5" ht="10.199999999999999" x14ac:dyDescent="0.25">
      <c r="A1894" s="1">
        <v>119</v>
      </c>
      <c r="B1894" s="1" t="s">
        <v>9</v>
      </c>
      <c r="C1894" s="2">
        <v>41151</v>
      </c>
      <c r="D1894" s="3">
        <v>4200</v>
      </c>
      <c r="E1894" s="1" t="str">
        <f t="shared" si="29"/>
        <v>Aug 2012</v>
      </c>
    </row>
    <row r="1895" spans="1:5" ht="10.199999999999999" x14ac:dyDescent="0.25">
      <c r="A1895" s="1">
        <v>119</v>
      </c>
      <c r="B1895" s="1" t="s">
        <v>9</v>
      </c>
      <c r="C1895" s="2">
        <v>41156</v>
      </c>
      <c r="D1895" s="3">
        <v>4200</v>
      </c>
      <c r="E1895" s="1" t="str">
        <f t="shared" si="29"/>
        <v>Sep 2012</v>
      </c>
    </row>
    <row r="1896" spans="1:5" ht="10.199999999999999" x14ac:dyDescent="0.25">
      <c r="A1896" s="1">
        <v>119</v>
      </c>
      <c r="B1896" s="1" t="s">
        <v>9</v>
      </c>
      <c r="C1896" s="2">
        <v>41158</v>
      </c>
      <c r="D1896" s="3">
        <v>4200</v>
      </c>
      <c r="E1896" s="1" t="str">
        <f t="shared" si="29"/>
        <v>Sep 2012</v>
      </c>
    </row>
    <row r="1897" spans="1:5" ht="10.199999999999999" x14ac:dyDescent="0.25">
      <c r="A1897" s="1">
        <v>119</v>
      </c>
      <c r="B1897" s="1" t="s">
        <v>10</v>
      </c>
      <c r="C1897" s="2">
        <v>41165</v>
      </c>
      <c r="D1897" s="3">
        <v>8</v>
      </c>
      <c r="E1897" s="1" t="str">
        <f t="shared" si="29"/>
        <v>Sep 2012</v>
      </c>
    </row>
    <row r="1898" spans="1:5" ht="10.199999999999999" x14ac:dyDescent="0.25">
      <c r="A1898" s="1">
        <v>119</v>
      </c>
      <c r="B1898" s="1" t="s">
        <v>10</v>
      </c>
      <c r="C1898" s="2">
        <v>41193</v>
      </c>
      <c r="D1898" s="3">
        <v>8</v>
      </c>
      <c r="E1898" s="1" t="str">
        <f t="shared" si="29"/>
        <v>Oct 2012</v>
      </c>
    </row>
    <row r="1899" spans="1:5" ht="10.199999999999999" x14ac:dyDescent="0.25">
      <c r="A1899" s="1">
        <v>119</v>
      </c>
      <c r="B1899" s="1" t="s">
        <v>10</v>
      </c>
      <c r="C1899" s="2">
        <v>41242</v>
      </c>
      <c r="D1899" s="3">
        <v>4</v>
      </c>
      <c r="E1899" s="1" t="str">
        <f t="shared" si="29"/>
        <v>Nov 2012</v>
      </c>
    </row>
    <row r="1900" spans="1:5" ht="10.199999999999999" x14ac:dyDescent="0.25">
      <c r="A1900" s="1">
        <v>120</v>
      </c>
      <c r="B1900" s="1" t="s">
        <v>10</v>
      </c>
      <c r="C1900" s="2">
        <v>41192</v>
      </c>
      <c r="D1900" s="3">
        <v>6</v>
      </c>
      <c r="E1900" s="1" t="str">
        <f t="shared" si="29"/>
        <v>Oct 2012</v>
      </c>
    </row>
    <row r="1901" spans="1:5" ht="10.199999999999999" x14ac:dyDescent="0.25">
      <c r="A1901" s="1">
        <v>120</v>
      </c>
      <c r="B1901" s="1" t="s">
        <v>10</v>
      </c>
      <c r="C1901" s="2">
        <v>41241</v>
      </c>
      <c r="D1901" s="3">
        <v>8</v>
      </c>
      <c r="E1901" s="1" t="str">
        <f t="shared" si="29"/>
        <v>Nov 2012</v>
      </c>
    </row>
    <row r="1902" spans="1:5" ht="10.199999999999999" x14ac:dyDescent="0.25">
      <c r="A1902" s="1">
        <v>121</v>
      </c>
      <c r="B1902" s="1" t="s">
        <v>9</v>
      </c>
      <c r="C1902" s="2">
        <v>41096</v>
      </c>
      <c r="D1902" s="3">
        <v>3500</v>
      </c>
      <c r="E1902" s="1" t="str">
        <f t="shared" si="29"/>
        <v>Jul 2012</v>
      </c>
    </row>
    <row r="1903" spans="1:5" ht="10.199999999999999" x14ac:dyDescent="0.25">
      <c r="A1903" s="1">
        <v>121</v>
      </c>
      <c r="B1903" s="1" t="s">
        <v>9</v>
      </c>
      <c r="C1903" s="2">
        <v>41099</v>
      </c>
      <c r="D1903" s="3">
        <v>3500</v>
      </c>
      <c r="E1903" s="1" t="str">
        <f t="shared" si="29"/>
        <v>Jul 2012</v>
      </c>
    </row>
    <row r="1904" spans="1:5" ht="10.199999999999999" x14ac:dyDescent="0.25">
      <c r="A1904" s="1">
        <v>121</v>
      </c>
      <c r="B1904" s="1" t="s">
        <v>9</v>
      </c>
      <c r="C1904" s="2">
        <v>41103</v>
      </c>
      <c r="D1904" s="3">
        <v>3500</v>
      </c>
      <c r="E1904" s="1" t="str">
        <f t="shared" si="29"/>
        <v>Jul 2012</v>
      </c>
    </row>
    <row r="1905" spans="1:5" ht="10.199999999999999" x14ac:dyDescent="0.25">
      <c r="A1905" s="1">
        <v>121</v>
      </c>
      <c r="B1905" s="1" t="s">
        <v>9</v>
      </c>
      <c r="C1905" s="2">
        <v>41106</v>
      </c>
      <c r="D1905" s="3">
        <v>3500</v>
      </c>
      <c r="E1905" s="1" t="str">
        <f t="shared" si="29"/>
        <v>Jul 2012</v>
      </c>
    </row>
    <row r="1906" spans="1:5" ht="10.199999999999999" x14ac:dyDescent="0.25">
      <c r="A1906" s="1">
        <v>121</v>
      </c>
      <c r="B1906" s="1" t="s">
        <v>9</v>
      </c>
      <c r="C1906" s="2">
        <v>41110</v>
      </c>
      <c r="D1906" s="3">
        <v>3500</v>
      </c>
      <c r="E1906" s="1" t="str">
        <f t="shared" si="29"/>
        <v>Jul 2012</v>
      </c>
    </row>
    <row r="1907" spans="1:5" ht="10.199999999999999" x14ac:dyDescent="0.25">
      <c r="A1907" s="1">
        <v>121</v>
      </c>
      <c r="B1907" s="1" t="s">
        <v>9</v>
      </c>
      <c r="C1907" s="2">
        <v>41113</v>
      </c>
      <c r="D1907" s="3">
        <v>3500</v>
      </c>
      <c r="E1907" s="1" t="str">
        <f t="shared" si="29"/>
        <v>Jul 2012</v>
      </c>
    </row>
    <row r="1908" spans="1:5" ht="10.199999999999999" x14ac:dyDescent="0.25">
      <c r="A1908" s="1">
        <v>121</v>
      </c>
      <c r="B1908" s="1" t="s">
        <v>9</v>
      </c>
      <c r="C1908" s="2">
        <v>41115</v>
      </c>
      <c r="D1908" s="3">
        <v>3500</v>
      </c>
      <c r="E1908" s="1" t="str">
        <f t="shared" si="29"/>
        <v>Jul 2012</v>
      </c>
    </row>
    <row r="1909" spans="1:5" ht="10.199999999999999" x14ac:dyDescent="0.25">
      <c r="A1909" s="1">
        <v>121</v>
      </c>
      <c r="B1909" s="1" t="s">
        <v>9</v>
      </c>
      <c r="C1909" s="2">
        <v>41117</v>
      </c>
      <c r="D1909" s="3">
        <v>3500</v>
      </c>
      <c r="E1909" s="1" t="str">
        <f t="shared" si="29"/>
        <v>Jul 2012</v>
      </c>
    </row>
    <row r="1910" spans="1:5" ht="10.199999999999999" x14ac:dyDescent="0.25">
      <c r="A1910" s="1">
        <v>121</v>
      </c>
      <c r="B1910" s="1" t="s">
        <v>9</v>
      </c>
      <c r="C1910" s="2">
        <v>41120</v>
      </c>
      <c r="D1910" s="3">
        <v>3500</v>
      </c>
      <c r="E1910" s="1" t="str">
        <f t="shared" si="29"/>
        <v>Jul 2012</v>
      </c>
    </row>
    <row r="1911" spans="1:5" ht="10.199999999999999" x14ac:dyDescent="0.25">
      <c r="A1911" s="1">
        <v>121</v>
      </c>
      <c r="B1911" s="1" t="s">
        <v>9</v>
      </c>
      <c r="C1911" s="2">
        <v>41122</v>
      </c>
      <c r="D1911" s="3">
        <v>3500</v>
      </c>
      <c r="E1911" s="1" t="str">
        <f t="shared" si="29"/>
        <v>Aug 2012</v>
      </c>
    </row>
    <row r="1912" spans="1:5" ht="10.199999999999999" x14ac:dyDescent="0.25">
      <c r="A1912" s="1">
        <v>121</v>
      </c>
      <c r="B1912" s="1" t="s">
        <v>9</v>
      </c>
      <c r="C1912" s="2">
        <v>41125</v>
      </c>
      <c r="D1912" s="3">
        <v>3500</v>
      </c>
      <c r="E1912" s="1" t="str">
        <f t="shared" si="29"/>
        <v>Aug 2012</v>
      </c>
    </row>
    <row r="1913" spans="1:5" ht="10.199999999999999" x14ac:dyDescent="0.25">
      <c r="A1913" s="1">
        <v>121</v>
      </c>
      <c r="B1913" s="1" t="s">
        <v>10</v>
      </c>
      <c r="C1913" s="2">
        <v>41194</v>
      </c>
      <c r="D1913" s="3">
        <v>5</v>
      </c>
      <c r="E1913" s="1" t="str">
        <f t="shared" si="29"/>
        <v>Oct 2012</v>
      </c>
    </row>
    <row r="1914" spans="1:5" ht="10.199999999999999" x14ac:dyDescent="0.25">
      <c r="A1914" s="1">
        <v>122</v>
      </c>
      <c r="B1914" s="1" t="s">
        <v>9</v>
      </c>
      <c r="C1914" s="2">
        <v>41101</v>
      </c>
      <c r="D1914" s="3">
        <v>20000</v>
      </c>
      <c r="E1914" s="1" t="str">
        <f t="shared" si="29"/>
        <v>Jul 2012</v>
      </c>
    </row>
    <row r="1915" spans="1:5" ht="10.199999999999999" x14ac:dyDescent="0.25">
      <c r="A1915" s="1">
        <v>122</v>
      </c>
      <c r="B1915" s="1" t="s">
        <v>9</v>
      </c>
      <c r="C1915" s="2">
        <v>41103</v>
      </c>
      <c r="D1915" s="3">
        <v>20000</v>
      </c>
      <c r="E1915" s="1" t="str">
        <f t="shared" si="29"/>
        <v>Jul 2012</v>
      </c>
    </row>
    <row r="1916" spans="1:5" ht="10.199999999999999" x14ac:dyDescent="0.25">
      <c r="A1916" s="1">
        <v>122</v>
      </c>
      <c r="B1916" s="1" t="s">
        <v>9</v>
      </c>
      <c r="C1916" s="2">
        <v>41106</v>
      </c>
      <c r="D1916" s="3">
        <v>20000</v>
      </c>
      <c r="E1916" s="1" t="str">
        <f t="shared" si="29"/>
        <v>Jul 2012</v>
      </c>
    </row>
    <row r="1917" spans="1:5" ht="10.199999999999999" x14ac:dyDescent="0.25">
      <c r="A1917" s="1">
        <v>122</v>
      </c>
      <c r="B1917" s="1" t="s">
        <v>9</v>
      </c>
      <c r="C1917" s="2">
        <v>41108</v>
      </c>
      <c r="D1917" s="3">
        <v>20000</v>
      </c>
      <c r="E1917" s="1" t="str">
        <f t="shared" si="29"/>
        <v>Jul 2012</v>
      </c>
    </row>
    <row r="1918" spans="1:5" ht="10.199999999999999" x14ac:dyDescent="0.25">
      <c r="A1918" s="1">
        <v>122</v>
      </c>
      <c r="B1918" s="1" t="s">
        <v>9</v>
      </c>
      <c r="C1918" s="2">
        <v>41110</v>
      </c>
      <c r="D1918" s="3">
        <v>20000</v>
      </c>
      <c r="E1918" s="1" t="str">
        <f t="shared" si="29"/>
        <v>Jul 2012</v>
      </c>
    </row>
    <row r="1919" spans="1:5" ht="10.199999999999999" x14ac:dyDescent="0.25">
      <c r="A1919" s="1">
        <v>122</v>
      </c>
      <c r="B1919" s="1" t="s">
        <v>9</v>
      </c>
      <c r="C1919" s="2">
        <v>41113</v>
      </c>
      <c r="D1919" s="3">
        <v>20000</v>
      </c>
      <c r="E1919" s="1" t="str">
        <f t="shared" si="29"/>
        <v>Jul 2012</v>
      </c>
    </row>
    <row r="1920" spans="1:5" ht="10.199999999999999" x14ac:dyDescent="0.25">
      <c r="A1920" s="1">
        <v>122</v>
      </c>
      <c r="B1920" s="1" t="s">
        <v>9</v>
      </c>
      <c r="C1920" s="2">
        <v>41115</v>
      </c>
      <c r="D1920" s="3">
        <v>20000</v>
      </c>
      <c r="E1920" s="1" t="str">
        <f t="shared" si="29"/>
        <v>Jul 2012</v>
      </c>
    </row>
    <row r="1921" spans="1:5" ht="10.199999999999999" x14ac:dyDescent="0.25">
      <c r="A1921" s="1">
        <v>122</v>
      </c>
      <c r="B1921" s="1" t="s">
        <v>9</v>
      </c>
      <c r="C1921" s="2">
        <v>41117</v>
      </c>
      <c r="D1921" s="3">
        <v>20000</v>
      </c>
      <c r="E1921" s="1" t="str">
        <f t="shared" si="29"/>
        <v>Jul 2012</v>
      </c>
    </row>
    <row r="1922" spans="1:5" ht="10.199999999999999" x14ac:dyDescent="0.25">
      <c r="A1922" s="1">
        <v>122</v>
      </c>
      <c r="B1922" s="1" t="s">
        <v>9</v>
      </c>
      <c r="C1922" s="2">
        <v>41120</v>
      </c>
      <c r="D1922" s="3">
        <v>20000</v>
      </c>
      <c r="E1922" s="1" t="str">
        <f t="shared" si="29"/>
        <v>Jul 2012</v>
      </c>
    </row>
    <row r="1923" spans="1:5" ht="10.199999999999999" x14ac:dyDescent="0.25">
      <c r="A1923" s="1">
        <v>122</v>
      </c>
      <c r="B1923" s="1" t="s">
        <v>9</v>
      </c>
      <c r="C1923" s="2">
        <v>41122</v>
      </c>
      <c r="D1923" s="3">
        <v>20000</v>
      </c>
      <c r="E1923" s="1" t="str">
        <f t="shared" ref="E1923:E1986" si="30">TEXT(C1923,"mmm yyyy")</f>
        <v>Aug 2012</v>
      </c>
    </row>
    <row r="1924" spans="1:5" ht="10.199999999999999" x14ac:dyDescent="0.25">
      <c r="A1924" s="1">
        <v>122</v>
      </c>
      <c r="B1924" s="1" t="s">
        <v>9</v>
      </c>
      <c r="C1924" s="2">
        <v>41157</v>
      </c>
      <c r="D1924" s="3">
        <v>18000</v>
      </c>
      <c r="E1924" s="1" t="str">
        <f t="shared" si="30"/>
        <v>Sep 2012</v>
      </c>
    </row>
    <row r="1925" spans="1:5" ht="10.199999999999999" x14ac:dyDescent="0.25">
      <c r="A1925" s="1">
        <v>122</v>
      </c>
      <c r="B1925" s="1" t="s">
        <v>10</v>
      </c>
      <c r="C1925" s="2">
        <v>41164</v>
      </c>
      <c r="D1925" s="3">
        <v>16</v>
      </c>
      <c r="E1925" s="1" t="str">
        <f t="shared" si="30"/>
        <v>Sep 2012</v>
      </c>
    </row>
    <row r="1926" spans="1:5" ht="10.199999999999999" x14ac:dyDescent="0.25">
      <c r="A1926" s="1">
        <v>122</v>
      </c>
      <c r="B1926" s="1" t="s">
        <v>10</v>
      </c>
      <c r="C1926" s="2">
        <v>41227</v>
      </c>
      <c r="D1926" s="3">
        <v>1</v>
      </c>
      <c r="E1926" s="1" t="str">
        <f t="shared" si="30"/>
        <v>Nov 2012</v>
      </c>
    </row>
    <row r="1927" spans="1:5" ht="10.199999999999999" x14ac:dyDescent="0.25">
      <c r="A1927" s="1">
        <v>123</v>
      </c>
      <c r="B1927" s="1" t="s">
        <v>10</v>
      </c>
      <c r="C1927" s="2">
        <v>41170</v>
      </c>
      <c r="D1927" s="3">
        <v>4</v>
      </c>
      <c r="E1927" s="1" t="str">
        <f t="shared" si="30"/>
        <v>Sep 2012</v>
      </c>
    </row>
    <row r="1928" spans="1:5" ht="10.199999999999999" x14ac:dyDescent="0.25">
      <c r="A1928" s="1">
        <v>123</v>
      </c>
      <c r="B1928" s="1" t="s">
        <v>10</v>
      </c>
      <c r="C1928" s="2">
        <v>41223</v>
      </c>
      <c r="D1928" s="3">
        <v>1</v>
      </c>
      <c r="E1928" s="1" t="str">
        <f t="shared" si="30"/>
        <v>Nov 2012</v>
      </c>
    </row>
    <row r="1929" spans="1:5" ht="10.199999999999999" x14ac:dyDescent="0.25">
      <c r="A1929" s="1">
        <v>123</v>
      </c>
      <c r="B1929" s="1" t="s">
        <v>10</v>
      </c>
      <c r="C1929" s="2">
        <v>41228</v>
      </c>
      <c r="D1929" s="3">
        <v>1</v>
      </c>
      <c r="E1929" s="1" t="str">
        <f t="shared" si="30"/>
        <v>Nov 2012</v>
      </c>
    </row>
    <row r="1930" spans="1:5" ht="10.199999999999999" x14ac:dyDescent="0.25">
      <c r="A1930" s="1">
        <v>124</v>
      </c>
      <c r="B1930" s="1" t="s">
        <v>9</v>
      </c>
      <c r="C1930" s="2">
        <v>41121</v>
      </c>
      <c r="D1930" s="3">
        <v>6000</v>
      </c>
      <c r="E1930" s="1" t="str">
        <f t="shared" si="30"/>
        <v>Jul 2012</v>
      </c>
    </row>
    <row r="1931" spans="1:5" ht="10.199999999999999" x14ac:dyDescent="0.25">
      <c r="A1931" s="1">
        <v>125</v>
      </c>
      <c r="B1931" s="1" t="s">
        <v>9</v>
      </c>
      <c r="C1931" s="2">
        <v>41093</v>
      </c>
      <c r="D1931" s="3">
        <v>4300</v>
      </c>
      <c r="E1931" s="1" t="str">
        <f t="shared" si="30"/>
        <v>Jul 2012</v>
      </c>
    </row>
    <row r="1932" spans="1:5" ht="10.199999999999999" x14ac:dyDescent="0.25">
      <c r="A1932" s="1">
        <v>125</v>
      </c>
      <c r="B1932" s="1" t="s">
        <v>9</v>
      </c>
      <c r="C1932" s="2">
        <v>41095</v>
      </c>
      <c r="D1932" s="3">
        <v>4300</v>
      </c>
      <c r="E1932" s="1" t="str">
        <f t="shared" si="30"/>
        <v>Jul 2012</v>
      </c>
    </row>
    <row r="1933" spans="1:5" ht="10.199999999999999" x14ac:dyDescent="0.25">
      <c r="A1933" s="1">
        <v>125</v>
      </c>
      <c r="B1933" s="1" t="s">
        <v>9</v>
      </c>
      <c r="C1933" s="2">
        <v>41100</v>
      </c>
      <c r="D1933" s="3">
        <v>4300</v>
      </c>
      <c r="E1933" s="1" t="str">
        <f t="shared" si="30"/>
        <v>Jul 2012</v>
      </c>
    </row>
    <row r="1934" spans="1:5" ht="10.199999999999999" x14ac:dyDescent="0.25">
      <c r="A1934" s="1">
        <v>125</v>
      </c>
      <c r="B1934" s="1" t="s">
        <v>9</v>
      </c>
      <c r="C1934" s="2">
        <v>41102</v>
      </c>
      <c r="D1934" s="3">
        <v>4300</v>
      </c>
      <c r="E1934" s="1" t="str">
        <f t="shared" si="30"/>
        <v>Jul 2012</v>
      </c>
    </row>
    <row r="1935" spans="1:5" ht="10.199999999999999" x14ac:dyDescent="0.25">
      <c r="A1935" s="1">
        <v>125</v>
      </c>
      <c r="B1935" s="1" t="s">
        <v>9</v>
      </c>
      <c r="C1935" s="2">
        <v>41104</v>
      </c>
      <c r="D1935" s="3">
        <v>4300</v>
      </c>
      <c r="E1935" s="1" t="str">
        <f t="shared" si="30"/>
        <v>Jul 2012</v>
      </c>
    </row>
    <row r="1936" spans="1:5" ht="10.199999999999999" x14ac:dyDescent="0.25">
      <c r="A1936" s="1">
        <v>125</v>
      </c>
      <c r="B1936" s="1" t="s">
        <v>9</v>
      </c>
      <c r="C1936" s="2">
        <v>41107</v>
      </c>
      <c r="D1936" s="3">
        <v>4300</v>
      </c>
      <c r="E1936" s="1" t="str">
        <f t="shared" si="30"/>
        <v>Jul 2012</v>
      </c>
    </row>
    <row r="1937" spans="1:5" ht="10.199999999999999" x14ac:dyDescent="0.25">
      <c r="A1937" s="1">
        <v>125</v>
      </c>
      <c r="B1937" s="1" t="s">
        <v>9</v>
      </c>
      <c r="C1937" s="2">
        <v>41109</v>
      </c>
      <c r="D1937" s="3">
        <v>4300</v>
      </c>
      <c r="E1937" s="1" t="str">
        <f t="shared" si="30"/>
        <v>Jul 2012</v>
      </c>
    </row>
    <row r="1938" spans="1:5" ht="10.199999999999999" x14ac:dyDescent="0.25">
      <c r="A1938" s="1">
        <v>125</v>
      </c>
      <c r="B1938" s="1" t="s">
        <v>9</v>
      </c>
      <c r="C1938" s="2">
        <v>41111</v>
      </c>
      <c r="D1938" s="3">
        <v>4300</v>
      </c>
      <c r="E1938" s="1" t="str">
        <f t="shared" si="30"/>
        <v>Jul 2012</v>
      </c>
    </row>
    <row r="1939" spans="1:5" ht="10.199999999999999" x14ac:dyDescent="0.25">
      <c r="A1939" s="1">
        <v>125</v>
      </c>
      <c r="B1939" s="1" t="s">
        <v>9</v>
      </c>
      <c r="C1939" s="2">
        <v>41114</v>
      </c>
      <c r="D1939" s="3">
        <v>5200</v>
      </c>
      <c r="E1939" s="1" t="str">
        <f t="shared" si="30"/>
        <v>Jul 2012</v>
      </c>
    </row>
    <row r="1940" spans="1:5" ht="10.199999999999999" x14ac:dyDescent="0.25">
      <c r="A1940" s="1">
        <v>125</v>
      </c>
      <c r="B1940" s="1" t="s">
        <v>9</v>
      </c>
      <c r="C1940" s="2">
        <v>41116</v>
      </c>
      <c r="D1940" s="3">
        <v>5200</v>
      </c>
      <c r="E1940" s="1" t="str">
        <f t="shared" si="30"/>
        <v>Jul 2012</v>
      </c>
    </row>
    <row r="1941" spans="1:5" ht="10.199999999999999" x14ac:dyDescent="0.25">
      <c r="A1941" s="1">
        <v>125</v>
      </c>
      <c r="B1941" s="1" t="s">
        <v>9</v>
      </c>
      <c r="C1941" s="2">
        <v>41118</v>
      </c>
      <c r="D1941" s="3">
        <v>5200</v>
      </c>
      <c r="E1941" s="1" t="str">
        <f t="shared" si="30"/>
        <v>Jul 2012</v>
      </c>
    </row>
    <row r="1942" spans="1:5" ht="10.199999999999999" x14ac:dyDescent="0.25">
      <c r="A1942" s="1">
        <v>125</v>
      </c>
      <c r="B1942" s="1" t="s">
        <v>9</v>
      </c>
      <c r="C1942" s="2">
        <v>41121</v>
      </c>
      <c r="D1942" s="3">
        <v>5200</v>
      </c>
      <c r="E1942" s="1" t="str">
        <f t="shared" si="30"/>
        <v>Jul 2012</v>
      </c>
    </row>
    <row r="1943" spans="1:5" ht="10.199999999999999" x14ac:dyDescent="0.25">
      <c r="A1943" s="1">
        <v>125</v>
      </c>
      <c r="B1943" s="1" t="s">
        <v>9</v>
      </c>
      <c r="C1943" s="2">
        <v>41123</v>
      </c>
      <c r="D1943" s="3">
        <v>5200</v>
      </c>
      <c r="E1943" s="1" t="str">
        <f t="shared" si="30"/>
        <v>Aug 2012</v>
      </c>
    </row>
    <row r="1944" spans="1:5" ht="10.199999999999999" x14ac:dyDescent="0.25">
      <c r="A1944" s="1">
        <v>125</v>
      </c>
      <c r="B1944" s="1" t="s">
        <v>9</v>
      </c>
      <c r="C1944" s="2">
        <v>41125</v>
      </c>
      <c r="D1944" s="3">
        <v>7500</v>
      </c>
      <c r="E1944" s="1" t="str">
        <f t="shared" si="30"/>
        <v>Aug 2012</v>
      </c>
    </row>
    <row r="1945" spans="1:5" ht="10.199999999999999" x14ac:dyDescent="0.25">
      <c r="A1945" s="1">
        <v>125</v>
      </c>
      <c r="B1945" s="1" t="s">
        <v>9</v>
      </c>
      <c r="C1945" s="2">
        <v>41128</v>
      </c>
      <c r="D1945" s="3">
        <v>7500</v>
      </c>
      <c r="E1945" s="1" t="str">
        <f t="shared" si="30"/>
        <v>Aug 2012</v>
      </c>
    </row>
    <row r="1946" spans="1:5" ht="10.199999999999999" x14ac:dyDescent="0.25">
      <c r="A1946" s="1">
        <v>125</v>
      </c>
      <c r="B1946" s="1" t="s">
        <v>9</v>
      </c>
      <c r="C1946" s="2">
        <v>41130</v>
      </c>
      <c r="D1946" s="3">
        <v>7500</v>
      </c>
      <c r="E1946" s="1" t="str">
        <f t="shared" si="30"/>
        <v>Aug 2012</v>
      </c>
    </row>
    <row r="1947" spans="1:5" ht="10.199999999999999" x14ac:dyDescent="0.25">
      <c r="A1947" s="1">
        <v>125</v>
      </c>
      <c r="B1947" s="1" t="s">
        <v>9</v>
      </c>
      <c r="C1947" s="2">
        <v>41132</v>
      </c>
      <c r="D1947" s="3">
        <v>7500</v>
      </c>
      <c r="E1947" s="1" t="str">
        <f t="shared" si="30"/>
        <v>Aug 2012</v>
      </c>
    </row>
    <row r="1948" spans="1:5" ht="10.199999999999999" x14ac:dyDescent="0.25">
      <c r="A1948" s="1">
        <v>125</v>
      </c>
      <c r="B1948" s="1" t="s">
        <v>9</v>
      </c>
      <c r="C1948" s="2">
        <v>41135</v>
      </c>
      <c r="D1948" s="3">
        <v>7500</v>
      </c>
      <c r="E1948" s="1" t="str">
        <f t="shared" si="30"/>
        <v>Aug 2012</v>
      </c>
    </row>
    <row r="1949" spans="1:5" ht="10.199999999999999" x14ac:dyDescent="0.25">
      <c r="A1949" s="1">
        <v>125</v>
      </c>
      <c r="B1949" s="1" t="s">
        <v>9</v>
      </c>
      <c r="C1949" s="2">
        <v>41137</v>
      </c>
      <c r="D1949" s="3">
        <v>7500</v>
      </c>
      <c r="E1949" s="1" t="str">
        <f t="shared" si="30"/>
        <v>Aug 2012</v>
      </c>
    </row>
    <row r="1950" spans="1:5" ht="10.199999999999999" x14ac:dyDescent="0.25">
      <c r="A1950" s="1">
        <v>125</v>
      </c>
      <c r="B1950" s="1" t="s">
        <v>9</v>
      </c>
      <c r="C1950" s="2">
        <v>41142</v>
      </c>
      <c r="D1950" s="3">
        <v>7500</v>
      </c>
      <c r="E1950" s="1" t="str">
        <f t="shared" si="30"/>
        <v>Aug 2012</v>
      </c>
    </row>
    <row r="1951" spans="1:5" ht="10.199999999999999" x14ac:dyDescent="0.25">
      <c r="A1951" s="1">
        <v>125</v>
      </c>
      <c r="B1951" s="1" t="s">
        <v>9</v>
      </c>
      <c r="C1951" s="2">
        <v>41144</v>
      </c>
      <c r="D1951" s="3">
        <v>7500</v>
      </c>
      <c r="E1951" s="1" t="str">
        <f t="shared" si="30"/>
        <v>Aug 2012</v>
      </c>
    </row>
    <row r="1952" spans="1:5" ht="10.199999999999999" x14ac:dyDescent="0.25">
      <c r="A1952" s="1">
        <v>125</v>
      </c>
      <c r="B1952" s="1" t="s">
        <v>9</v>
      </c>
      <c r="C1952" s="2">
        <v>41149</v>
      </c>
      <c r="D1952" s="3">
        <v>7500</v>
      </c>
      <c r="E1952" s="1" t="str">
        <f t="shared" si="30"/>
        <v>Aug 2012</v>
      </c>
    </row>
    <row r="1953" spans="1:5" ht="10.199999999999999" x14ac:dyDescent="0.25">
      <c r="A1953" s="1">
        <v>125</v>
      </c>
      <c r="B1953" s="1" t="s">
        <v>9</v>
      </c>
      <c r="C1953" s="2">
        <v>41151</v>
      </c>
      <c r="D1953" s="3">
        <v>7500</v>
      </c>
      <c r="E1953" s="1" t="str">
        <f t="shared" si="30"/>
        <v>Aug 2012</v>
      </c>
    </row>
    <row r="1954" spans="1:5" ht="10.199999999999999" x14ac:dyDescent="0.25">
      <c r="A1954" s="1">
        <v>125</v>
      </c>
      <c r="B1954" s="1" t="s">
        <v>9</v>
      </c>
      <c r="C1954" s="2">
        <v>41153</v>
      </c>
      <c r="D1954" s="3">
        <v>7500</v>
      </c>
      <c r="E1954" s="1" t="str">
        <f t="shared" si="30"/>
        <v>Sep 2012</v>
      </c>
    </row>
    <row r="1955" spans="1:5" ht="10.199999999999999" x14ac:dyDescent="0.25">
      <c r="A1955" s="1">
        <v>125</v>
      </c>
      <c r="B1955" s="1" t="s">
        <v>9</v>
      </c>
      <c r="C1955" s="2">
        <v>41156</v>
      </c>
      <c r="D1955" s="3">
        <v>7500</v>
      </c>
      <c r="E1955" s="1" t="str">
        <f t="shared" si="30"/>
        <v>Sep 2012</v>
      </c>
    </row>
    <row r="1956" spans="1:5" ht="10.199999999999999" x14ac:dyDescent="0.25">
      <c r="A1956" s="1">
        <v>125</v>
      </c>
      <c r="B1956" s="1" t="s">
        <v>9</v>
      </c>
      <c r="C1956" s="2">
        <v>41158</v>
      </c>
      <c r="D1956" s="3">
        <v>9800</v>
      </c>
      <c r="E1956" s="1" t="str">
        <f t="shared" si="30"/>
        <v>Sep 2012</v>
      </c>
    </row>
    <row r="1957" spans="1:5" ht="10.199999999999999" x14ac:dyDescent="0.25">
      <c r="A1957" s="1">
        <v>125</v>
      </c>
      <c r="B1957" s="1" t="s">
        <v>10</v>
      </c>
      <c r="C1957" s="2">
        <v>41165</v>
      </c>
      <c r="D1957" s="3">
        <v>10</v>
      </c>
      <c r="E1957" s="1" t="str">
        <f t="shared" si="30"/>
        <v>Sep 2012</v>
      </c>
    </row>
    <row r="1958" spans="1:5" ht="10.199999999999999" x14ac:dyDescent="0.25">
      <c r="A1958" s="1">
        <v>125</v>
      </c>
      <c r="B1958" s="1" t="s">
        <v>10</v>
      </c>
      <c r="C1958" s="2">
        <v>41193</v>
      </c>
      <c r="D1958" s="3">
        <v>13</v>
      </c>
      <c r="E1958" s="1" t="str">
        <f t="shared" si="30"/>
        <v>Oct 2012</v>
      </c>
    </row>
    <row r="1959" spans="1:5" ht="10.199999999999999" x14ac:dyDescent="0.25">
      <c r="A1959" s="1">
        <v>125</v>
      </c>
      <c r="B1959" s="1" t="s">
        <v>10</v>
      </c>
      <c r="C1959" s="2">
        <v>41228</v>
      </c>
      <c r="D1959" s="3">
        <v>13</v>
      </c>
      <c r="E1959" s="1" t="str">
        <f t="shared" si="30"/>
        <v>Nov 2012</v>
      </c>
    </row>
    <row r="1960" spans="1:5" ht="10.199999999999999" x14ac:dyDescent="0.25">
      <c r="A1960" s="1">
        <v>126</v>
      </c>
      <c r="B1960" s="1" t="s">
        <v>9</v>
      </c>
      <c r="C1960" s="2">
        <v>41096</v>
      </c>
      <c r="D1960" s="3">
        <v>7500</v>
      </c>
      <c r="E1960" s="1" t="str">
        <f t="shared" si="30"/>
        <v>Jul 2012</v>
      </c>
    </row>
    <row r="1961" spans="1:5" ht="10.199999999999999" x14ac:dyDescent="0.25">
      <c r="A1961" s="1">
        <v>126</v>
      </c>
      <c r="B1961" s="1" t="s">
        <v>9</v>
      </c>
      <c r="C1961" s="2">
        <v>41099</v>
      </c>
      <c r="D1961" s="3">
        <v>7500</v>
      </c>
      <c r="E1961" s="1" t="str">
        <f t="shared" si="30"/>
        <v>Jul 2012</v>
      </c>
    </row>
    <row r="1962" spans="1:5" ht="10.199999999999999" x14ac:dyDescent="0.25">
      <c r="A1962" s="1">
        <v>126</v>
      </c>
      <c r="B1962" s="1" t="s">
        <v>9</v>
      </c>
      <c r="C1962" s="2">
        <v>41101</v>
      </c>
      <c r="D1962" s="3">
        <v>7500</v>
      </c>
      <c r="E1962" s="1" t="str">
        <f t="shared" si="30"/>
        <v>Jul 2012</v>
      </c>
    </row>
    <row r="1963" spans="1:5" ht="10.199999999999999" x14ac:dyDescent="0.25">
      <c r="A1963" s="1">
        <v>126</v>
      </c>
      <c r="B1963" s="1" t="s">
        <v>9</v>
      </c>
      <c r="C1963" s="2">
        <v>41103</v>
      </c>
      <c r="D1963" s="3">
        <v>7500</v>
      </c>
      <c r="E1963" s="1" t="str">
        <f t="shared" si="30"/>
        <v>Jul 2012</v>
      </c>
    </row>
    <row r="1964" spans="1:5" ht="10.199999999999999" x14ac:dyDescent="0.25">
      <c r="A1964" s="1">
        <v>126</v>
      </c>
      <c r="B1964" s="1" t="s">
        <v>9</v>
      </c>
      <c r="C1964" s="2">
        <v>41106</v>
      </c>
      <c r="D1964" s="3">
        <v>7500</v>
      </c>
      <c r="E1964" s="1" t="str">
        <f t="shared" si="30"/>
        <v>Jul 2012</v>
      </c>
    </row>
    <row r="1965" spans="1:5" ht="10.199999999999999" x14ac:dyDescent="0.25">
      <c r="A1965" s="1">
        <v>126</v>
      </c>
      <c r="B1965" s="1" t="s">
        <v>9</v>
      </c>
      <c r="C1965" s="2">
        <v>41108</v>
      </c>
      <c r="D1965" s="3">
        <v>7500</v>
      </c>
      <c r="E1965" s="1" t="str">
        <f t="shared" si="30"/>
        <v>Jul 2012</v>
      </c>
    </row>
    <row r="1966" spans="1:5" ht="10.199999999999999" x14ac:dyDescent="0.25">
      <c r="A1966" s="1">
        <v>126</v>
      </c>
      <c r="B1966" s="1" t="s">
        <v>9</v>
      </c>
      <c r="C1966" s="2">
        <v>41110</v>
      </c>
      <c r="D1966" s="3">
        <v>7500</v>
      </c>
      <c r="E1966" s="1" t="str">
        <f t="shared" si="30"/>
        <v>Jul 2012</v>
      </c>
    </row>
    <row r="1967" spans="1:5" ht="10.199999999999999" x14ac:dyDescent="0.25">
      <c r="A1967" s="1">
        <v>126</v>
      </c>
      <c r="B1967" s="1" t="s">
        <v>9</v>
      </c>
      <c r="C1967" s="2">
        <v>41113</v>
      </c>
      <c r="D1967" s="3">
        <v>7500</v>
      </c>
      <c r="E1967" s="1" t="str">
        <f t="shared" si="30"/>
        <v>Jul 2012</v>
      </c>
    </row>
    <row r="1968" spans="1:5" ht="10.199999999999999" x14ac:dyDescent="0.25">
      <c r="A1968" s="1">
        <v>126</v>
      </c>
      <c r="B1968" s="1" t="s">
        <v>9</v>
      </c>
      <c r="C1968" s="2">
        <v>41115</v>
      </c>
      <c r="D1968" s="3">
        <v>7500</v>
      </c>
      <c r="E1968" s="1" t="str">
        <f t="shared" si="30"/>
        <v>Jul 2012</v>
      </c>
    </row>
    <row r="1969" spans="1:5" ht="10.199999999999999" x14ac:dyDescent="0.25">
      <c r="A1969" s="1">
        <v>126</v>
      </c>
      <c r="B1969" s="1" t="s">
        <v>9</v>
      </c>
      <c r="C1969" s="2">
        <v>41117</v>
      </c>
      <c r="D1969" s="3">
        <v>7500</v>
      </c>
      <c r="E1969" s="1" t="str">
        <f t="shared" si="30"/>
        <v>Jul 2012</v>
      </c>
    </row>
    <row r="1970" spans="1:5" ht="10.199999999999999" x14ac:dyDescent="0.25">
      <c r="A1970" s="1">
        <v>126</v>
      </c>
      <c r="B1970" s="1" t="s">
        <v>9</v>
      </c>
      <c r="C1970" s="2">
        <v>41120</v>
      </c>
      <c r="D1970" s="3">
        <v>7500</v>
      </c>
      <c r="E1970" s="1" t="str">
        <f t="shared" si="30"/>
        <v>Jul 2012</v>
      </c>
    </row>
    <row r="1971" spans="1:5" ht="10.199999999999999" x14ac:dyDescent="0.25">
      <c r="A1971" s="1">
        <v>126</v>
      </c>
      <c r="B1971" s="1" t="s">
        <v>9</v>
      </c>
      <c r="C1971" s="2">
        <v>41122</v>
      </c>
      <c r="D1971" s="3">
        <v>7500</v>
      </c>
      <c r="E1971" s="1" t="str">
        <f t="shared" si="30"/>
        <v>Aug 2012</v>
      </c>
    </row>
    <row r="1972" spans="1:5" ht="10.199999999999999" x14ac:dyDescent="0.25">
      <c r="A1972" s="1">
        <v>126</v>
      </c>
      <c r="B1972" s="1" t="s">
        <v>9</v>
      </c>
      <c r="C1972" s="2">
        <v>41124</v>
      </c>
      <c r="D1972" s="3">
        <v>7500</v>
      </c>
      <c r="E1972" s="1" t="str">
        <f t="shared" si="30"/>
        <v>Aug 2012</v>
      </c>
    </row>
    <row r="1973" spans="1:5" ht="10.199999999999999" x14ac:dyDescent="0.25">
      <c r="A1973" s="1">
        <v>126</v>
      </c>
      <c r="B1973" s="1" t="s">
        <v>9</v>
      </c>
      <c r="C1973" s="2">
        <v>41127</v>
      </c>
      <c r="D1973" s="3">
        <v>7500</v>
      </c>
      <c r="E1973" s="1" t="str">
        <f t="shared" si="30"/>
        <v>Aug 2012</v>
      </c>
    </row>
    <row r="1974" spans="1:5" ht="10.199999999999999" x14ac:dyDescent="0.25">
      <c r="A1974" s="1">
        <v>126</v>
      </c>
      <c r="B1974" s="1" t="s">
        <v>9</v>
      </c>
      <c r="C1974" s="2">
        <v>41129</v>
      </c>
      <c r="D1974" s="3">
        <v>7500</v>
      </c>
      <c r="E1974" s="1" t="str">
        <f t="shared" si="30"/>
        <v>Aug 2012</v>
      </c>
    </row>
    <row r="1975" spans="1:5" ht="10.199999999999999" x14ac:dyDescent="0.25">
      <c r="A1975" s="1">
        <v>126</v>
      </c>
      <c r="B1975" s="1" t="s">
        <v>9</v>
      </c>
      <c r="C1975" s="2">
        <v>41131</v>
      </c>
      <c r="D1975" s="3">
        <v>7500</v>
      </c>
      <c r="E1975" s="1" t="str">
        <f t="shared" si="30"/>
        <v>Aug 2012</v>
      </c>
    </row>
    <row r="1976" spans="1:5" ht="10.199999999999999" x14ac:dyDescent="0.25">
      <c r="A1976" s="1">
        <v>126</v>
      </c>
      <c r="B1976" s="1" t="s">
        <v>9</v>
      </c>
      <c r="C1976" s="2">
        <v>41134</v>
      </c>
      <c r="D1976" s="3">
        <v>7500</v>
      </c>
      <c r="E1976" s="1" t="str">
        <f t="shared" si="30"/>
        <v>Aug 2012</v>
      </c>
    </row>
    <row r="1977" spans="1:5" ht="10.199999999999999" x14ac:dyDescent="0.25">
      <c r="A1977" s="1">
        <v>126</v>
      </c>
      <c r="B1977" s="1" t="s">
        <v>9</v>
      </c>
      <c r="C1977" s="2">
        <v>41136</v>
      </c>
      <c r="D1977" s="3">
        <v>7500</v>
      </c>
      <c r="E1977" s="1" t="str">
        <f t="shared" si="30"/>
        <v>Aug 2012</v>
      </c>
    </row>
    <row r="1978" spans="1:5" ht="10.199999999999999" x14ac:dyDescent="0.25">
      <c r="A1978" s="1">
        <v>126</v>
      </c>
      <c r="B1978" s="1" t="s">
        <v>9</v>
      </c>
      <c r="C1978" s="2">
        <v>41155</v>
      </c>
      <c r="D1978" s="3">
        <v>6800</v>
      </c>
      <c r="E1978" s="1" t="str">
        <f t="shared" si="30"/>
        <v>Sep 2012</v>
      </c>
    </row>
    <row r="1979" spans="1:5" ht="10.199999999999999" x14ac:dyDescent="0.25">
      <c r="A1979" s="1">
        <v>126</v>
      </c>
      <c r="B1979" s="1" t="s">
        <v>9</v>
      </c>
      <c r="C1979" s="2">
        <v>41157</v>
      </c>
      <c r="D1979" s="3">
        <v>6800</v>
      </c>
      <c r="E1979" s="1" t="str">
        <f t="shared" si="30"/>
        <v>Sep 2012</v>
      </c>
    </row>
    <row r="1980" spans="1:5" ht="10.199999999999999" x14ac:dyDescent="0.25">
      <c r="A1980" s="1">
        <v>126</v>
      </c>
      <c r="B1980" s="1" t="s">
        <v>10</v>
      </c>
      <c r="C1980" s="2">
        <v>41164</v>
      </c>
      <c r="D1980" s="3">
        <v>10</v>
      </c>
      <c r="E1980" s="1" t="str">
        <f t="shared" si="30"/>
        <v>Sep 2012</v>
      </c>
    </row>
    <row r="1981" spans="1:5" ht="10.199999999999999" x14ac:dyDescent="0.25">
      <c r="A1981" s="1">
        <v>126</v>
      </c>
      <c r="B1981" s="1" t="s">
        <v>10</v>
      </c>
      <c r="C1981" s="2">
        <v>41227</v>
      </c>
      <c r="D1981" s="3">
        <v>2</v>
      </c>
      <c r="E1981" s="1" t="str">
        <f t="shared" si="30"/>
        <v>Nov 2012</v>
      </c>
    </row>
    <row r="1982" spans="1:5" ht="10.199999999999999" x14ac:dyDescent="0.25">
      <c r="A1982" s="1">
        <v>127</v>
      </c>
      <c r="B1982" s="1" t="s">
        <v>10</v>
      </c>
      <c r="C1982" s="2">
        <v>41236</v>
      </c>
      <c r="D1982" s="3">
        <v>5</v>
      </c>
      <c r="E1982" s="1" t="str">
        <f t="shared" si="30"/>
        <v>Nov 2012</v>
      </c>
    </row>
    <row r="1983" spans="1:5" ht="10.199999999999999" x14ac:dyDescent="0.25">
      <c r="A1983" s="1">
        <v>128</v>
      </c>
      <c r="B1983" s="1" t="s">
        <v>9</v>
      </c>
      <c r="C1983" s="2">
        <v>41093</v>
      </c>
      <c r="D1983" s="3">
        <v>1500</v>
      </c>
      <c r="E1983" s="1" t="str">
        <f t="shared" si="30"/>
        <v>Jul 2012</v>
      </c>
    </row>
    <row r="1984" spans="1:5" ht="10.199999999999999" x14ac:dyDescent="0.25">
      <c r="A1984" s="1">
        <v>128</v>
      </c>
      <c r="B1984" s="1" t="s">
        <v>9</v>
      </c>
      <c r="C1984" s="2">
        <v>41095</v>
      </c>
      <c r="D1984" s="3">
        <v>1500</v>
      </c>
      <c r="E1984" s="1" t="str">
        <f t="shared" si="30"/>
        <v>Jul 2012</v>
      </c>
    </row>
    <row r="1985" spans="1:5" ht="10.199999999999999" x14ac:dyDescent="0.25">
      <c r="A1985" s="1">
        <v>128</v>
      </c>
      <c r="B1985" s="1" t="s">
        <v>9</v>
      </c>
      <c r="C1985" s="2">
        <v>41097</v>
      </c>
      <c r="D1985" s="3">
        <v>1500</v>
      </c>
      <c r="E1985" s="1" t="str">
        <f t="shared" si="30"/>
        <v>Jul 2012</v>
      </c>
    </row>
    <row r="1986" spans="1:5" ht="10.199999999999999" x14ac:dyDescent="0.25">
      <c r="A1986" s="1">
        <v>128</v>
      </c>
      <c r="B1986" s="1" t="s">
        <v>9</v>
      </c>
      <c r="C1986" s="2">
        <v>41100</v>
      </c>
      <c r="D1986" s="3">
        <v>1500</v>
      </c>
      <c r="E1986" s="1" t="str">
        <f t="shared" si="30"/>
        <v>Jul 2012</v>
      </c>
    </row>
    <row r="1987" spans="1:5" ht="10.199999999999999" x14ac:dyDescent="0.25">
      <c r="A1987" s="1">
        <v>128</v>
      </c>
      <c r="B1987" s="1" t="s">
        <v>9</v>
      </c>
      <c r="C1987" s="2">
        <v>41102</v>
      </c>
      <c r="D1987" s="3">
        <v>1500</v>
      </c>
      <c r="E1987" s="1" t="str">
        <f t="shared" ref="E1987:E2023" si="31">TEXT(C1987,"mmm yyyy")</f>
        <v>Jul 2012</v>
      </c>
    </row>
    <row r="1988" spans="1:5" ht="10.199999999999999" x14ac:dyDescent="0.25">
      <c r="A1988" s="1">
        <v>128</v>
      </c>
      <c r="B1988" s="1" t="s">
        <v>9</v>
      </c>
      <c r="C1988" s="2">
        <v>41104</v>
      </c>
      <c r="D1988" s="3">
        <v>1500</v>
      </c>
      <c r="E1988" s="1" t="str">
        <f t="shared" si="31"/>
        <v>Jul 2012</v>
      </c>
    </row>
    <row r="1989" spans="1:5" ht="10.199999999999999" x14ac:dyDescent="0.25">
      <c r="A1989" s="1">
        <v>128</v>
      </c>
      <c r="B1989" s="1" t="s">
        <v>9</v>
      </c>
      <c r="C1989" s="2">
        <v>41107</v>
      </c>
      <c r="D1989" s="3">
        <v>1500</v>
      </c>
      <c r="E1989" s="1" t="str">
        <f t="shared" si="31"/>
        <v>Jul 2012</v>
      </c>
    </row>
    <row r="1990" spans="1:5" ht="10.199999999999999" x14ac:dyDescent="0.25">
      <c r="A1990" s="1">
        <v>128</v>
      </c>
      <c r="B1990" s="1" t="s">
        <v>9</v>
      </c>
      <c r="C1990" s="2">
        <v>41109</v>
      </c>
      <c r="D1990" s="3">
        <v>1500</v>
      </c>
      <c r="E1990" s="1" t="str">
        <f t="shared" si="31"/>
        <v>Jul 2012</v>
      </c>
    </row>
    <row r="1991" spans="1:5" ht="10.199999999999999" x14ac:dyDescent="0.25">
      <c r="A1991" s="1">
        <v>128</v>
      </c>
      <c r="B1991" s="1" t="s">
        <v>9</v>
      </c>
      <c r="C1991" s="2">
        <v>41111</v>
      </c>
      <c r="D1991" s="3">
        <v>2300</v>
      </c>
      <c r="E1991" s="1" t="str">
        <f t="shared" si="31"/>
        <v>Jul 2012</v>
      </c>
    </row>
    <row r="1992" spans="1:5" ht="10.199999999999999" x14ac:dyDescent="0.25">
      <c r="A1992" s="1">
        <v>128</v>
      </c>
      <c r="B1992" s="1" t="s">
        <v>9</v>
      </c>
      <c r="C1992" s="2">
        <v>41114</v>
      </c>
      <c r="D1992" s="3">
        <v>2300</v>
      </c>
      <c r="E1992" s="1" t="str">
        <f t="shared" si="31"/>
        <v>Jul 2012</v>
      </c>
    </row>
    <row r="1993" spans="1:5" ht="10.199999999999999" x14ac:dyDescent="0.25">
      <c r="A1993" s="1">
        <v>128</v>
      </c>
      <c r="B1993" s="1" t="s">
        <v>9</v>
      </c>
      <c r="C1993" s="2">
        <v>41116</v>
      </c>
      <c r="D1993" s="3">
        <v>2300</v>
      </c>
      <c r="E1993" s="1" t="str">
        <f t="shared" si="31"/>
        <v>Jul 2012</v>
      </c>
    </row>
    <row r="1994" spans="1:5" ht="10.199999999999999" x14ac:dyDescent="0.25">
      <c r="A1994" s="1">
        <v>128</v>
      </c>
      <c r="B1994" s="1" t="s">
        <v>9</v>
      </c>
      <c r="C1994" s="2">
        <v>41118</v>
      </c>
      <c r="D1994" s="3">
        <v>2300</v>
      </c>
      <c r="E1994" s="1" t="str">
        <f t="shared" si="31"/>
        <v>Jul 2012</v>
      </c>
    </row>
    <row r="1995" spans="1:5" ht="10.199999999999999" x14ac:dyDescent="0.25">
      <c r="A1995" s="1">
        <v>128</v>
      </c>
      <c r="B1995" s="1" t="s">
        <v>9</v>
      </c>
      <c r="C1995" s="2">
        <v>41121</v>
      </c>
      <c r="D1995" s="3">
        <v>2300</v>
      </c>
      <c r="E1995" s="1" t="str">
        <f t="shared" si="31"/>
        <v>Jul 2012</v>
      </c>
    </row>
    <row r="1996" spans="1:5" ht="10.199999999999999" x14ac:dyDescent="0.25">
      <c r="A1996" s="1">
        <v>128</v>
      </c>
      <c r="B1996" s="1" t="s">
        <v>9</v>
      </c>
      <c r="C1996" s="2">
        <v>41123</v>
      </c>
      <c r="D1996" s="3">
        <v>2300</v>
      </c>
      <c r="E1996" s="1" t="str">
        <f t="shared" si="31"/>
        <v>Aug 2012</v>
      </c>
    </row>
    <row r="1997" spans="1:5" ht="10.199999999999999" x14ac:dyDescent="0.25">
      <c r="A1997" s="1">
        <v>128</v>
      </c>
      <c r="B1997" s="1" t="s">
        <v>9</v>
      </c>
      <c r="C1997" s="2">
        <v>41128</v>
      </c>
      <c r="D1997" s="3">
        <v>2300</v>
      </c>
      <c r="E1997" s="1" t="str">
        <f t="shared" si="31"/>
        <v>Aug 2012</v>
      </c>
    </row>
    <row r="1998" spans="1:5" ht="10.199999999999999" x14ac:dyDescent="0.25">
      <c r="A1998" s="1">
        <v>128</v>
      </c>
      <c r="B1998" s="1" t="s">
        <v>9</v>
      </c>
      <c r="C1998" s="2">
        <v>41130</v>
      </c>
      <c r="D1998" s="3">
        <v>2300</v>
      </c>
      <c r="E1998" s="1" t="str">
        <f t="shared" si="31"/>
        <v>Aug 2012</v>
      </c>
    </row>
    <row r="1999" spans="1:5" ht="10.199999999999999" x14ac:dyDescent="0.25">
      <c r="A1999" s="1">
        <v>128</v>
      </c>
      <c r="B1999" s="1" t="s">
        <v>9</v>
      </c>
      <c r="C1999" s="2">
        <v>41132</v>
      </c>
      <c r="D1999" s="3">
        <v>2300</v>
      </c>
      <c r="E1999" s="1" t="str">
        <f t="shared" si="31"/>
        <v>Aug 2012</v>
      </c>
    </row>
    <row r="2000" spans="1:5" ht="10.199999999999999" x14ac:dyDescent="0.25">
      <c r="A2000" s="1">
        <v>128</v>
      </c>
      <c r="B2000" s="1" t="s">
        <v>9</v>
      </c>
      <c r="C2000" s="2">
        <v>41135</v>
      </c>
      <c r="D2000" s="3">
        <v>2300</v>
      </c>
      <c r="E2000" s="1" t="str">
        <f t="shared" si="31"/>
        <v>Aug 2012</v>
      </c>
    </row>
    <row r="2001" spans="1:5" ht="10.199999999999999" x14ac:dyDescent="0.25">
      <c r="A2001" s="1">
        <v>128</v>
      </c>
      <c r="B2001" s="1" t="s">
        <v>9</v>
      </c>
      <c r="C2001" s="2">
        <v>41137</v>
      </c>
      <c r="D2001" s="3">
        <v>2300</v>
      </c>
      <c r="E2001" s="1" t="str">
        <f t="shared" si="31"/>
        <v>Aug 2012</v>
      </c>
    </row>
    <row r="2002" spans="1:5" ht="10.199999999999999" x14ac:dyDescent="0.25">
      <c r="A2002" s="1">
        <v>128</v>
      </c>
      <c r="B2002" s="1" t="s">
        <v>9</v>
      </c>
      <c r="C2002" s="2">
        <v>41139</v>
      </c>
      <c r="D2002" s="3">
        <v>2300</v>
      </c>
      <c r="E2002" s="1" t="str">
        <f t="shared" si="31"/>
        <v>Aug 2012</v>
      </c>
    </row>
    <row r="2003" spans="1:5" ht="10.199999999999999" x14ac:dyDescent="0.25">
      <c r="A2003" s="1">
        <v>128</v>
      </c>
      <c r="B2003" s="1" t="s">
        <v>9</v>
      </c>
      <c r="C2003" s="2">
        <v>41142</v>
      </c>
      <c r="D2003" s="3">
        <v>2300</v>
      </c>
      <c r="E2003" s="1" t="str">
        <f t="shared" si="31"/>
        <v>Aug 2012</v>
      </c>
    </row>
    <row r="2004" spans="1:5" ht="10.199999999999999" x14ac:dyDescent="0.25">
      <c r="A2004" s="1">
        <v>128</v>
      </c>
      <c r="B2004" s="1" t="s">
        <v>9</v>
      </c>
      <c r="C2004" s="2">
        <v>41144</v>
      </c>
      <c r="D2004" s="3">
        <v>2300</v>
      </c>
      <c r="E2004" s="1" t="str">
        <f t="shared" si="31"/>
        <v>Aug 2012</v>
      </c>
    </row>
    <row r="2005" spans="1:5" ht="10.199999999999999" x14ac:dyDescent="0.25">
      <c r="A2005" s="1">
        <v>128</v>
      </c>
      <c r="B2005" s="1" t="s">
        <v>9</v>
      </c>
      <c r="C2005" s="2">
        <v>41146</v>
      </c>
      <c r="D2005" s="3">
        <v>2300</v>
      </c>
      <c r="E2005" s="1" t="str">
        <f t="shared" si="31"/>
        <v>Aug 2012</v>
      </c>
    </row>
    <row r="2006" spans="1:5" ht="10.199999999999999" x14ac:dyDescent="0.25">
      <c r="A2006" s="1">
        <v>128</v>
      </c>
      <c r="B2006" s="1" t="s">
        <v>9</v>
      </c>
      <c r="C2006" s="2">
        <v>41149</v>
      </c>
      <c r="D2006" s="3">
        <v>2300</v>
      </c>
      <c r="E2006" s="1" t="str">
        <f t="shared" si="31"/>
        <v>Aug 2012</v>
      </c>
    </row>
    <row r="2007" spans="1:5" ht="10.199999999999999" x14ac:dyDescent="0.25">
      <c r="A2007" s="1">
        <v>128</v>
      </c>
      <c r="B2007" s="1" t="s">
        <v>9</v>
      </c>
      <c r="C2007" s="2">
        <v>41151</v>
      </c>
      <c r="D2007" s="3">
        <v>2300</v>
      </c>
      <c r="E2007" s="1" t="str">
        <f t="shared" si="31"/>
        <v>Aug 2012</v>
      </c>
    </row>
    <row r="2008" spans="1:5" ht="10.199999999999999" x14ac:dyDescent="0.25">
      <c r="A2008" s="1">
        <v>128</v>
      </c>
      <c r="B2008" s="1" t="s">
        <v>9</v>
      </c>
      <c r="C2008" s="2">
        <v>41153</v>
      </c>
      <c r="D2008" s="3">
        <v>2300</v>
      </c>
      <c r="E2008" s="1" t="str">
        <f t="shared" si="31"/>
        <v>Sep 2012</v>
      </c>
    </row>
    <row r="2009" spans="1:5" ht="10.199999999999999" x14ac:dyDescent="0.25">
      <c r="A2009" s="1">
        <v>128</v>
      </c>
      <c r="B2009" s="1" t="s">
        <v>9</v>
      </c>
      <c r="C2009" s="2">
        <v>41156</v>
      </c>
      <c r="D2009" s="3">
        <v>2300</v>
      </c>
      <c r="E2009" s="1" t="str">
        <f t="shared" si="31"/>
        <v>Sep 2012</v>
      </c>
    </row>
    <row r="2010" spans="1:5" ht="10.199999999999999" x14ac:dyDescent="0.25">
      <c r="A2010" s="1">
        <v>128</v>
      </c>
      <c r="B2010" s="1" t="s">
        <v>10</v>
      </c>
      <c r="C2010" s="2">
        <v>41177</v>
      </c>
      <c r="D2010" s="3">
        <v>1</v>
      </c>
      <c r="E2010" s="1" t="str">
        <f t="shared" si="31"/>
        <v>Sep 2012</v>
      </c>
    </row>
    <row r="2011" spans="1:5" ht="10.199999999999999" x14ac:dyDescent="0.25">
      <c r="A2011" s="1">
        <v>128</v>
      </c>
      <c r="B2011" s="1" t="s">
        <v>10</v>
      </c>
      <c r="C2011" s="2">
        <v>41193</v>
      </c>
      <c r="D2011" s="3">
        <v>1</v>
      </c>
      <c r="E2011" s="1" t="str">
        <f t="shared" si="31"/>
        <v>Oct 2012</v>
      </c>
    </row>
    <row r="2012" spans="1:5" ht="10.199999999999999" x14ac:dyDescent="0.25">
      <c r="A2012" s="1">
        <v>128</v>
      </c>
      <c r="B2012" s="1" t="s">
        <v>10</v>
      </c>
      <c r="C2012" s="2">
        <v>41228</v>
      </c>
      <c r="D2012" s="3">
        <v>2</v>
      </c>
      <c r="E2012" s="1" t="str">
        <f t="shared" si="31"/>
        <v>Nov 2012</v>
      </c>
    </row>
    <row r="2013" spans="1:5" ht="10.199999999999999" x14ac:dyDescent="0.25">
      <c r="A2013" s="1">
        <v>129</v>
      </c>
      <c r="B2013" s="1" t="s">
        <v>9</v>
      </c>
      <c r="C2013" s="2">
        <v>41093</v>
      </c>
      <c r="D2013" s="3">
        <v>4000</v>
      </c>
      <c r="E2013" s="1" t="str">
        <f t="shared" si="31"/>
        <v>Jul 2012</v>
      </c>
    </row>
    <row r="2014" spans="1:5" ht="10.199999999999999" x14ac:dyDescent="0.25">
      <c r="A2014" s="1">
        <v>129</v>
      </c>
      <c r="B2014" s="1" t="s">
        <v>9</v>
      </c>
      <c r="C2014" s="2">
        <v>41095</v>
      </c>
      <c r="D2014" s="3">
        <v>4000</v>
      </c>
      <c r="E2014" s="1" t="str">
        <f t="shared" si="31"/>
        <v>Jul 2012</v>
      </c>
    </row>
    <row r="2015" spans="1:5" ht="10.199999999999999" x14ac:dyDescent="0.25">
      <c r="A2015" s="1">
        <v>129</v>
      </c>
      <c r="B2015" s="1" t="s">
        <v>9</v>
      </c>
      <c r="C2015" s="2">
        <v>41139</v>
      </c>
      <c r="D2015" s="3">
        <v>5200</v>
      </c>
      <c r="E2015" s="1" t="str">
        <f t="shared" si="31"/>
        <v>Aug 2012</v>
      </c>
    </row>
    <row r="2016" spans="1:5" ht="10.199999999999999" x14ac:dyDescent="0.25">
      <c r="A2016" s="1">
        <v>129</v>
      </c>
      <c r="B2016" s="1" t="s">
        <v>9</v>
      </c>
      <c r="C2016" s="2">
        <v>41141</v>
      </c>
      <c r="D2016" s="3">
        <v>5200</v>
      </c>
      <c r="E2016" s="1" t="str">
        <f t="shared" si="31"/>
        <v>Aug 2012</v>
      </c>
    </row>
    <row r="2017" spans="1:5" ht="10.199999999999999" x14ac:dyDescent="0.25">
      <c r="A2017" s="1">
        <v>129</v>
      </c>
      <c r="B2017" s="1" t="s">
        <v>9</v>
      </c>
      <c r="C2017" s="2">
        <v>41144</v>
      </c>
      <c r="D2017" s="3">
        <v>5200</v>
      </c>
      <c r="E2017" s="1" t="str">
        <f t="shared" si="31"/>
        <v>Aug 2012</v>
      </c>
    </row>
    <row r="2018" spans="1:5" ht="10.199999999999999" x14ac:dyDescent="0.25">
      <c r="A2018" s="1">
        <v>129</v>
      </c>
      <c r="B2018" s="1" t="s">
        <v>9</v>
      </c>
      <c r="C2018" s="2">
        <v>41146</v>
      </c>
      <c r="D2018" s="3">
        <v>5200</v>
      </c>
      <c r="E2018" s="1" t="str">
        <f t="shared" si="31"/>
        <v>Aug 2012</v>
      </c>
    </row>
    <row r="2019" spans="1:5" ht="10.199999999999999" x14ac:dyDescent="0.25">
      <c r="A2019" s="1">
        <v>129</v>
      </c>
      <c r="B2019" s="1" t="s">
        <v>9</v>
      </c>
      <c r="C2019" s="2">
        <v>41148</v>
      </c>
      <c r="D2019" s="3">
        <v>5200</v>
      </c>
      <c r="E2019" s="1" t="str">
        <f t="shared" si="31"/>
        <v>Aug 2012</v>
      </c>
    </row>
    <row r="2020" spans="1:5" ht="10.199999999999999" x14ac:dyDescent="0.25">
      <c r="A2020" s="1">
        <v>129</v>
      </c>
      <c r="B2020" s="1" t="s">
        <v>9</v>
      </c>
      <c r="C2020" s="2">
        <v>41151</v>
      </c>
      <c r="D2020" s="3">
        <v>5200</v>
      </c>
      <c r="E2020" s="1" t="str">
        <f t="shared" si="31"/>
        <v>Aug 2012</v>
      </c>
    </row>
    <row r="2021" spans="1:5" ht="10.199999999999999" x14ac:dyDescent="0.25">
      <c r="A2021" s="1">
        <v>129</v>
      </c>
      <c r="B2021" s="1" t="s">
        <v>9</v>
      </c>
      <c r="C2021" s="2">
        <v>41156</v>
      </c>
      <c r="D2021" s="3">
        <v>5200</v>
      </c>
      <c r="E2021" s="1" t="str">
        <f t="shared" si="31"/>
        <v>Sep 2012</v>
      </c>
    </row>
    <row r="2022" spans="1:5" ht="10.199999999999999" x14ac:dyDescent="0.25">
      <c r="A2022" s="1">
        <v>129</v>
      </c>
      <c r="B2022" s="1" t="s">
        <v>9</v>
      </c>
      <c r="C2022" s="2">
        <v>41158</v>
      </c>
      <c r="D2022" s="3">
        <v>6500</v>
      </c>
      <c r="E2022" s="1" t="str">
        <f t="shared" si="31"/>
        <v>Sep 2012</v>
      </c>
    </row>
    <row r="2023" spans="1:5" ht="10.199999999999999" x14ac:dyDescent="0.25">
      <c r="A2023" s="1">
        <v>129</v>
      </c>
      <c r="B2023" s="1" t="s">
        <v>10</v>
      </c>
      <c r="C2023" s="2">
        <v>41165</v>
      </c>
      <c r="D2023" s="3">
        <v>10</v>
      </c>
      <c r="E2023" s="1" t="str">
        <f t="shared" si="31"/>
        <v>Sep 2012</v>
      </c>
    </row>
  </sheetData>
  <pageMargins left="0" right="0" top="0" bottom="0" header="0" footer="0"/>
  <pageSetup fitToWidth="0" fitToHeight="0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98"/>
  <sheetViews>
    <sheetView zoomScale="150" zoomScaleNormal="150" zoomScalePageLayoutView="150" workbookViewId="0">
      <selection activeCell="E4" sqref="E4"/>
    </sheetView>
  </sheetViews>
  <sheetFormatPr defaultColWidth="6.77734375" defaultRowHeight="10.199999999999999" x14ac:dyDescent="0.25"/>
  <cols>
    <col min="1" max="1" width="8.109375" style="1" customWidth="1"/>
    <col min="2" max="2" width="10.33203125" style="1" bestFit="1" customWidth="1"/>
    <col min="3" max="3" width="15.44140625" style="4" bestFit="1" customWidth="1"/>
    <col min="4" max="4" width="9.77734375" style="1" bestFit="1" customWidth="1"/>
    <col min="5" max="16384" width="6.77734375" style="1"/>
  </cols>
  <sheetData>
    <row r="1" spans="1:4" x14ac:dyDescent="0.25">
      <c r="A1" s="1" t="s">
        <v>0</v>
      </c>
      <c r="B1" s="1" t="s">
        <v>3</v>
      </c>
      <c r="C1" s="4" t="s">
        <v>4</v>
      </c>
      <c r="D1" s="1" t="s">
        <v>5</v>
      </c>
    </row>
    <row r="2" spans="1:4" x14ac:dyDescent="0.25">
      <c r="A2" s="1">
        <v>1</v>
      </c>
      <c r="B2" s="2">
        <v>41094</v>
      </c>
      <c r="C2" s="4" t="s">
        <v>11</v>
      </c>
      <c r="D2" s="1">
        <v>679</v>
      </c>
    </row>
    <row r="3" spans="1:4" x14ac:dyDescent="0.25">
      <c r="A3" s="1">
        <v>1</v>
      </c>
      <c r="B3" s="2">
        <v>41122</v>
      </c>
      <c r="C3" s="4" t="s">
        <v>11</v>
      </c>
      <c r="D3" s="1">
        <v>621</v>
      </c>
    </row>
    <row r="4" spans="1:4" x14ac:dyDescent="0.25">
      <c r="A4" s="1">
        <v>1</v>
      </c>
      <c r="B4" s="2">
        <v>41157</v>
      </c>
      <c r="C4" s="4" t="s">
        <v>11</v>
      </c>
      <c r="D4" s="1">
        <v>915</v>
      </c>
    </row>
    <row r="5" spans="1:4" x14ac:dyDescent="0.25">
      <c r="A5" s="1">
        <v>1</v>
      </c>
      <c r="B5" s="2">
        <v>41185</v>
      </c>
      <c r="C5" s="4" t="s">
        <v>11</v>
      </c>
      <c r="D5" s="1">
        <v>848</v>
      </c>
    </row>
    <row r="6" spans="1:4" x14ac:dyDescent="0.25">
      <c r="A6" s="1">
        <v>1</v>
      </c>
      <c r="B6" s="2">
        <v>41220</v>
      </c>
      <c r="C6" s="4" t="s">
        <v>11</v>
      </c>
      <c r="D6" s="1">
        <v>845</v>
      </c>
    </row>
    <row r="7" spans="1:4" x14ac:dyDescent="0.25">
      <c r="A7" s="1">
        <v>1</v>
      </c>
      <c r="B7" s="2">
        <v>41248</v>
      </c>
      <c r="C7" s="4" t="s">
        <v>11</v>
      </c>
      <c r="D7" s="1">
        <v>611</v>
      </c>
    </row>
    <row r="8" spans="1:4" x14ac:dyDescent="0.25">
      <c r="A8" s="1">
        <v>1</v>
      </c>
      <c r="B8" s="2">
        <v>41094</v>
      </c>
      <c r="C8" s="4" t="s">
        <v>12</v>
      </c>
      <c r="D8" s="1">
        <v>10.7</v>
      </c>
    </row>
    <row r="9" spans="1:4" x14ac:dyDescent="0.25">
      <c r="A9" s="1">
        <v>1</v>
      </c>
      <c r="B9" s="2">
        <v>41110</v>
      </c>
      <c r="C9" s="4" t="s">
        <v>12</v>
      </c>
      <c r="D9" s="1">
        <v>10.199999999999999</v>
      </c>
    </row>
    <row r="10" spans="1:4" x14ac:dyDescent="0.25">
      <c r="A10" s="1">
        <v>1</v>
      </c>
      <c r="B10" s="2">
        <v>41122</v>
      </c>
      <c r="C10" s="4" t="s">
        <v>12</v>
      </c>
      <c r="D10" s="1">
        <v>10.3</v>
      </c>
    </row>
    <row r="11" spans="1:4" x14ac:dyDescent="0.25">
      <c r="A11" s="1">
        <v>1</v>
      </c>
      <c r="B11" s="2">
        <v>41138</v>
      </c>
      <c r="C11" s="4" t="s">
        <v>12</v>
      </c>
      <c r="D11" s="1">
        <v>10.3</v>
      </c>
    </row>
    <row r="12" spans="1:4" x14ac:dyDescent="0.25">
      <c r="A12" s="1">
        <v>1</v>
      </c>
      <c r="B12" s="2">
        <v>41157</v>
      </c>
      <c r="C12" s="4" t="s">
        <v>12</v>
      </c>
      <c r="D12" s="1">
        <v>10.4</v>
      </c>
    </row>
    <row r="13" spans="1:4" x14ac:dyDescent="0.25">
      <c r="A13" s="1">
        <v>1</v>
      </c>
      <c r="B13" s="2">
        <v>41171</v>
      </c>
      <c r="C13" s="4" t="s">
        <v>12</v>
      </c>
      <c r="D13" s="1">
        <v>10.7</v>
      </c>
    </row>
    <row r="14" spans="1:4" x14ac:dyDescent="0.25">
      <c r="A14" s="1">
        <v>1</v>
      </c>
      <c r="B14" s="2">
        <v>41185</v>
      </c>
      <c r="C14" s="4" t="s">
        <v>12</v>
      </c>
      <c r="D14" s="1">
        <v>11</v>
      </c>
    </row>
    <row r="15" spans="1:4" x14ac:dyDescent="0.25">
      <c r="A15" s="1">
        <v>1</v>
      </c>
      <c r="B15" s="2">
        <v>41199</v>
      </c>
      <c r="C15" s="4" t="s">
        <v>12</v>
      </c>
      <c r="D15" s="1">
        <v>11</v>
      </c>
    </row>
    <row r="16" spans="1:4" x14ac:dyDescent="0.25">
      <c r="A16" s="1">
        <v>1</v>
      </c>
      <c r="B16" s="2">
        <v>41220</v>
      </c>
      <c r="C16" s="4" t="s">
        <v>12</v>
      </c>
      <c r="D16" s="1">
        <v>11.9</v>
      </c>
    </row>
    <row r="17" spans="1:4" x14ac:dyDescent="0.25">
      <c r="A17" s="1">
        <v>1</v>
      </c>
      <c r="B17" s="2">
        <v>41233</v>
      </c>
      <c r="C17" s="4" t="s">
        <v>12</v>
      </c>
      <c r="D17" s="1">
        <v>11.1</v>
      </c>
    </row>
    <row r="18" spans="1:4" x14ac:dyDescent="0.25">
      <c r="A18" s="1">
        <v>1</v>
      </c>
      <c r="B18" s="2">
        <v>41248</v>
      </c>
      <c r="C18" s="4" t="s">
        <v>12</v>
      </c>
      <c r="D18" s="1">
        <v>11.1</v>
      </c>
    </row>
    <row r="19" spans="1:4" x14ac:dyDescent="0.25">
      <c r="A19" s="1">
        <v>1</v>
      </c>
      <c r="B19" s="2">
        <v>41094</v>
      </c>
      <c r="C19" s="4" t="s">
        <v>13</v>
      </c>
      <c r="D19" s="1">
        <v>26</v>
      </c>
    </row>
    <row r="20" spans="1:4" x14ac:dyDescent="0.25">
      <c r="A20" s="1">
        <v>1</v>
      </c>
      <c r="B20" s="2">
        <v>41122</v>
      </c>
      <c r="C20" s="4" t="s">
        <v>13</v>
      </c>
      <c r="D20" s="1">
        <v>7</v>
      </c>
    </row>
    <row r="21" spans="1:4" x14ac:dyDescent="0.25">
      <c r="A21" s="1">
        <v>1</v>
      </c>
      <c r="B21" s="2">
        <v>41157</v>
      </c>
      <c r="C21" s="4" t="s">
        <v>13</v>
      </c>
      <c r="D21" s="1">
        <v>25</v>
      </c>
    </row>
    <row r="22" spans="1:4" x14ac:dyDescent="0.25">
      <c r="A22" s="1">
        <v>1</v>
      </c>
      <c r="B22" s="2">
        <v>41185</v>
      </c>
      <c r="C22" s="4" t="s">
        <v>13</v>
      </c>
      <c r="D22" s="1">
        <v>40</v>
      </c>
    </row>
    <row r="23" spans="1:4" x14ac:dyDescent="0.25">
      <c r="A23" s="1">
        <v>1</v>
      </c>
      <c r="B23" s="2">
        <v>41220</v>
      </c>
      <c r="C23" s="4" t="s">
        <v>13</v>
      </c>
      <c r="D23" s="1">
        <v>60</v>
      </c>
    </row>
    <row r="24" spans="1:4" x14ac:dyDescent="0.25">
      <c r="A24" s="1">
        <v>1</v>
      </c>
      <c r="B24" s="2">
        <v>41248</v>
      </c>
      <c r="C24" s="4" t="s">
        <v>13</v>
      </c>
      <c r="D24" s="1">
        <v>22</v>
      </c>
    </row>
    <row r="25" spans="1:4" x14ac:dyDescent="0.25">
      <c r="A25" s="1">
        <v>2</v>
      </c>
      <c r="B25" s="2">
        <v>41095</v>
      </c>
      <c r="C25" s="4" t="s">
        <v>11</v>
      </c>
      <c r="D25" s="1">
        <v>1079</v>
      </c>
    </row>
    <row r="26" spans="1:4" x14ac:dyDescent="0.25">
      <c r="A26" s="1">
        <v>2</v>
      </c>
      <c r="B26" s="2">
        <v>41123</v>
      </c>
      <c r="C26" s="4" t="s">
        <v>11</v>
      </c>
      <c r="D26" s="1">
        <v>1190</v>
      </c>
    </row>
    <row r="27" spans="1:4" x14ac:dyDescent="0.25">
      <c r="A27" s="1">
        <v>2</v>
      </c>
      <c r="B27" s="2">
        <v>41156</v>
      </c>
      <c r="C27" s="4" t="s">
        <v>11</v>
      </c>
      <c r="D27" s="1">
        <v>1204</v>
      </c>
    </row>
    <row r="28" spans="1:4" x14ac:dyDescent="0.25">
      <c r="A28" s="1">
        <v>2</v>
      </c>
      <c r="B28" s="2">
        <v>41188</v>
      </c>
      <c r="C28" s="4" t="s">
        <v>11</v>
      </c>
      <c r="D28" s="1">
        <v>1622</v>
      </c>
    </row>
    <row r="29" spans="1:4" x14ac:dyDescent="0.25">
      <c r="A29" s="1">
        <v>2</v>
      </c>
      <c r="B29" s="2">
        <v>41221</v>
      </c>
      <c r="C29" s="4" t="s">
        <v>11</v>
      </c>
      <c r="D29" s="1">
        <v>1181</v>
      </c>
    </row>
    <row r="30" spans="1:4" x14ac:dyDescent="0.25">
      <c r="A30" s="1">
        <v>2</v>
      </c>
      <c r="B30" s="2">
        <v>41095</v>
      </c>
      <c r="C30" s="4" t="s">
        <v>12</v>
      </c>
      <c r="D30" s="1">
        <v>9.6</v>
      </c>
    </row>
    <row r="31" spans="1:4" x14ac:dyDescent="0.25">
      <c r="A31" s="1">
        <v>2</v>
      </c>
      <c r="B31" s="2">
        <v>41109</v>
      </c>
      <c r="C31" s="4" t="s">
        <v>12</v>
      </c>
      <c r="D31" s="1">
        <v>11.3</v>
      </c>
    </row>
    <row r="32" spans="1:4" x14ac:dyDescent="0.25">
      <c r="A32" s="1">
        <v>2</v>
      </c>
      <c r="B32" s="2">
        <v>41123</v>
      </c>
      <c r="C32" s="4" t="s">
        <v>12</v>
      </c>
      <c r="D32" s="1">
        <v>11.2</v>
      </c>
    </row>
    <row r="33" spans="1:4" x14ac:dyDescent="0.25">
      <c r="A33" s="1">
        <v>2</v>
      </c>
      <c r="B33" s="2">
        <v>41139</v>
      </c>
      <c r="C33" s="4" t="s">
        <v>12</v>
      </c>
      <c r="D33" s="1">
        <v>12</v>
      </c>
    </row>
    <row r="34" spans="1:4" x14ac:dyDescent="0.25">
      <c r="A34" s="1">
        <v>2</v>
      </c>
      <c r="B34" s="2">
        <v>41144</v>
      </c>
      <c r="C34" s="4" t="s">
        <v>12</v>
      </c>
      <c r="D34" s="1">
        <v>12.9</v>
      </c>
    </row>
    <row r="35" spans="1:4" x14ac:dyDescent="0.25">
      <c r="A35" s="1">
        <v>2</v>
      </c>
      <c r="B35" s="2">
        <v>41153</v>
      </c>
      <c r="C35" s="4" t="s">
        <v>12</v>
      </c>
      <c r="D35" s="1">
        <v>10.6</v>
      </c>
    </row>
    <row r="36" spans="1:4" x14ac:dyDescent="0.25">
      <c r="A36" s="1">
        <v>2</v>
      </c>
      <c r="B36" s="2">
        <v>41156</v>
      </c>
      <c r="C36" s="4" t="s">
        <v>12</v>
      </c>
      <c r="D36" s="1">
        <v>10</v>
      </c>
    </row>
    <row r="37" spans="1:4" x14ac:dyDescent="0.25">
      <c r="A37" s="1">
        <v>2</v>
      </c>
      <c r="B37" s="2">
        <v>41172</v>
      </c>
      <c r="C37" s="4" t="s">
        <v>12</v>
      </c>
      <c r="D37" s="1">
        <v>10.8</v>
      </c>
    </row>
    <row r="38" spans="1:4" x14ac:dyDescent="0.25">
      <c r="A38" s="1">
        <v>2</v>
      </c>
      <c r="B38" s="2">
        <v>41188</v>
      </c>
      <c r="C38" s="4" t="s">
        <v>12</v>
      </c>
      <c r="D38" s="1">
        <v>13</v>
      </c>
    </row>
    <row r="39" spans="1:4" x14ac:dyDescent="0.25">
      <c r="A39" s="1">
        <v>2</v>
      </c>
      <c r="B39" s="2">
        <v>41200</v>
      </c>
      <c r="C39" s="4" t="s">
        <v>12</v>
      </c>
      <c r="D39" s="1">
        <v>12</v>
      </c>
    </row>
    <row r="40" spans="1:4" x14ac:dyDescent="0.25">
      <c r="A40" s="1">
        <v>2</v>
      </c>
      <c r="B40" s="2">
        <v>41221</v>
      </c>
      <c r="C40" s="4" t="s">
        <v>12</v>
      </c>
      <c r="D40" s="1">
        <v>12.5</v>
      </c>
    </row>
    <row r="41" spans="1:4" x14ac:dyDescent="0.25">
      <c r="A41" s="1">
        <v>2</v>
      </c>
      <c r="B41" s="2">
        <v>41232</v>
      </c>
      <c r="C41" s="4" t="s">
        <v>12</v>
      </c>
      <c r="D41" s="1">
        <v>10.6</v>
      </c>
    </row>
    <row r="42" spans="1:4" x14ac:dyDescent="0.25">
      <c r="A42" s="1">
        <v>2</v>
      </c>
      <c r="B42" s="2">
        <v>41095</v>
      </c>
      <c r="C42" s="4" t="s">
        <v>13</v>
      </c>
      <c r="D42" s="1">
        <v>20</v>
      </c>
    </row>
    <row r="43" spans="1:4" x14ac:dyDescent="0.25">
      <c r="A43" s="1">
        <v>2</v>
      </c>
      <c r="B43" s="2">
        <v>41123</v>
      </c>
      <c r="C43" s="4" t="s">
        <v>13</v>
      </c>
      <c r="D43" s="1">
        <v>16</v>
      </c>
    </row>
    <row r="44" spans="1:4" x14ac:dyDescent="0.25">
      <c r="A44" s="1">
        <v>2</v>
      </c>
      <c r="B44" s="2">
        <v>41156</v>
      </c>
      <c r="C44" s="4" t="s">
        <v>13</v>
      </c>
      <c r="D44" s="1">
        <v>63</v>
      </c>
    </row>
    <row r="45" spans="1:4" x14ac:dyDescent="0.25">
      <c r="A45" s="1">
        <v>2</v>
      </c>
      <c r="B45" s="2">
        <v>41188</v>
      </c>
      <c r="C45" s="4" t="s">
        <v>13</v>
      </c>
      <c r="D45" s="1">
        <v>39</v>
      </c>
    </row>
    <row r="46" spans="1:4" x14ac:dyDescent="0.25">
      <c r="A46" s="1">
        <v>2</v>
      </c>
      <c r="B46" s="2">
        <v>41221</v>
      </c>
      <c r="C46" s="4" t="s">
        <v>13</v>
      </c>
      <c r="D46" s="1">
        <v>30</v>
      </c>
    </row>
    <row r="47" spans="1:4" x14ac:dyDescent="0.25">
      <c r="A47" s="1">
        <v>3</v>
      </c>
      <c r="B47" s="2">
        <v>41094</v>
      </c>
      <c r="C47" s="4" t="s">
        <v>11</v>
      </c>
      <c r="D47" s="1">
        <v>3060</v>
      </c>
    </row>
    <row r="48" spans="1:4" x14ac:dyDescent="0.25">
      <c r="A48" s="1">
        <v>3</v>
      </c>
      <c r="B48" s="2">
        <v>41122</v>
      </c>
      <c r="C48" s="4" t="s">
        <v>11</v>
      </c>
      <c r="D48" s="1">
        <v>2838</v>
      </c>
    </row>
    <row r="49" spans="1:4" x14ac:dyDescent="0.25">
      <c r="A49" s="1">
        <v>3</v>
      </c>
      <c r="B49" s="2">
        <v>41157</v>
      </c>
      <c r="C49" s="4" t="s">
        <v>11</v>
      </c>
      <c r="D49" s="1">
        <v>2449</v>
      </c>
    </row>
    <row r="50" spans="1:4" x14ac:dyDescent="0.25">
      <c r="A50" s="1">
        <v>3</v>
      </c>
      <c r="B50" s="2">
        <v>41185</v>
      </c>
      <c r="C50" s="4" t="s">
        <v>11</v>
      </c>
      <c r="D50" s="1">
        <v>2444</v>
      </c>
    </row>
    <row r="51" spans="1:4" x14ac:dyDescent="0.25">
      <c r="A51" s="1">
        <v>3</v>
      </c>
      <c r="B51" s="2">
        <v>41220</v>
      </c>
      <c r="C51" s="4" t="s">
        <v>11</v>
      </c>
      <c r="D51" s="1">
        <v>2174</v>
      </c>
    </row>
    <row r="52" spans="1:4" x14ac:dyDescent="0.25">
      <c r="A52" s="1">
        <v>3</v>
      </c>
      <c r="B52" s="2">
        <v>41248</v>
      </c>
      <c r="C52" s="4" t="s">
        <v>11</v>
      </c>
      <c r="D52" s="1">
        <v>2054</v>
      </c>
    </row>
    <row r="53" spans="1:4" x14ac:dyDescent="0.25">
      <c r="A53" s="1">
        <v>3</v>
      </c>
      <c r="B53" s="2">
        <v>41094</v>
      </c>
      <c r="C53" s="4" t="s">
        <v>12</v>
      </c>
      <c r="D53" s="1">
        <v>11.6</v>
      </c>
    </row>
    <row r="54" spans="1:4" x14ac:dyDescent="0.25">
      <c r="A54" s="1">
        <v>3</v>
      </c>
      <c r="B54" s="2">
        <v>41101</v>
      </c>
      <c r="C54" s="4" t="s">
        <v>12</v>
      </c>
      <c r="D54" s="1">
        <v>11.7</v>
      </c>
    </row>
    <row r="55" spans="1:4" x14ac:dyDescent="0.25">
      <c r="A55" s="1">
        <v>3</v>
      </c>
      <c r="B55" s="2">
        <v>41108</v>
      </c>
      <c r="C55" s="4" t="s">
        <v>12</v>
      </c>
      <c r="D55" s="1">
        <v>11.9</v>
      </c>
    </row>
    <row r="56" spans="1:4" x14ac:dyDescent="0.25">
      <c r="A56" s="1">
        <v>3</v>
      </c>
      <c r="B56" s="2">
        <v>41115</v>
      </c>
      <c r="C56" s="4" t="s">
        <v>12</v>
      </c>
      <c r="D56" s="1">
        <v>11.8</v>
      </c>
    </row>
    <row r="57" spans="1:4" x14ac:dyDescent="0.25">
      <c r="A57" s="1">
        <v>3</v>
      </c>
      <c r="B57" s="2">
        <v>41122</v>
      </c>
      <c r="C57" s="4" t="s">
        <v>12</v>
      </c>
      <c r="D57" s="1">
        <v>12.1</v>
      </c>
    </row>
    <row r="58" spans="1:4" x14ac:dyDescent="0.25">
      <c r="A58" s="1">
        <v>3</v>
      </c>
      <c r="B58" s="2">
        <v>41129</v>
      </c>
      <c r="C58" s="4" t="s">
        <v>12</v>
      </c>
      <c r="D58" s="1">
        <v>12</v>
      </c>
    </row>
    <row r="59" spans="1:4" x14ac:dyDescent="0.25">
      <c r="A59" s="1">
        <v>3</v>
      </c>
      <c r="B59" s="2">
        <v>41136</v>
      </c>
      <c r="C59" s="4" t="s">
        <v>12</v>
      </c>
      <c r="D59" s="1">
        <v>11.9</v>
      </c>
    </row>
    <row r="60" spans="1:4" x14ac:dyDescent="0.25">
      <c r="A60" s="1">
        <v>3</v>
      </c>
      <c r="B60" s="2">
        <v>41143</v>
      </c>
      <c r="C60" s="4" t="s">
        <v>12</v>
      </c>
      <c r="D60" s="1">
        <v>12.6</v>
      </c>
    </row>
    <row r="61" spans="1:4" x14ac:dyDescent="0.25">
      <c r="A61" s="1">
        <v>3</v>
      </c>
      <c r="B61" s="2">
        <v>41157</v>
      </c>
      <c r="C61" s="4" t="s">
        <v>12</v>
      </c>
      <c r="D61" s="1">
        <v>11.8</v>
      </c>
    </row>
    <row r="62" spans="1:4" x14ac:dyDescent="0.25">
      <c r="A62" s="1">
        <v>3</v>
      </c>
      <c r="B62" s="2">
        <v>41164</v>
      </c>
      <c r="C62" s="4" t="s">
        <v>12</v>
      </c>
      <c r="D62" s="1">
        <v>12</v>
      </c>
    </row>
    <row r="63" spans="1:4" x14ac:dyDescent="0.25">
      <c r="A63" s="1">
        <v>3</v>
      </c>
      <c r="B63" s="2">
        <v>41171</v>
      </c>
      <c r="C63" s="4" t="s">
        <v>12</v>
      </c>
      <c r="D63" s="1">
        <v>12.1</v>
      </c>
    </row>
    <row r="64" spans="1:4" x14ac:dyDescent="0.25">
      <c r="A64" s="1">
        <v>3</v>
      </c>
      <c r="B64" s="2">
        <v>41185</v>
      </c>
      <c r="C64" s="4" t="s">
        <v>12</v>
      </c>
      <c r="D64" s="1">
        <v>11.9</v>
      </c>
    </row>
    <row r="65" spans="1:4" x14ac:dyDescent="0.25">
      <c r="A65" s="1">
        <v>3</v>
      </c>
      <c r="B65" s="2">
        <v>41199</v>
      </c>
      <c r="C65" s="4" t="s">
        <v>12</v>
      </c>
      <c r="D65" s="1">
        <v>11.6</v>
      </c>
    </row>
    <row r="66" spans="1:4" x14ac:dyDescent="0.25">
      <c r="A66" s="1">
        <v>3</v>
      </c>
      <c r="B66" s="2">
        <v>41220</v>
      </c>
      <c r="C66" s="4" t="s">
        <v>12</v>
      </c>
      <c r="D66" s="1">
        <v>11.9</v>
      </c>
    </row>
    <row r="67" spans="1:4" x14ac:dyDescent="0.25">
      <c r="A67" s="1">
        <v>3</v>
      </c>
      <c r="B67" s="2">
        <v>41233</v>
      </c>
      <c r="C67" s="4" t="s">
        <v>12</v>
      </c>
      <c r="D67" s="1">
        <v>11.8</v>
      </c>
    </row>
    <row r="68" spans="1:4" x14ac:dyDescent="0.25">
      <c r="A68" s="1">
        <v>3</v>
      </c>
      <c r="B68" s="2">
        <v>41248</v>
      </c>
      <c r="C68" s="4" t="s">
        <v>12</v>
      </c>
      <c r="D68" s="1">
        <v>11.6</v>
      </c>
    </row>
    <row r="69" spans="1:4" x14ac:dyDescent="0.25">
      <c r="A69" s="1">
        <v>3</v>
      </c>
      <c r="B69" s="2">
        <v>41094</v>
      </c>
      <c r="C69" s="4" t="s">
        <v>13</v>
      </c>
      <c r="D69" s="1">
        <v>34</v>
      </c>
    </row>
    <row r="70" spans="1:4" x14ac:dyDescent="0.25">
      <c r="A70" s="1">
        <v>3</v>
      </c>
      <c r="B70" s="2">
        <v>41122</v>
      </c>
      <c r="C70" s="4" t="s">
        <v>13</v>
      </c>
      <c r="D70" s="1">
        <v>25</v>
      </c>
    </row>
    <row r="71" spans="1:4" x14ac:dyDescent="0.25">
      <c r="A71" s="1">
        <v>3</v>
      </c>
      <c r="B71" s="2">
        <v>41157</v>
      </c>
      <c r="C71" s="4" t="s">
        <v>13</v>
      </c>
      <c r="D71" s="1">
        <v>33</v>
      </c>
    </row>
    <row r="72" spans="1:4" x14ac:dyDescent="0.25">
      <c r="A72" s="1">
        <v>3</v>
      </c>
      <c r="B72" s="2">
        <v>41185</v>
      </c>
      <c r="C72" s="4" t="s">
        <v>13</v>
      </c>
      <c r="D72" s="1">
        <v>37</v>
      </c>
    </row>
    <row r="73" spans="1:4" x14ac:dyDescent="0.25">
      <c r="A73" s="1">
        <v>3</v>
      </c>
      <c r="B73" s="2">
        <v>41220</v>
      </c>
      <c r="C73" s="4" t="s">
        <v>13</v>
      </c>
      <c r="D73" s="1">
        <v>41</v>
      </c>
    </row>
    <row r="74" spans="1:4" x14ac:dyDescent="0.25">
      <c r="A74" s="1">
        <v>3</v>
      </c>
      <c r="B74" s="2">
        <v>41248</v>
      </c>
      <c r="C74" s="4" t="s">
        <v>13</v>
      </c>
      <c r="D74" s="1">
        <v>39</v>
      </c>
    </row>
    <row r="75" spans="1:4" x14ac:dyDescent="0.25">
      <c r="A75" s="1">
        <v>4</v>
      </c>
      <c r="B75" s="2">
        <v>41094</v>
      </c>
      <c r="C75" s="4" t="s">
        <v>11</v>
      </c>
      <c r="D75" s="1">
        <v>529</v>
      </c>
    </row>
    <row r="76" spans="1:4" x14ac:dyDescent="0.25">
      <c r="A76" s="1">
        <v>4</v>
      </c>
      <c r="B76" s="2">
        <v>41122</v>
      </c>
      <c r="C76" s="4" t="s">
        <v>11</v>
      </c>
      <c r="D76" s="1">
        <v>723</v>
      </c>
    </row>
    <row r="77" spans="1:4" x14ac:dyDescent="0.25">
      <c r="A77" s="1">
        <v>4</v>
      </c>
      <c r="B77" s="2">
        <v>41157</v>
      </c>
      <c r="C77" s="4" t="s">
        <v>11</v>
      </c>
      <c r="D77" s="1">
        <v>539</v>
      </c>
    </row>
    <row r="78" spans="1:4" x14ac:dyDescent="0.25">
      <c r="A78" s="1">
        <v>4</v>
      </c>
      <c r="B78" s="2">
        <v>41185</v>
      </c>
      <c r="C78" s="4" t="s">
        <v>11</v>
      </c>
      <c r="D78" s="1">
        <v>686</v>
      </c>
    </row>
    <row r="79" spans="1:4" x14ac:dyDescent="0.25">
      <c r="A79" s="1">
        <v>4</v>
      </c>
      <c r="B79" s="2">
        <v>41220</v>
      </c>
      <c r="C79" s="4" t="s">
        <v>11</v>
      </c>
      <c r="D79" s="1">
        <v>728</v>
      </c>
    </row>
    <row r="80" spans="1:4" x14ac:dyDescent="0.25">
      <c r="A80" s="1">
        <v>4</v>
      </c>
      <c r="B80" s="2">
        <v>41094</v>
      </c>
      <c r="C80" s="4" t="s">
        <v>12</v>
      </c>
      <c r="D80" s="1">
        <v>10.7</v>
      </c>
    </row>
    <row r="81" spans="1:4" x14ac:dyDescent="0.25">
      <c r="A81" s="1">
        <v>4</v>
      </c>
      <c r="B81" s="2">
        <v>41108</v>
      </c>
      <c r="C81" s="4" t="s">
        <v>12</v>
      </c>
      <c r="D81" s="1">
        <v>10.7</v>
      </c>
    </row>
    <row r="82" spans="1:4" x14ac:dyDescent="0.25">
      <c r="A82" s="1">
        <v>4</v>
      </c>
      <c r="B82" s="2">
        <v>41122</v>
      </c>
      <c r="C82" s="4" t="s">
        <v>12</v>
      </c>
      <c r="D82" s="1">
        <v>10.199999999999999</v>
      </c>
    </row>
    <row r="83" spans="1:4" x14ac:dyDescent="0.25">
      <c r="A83" s="1">
        <v>4</v>
      </c>
      <c r="B83" s="2">
        <v>41136</v>
      </c>
      <c r="C83" s="4" t="s">
        <v>12</v>
      </c>
      <c r="D83" s="1">
        <v>11</v>
      </c>
    </row>
    <row r="84" spans="1:4" x14ac:dyDescent="0.25">
      <c r="A84" s="1">
        <v>4</v>
      </c>
      <c r="B84" s="2">
        <v>41157</v>
      </c>
      <c r="C84" s="4" t="s">
        <v>12</v>
      </c>
      <c r="D84" s="1">
        <v>11.3</v>
      </c>
    </row>
    <row r="85" spans="1:4" x14ac:dyDescent="0.25">
      <c r="A85" s="1">
        <v>4</v>
      </c>
      <c r="B85" s="2">
        <v>41171</v>
      </c>
      <c r="C85" s="4" t="s">
        <v>12</v>
      </c>
      <c r="D85" s="1">
        <v>12.6</v>
      </c>
    </row>
    <row r="86" spans="1:4" x14ac:dyDescent="0.25">
      <c r="A86" s="1">
        <v>4</v>
      </c>
      <c r="B86" s="2">
        <v>41185</v>
      </c>
      <c r="C86" s="4" t="s">
        <v>12</v>
      </c>
      <c r="D86" s="1">
        <v>13</v>
      </c>
    </row>
    <row r="87" spans="1:4" x14ac:dyDescent="0.25">
      <c r="A87" s="1">
        <v>4</v>
      </c>
      <c r="B87" s="2">
        <v>41199</v>
      </c>
      <c r="C87" s="4" t="s">
        <v>12</v>
      </c>
      <c r="D87" s="1">
        <v>12.3</v>
      </c>
    </row>
    <row r="88" spans="1:4" x14ac:dyDescent="0.25">
      <c r="A88" s="1">
        <v>4</v>
      </c>
      <c r="B88" s="2">
        <v>41220</v>
      </c>
      <c r="C88" s="4" t="s">
        <v>12</v>
      </c>
      <c r="D88" s="1">
        <v>11.5</v>
      </c>
    </row>
    <row r="89" spans="1:4" x14ac:dyDescent="0.25">
      <c r="A89" s="1">
        <v>4</v>
      </c>
      <c r="B89" s="2">
        <v>41233</v>
      </c>
      <c r="C89" s="4" t="s">
        <v>12</v>
      </c>
      <c r="D89" s="1">
        <v>10.7</v>
      </c>
    </row>
    <row r="90" spans="1:4" x14ac:dyDescent="0.25">
      <c r="A90" s="1">
        <v>4</v>
      </c>
      <c r="B90" s="2">
        <v>41094</v>
      </c>
      <c r="C90" s="4" t="s">
        <v>13</v>
      </c>
      <c r="D90" s="1">
        <v>17</v>
      </c>
    </row>
    <row r="91" spans="1:4" x14ac:dyDescent="0.25">
      <c r="A91" s="1">
        <v>4</v>
      </c>
      <c r="B91" s="2">
        <v>41122</v>
      </c>
      <c r="C91" s="4" t="s">
        <v>13</v>
      </c>
      <c r="D91" s="1">
        <v>16</v>
      </c>
    </row>
    <row r="92" spans="1:4" x14ac:dyDescent="0.25">
      <c r="A92" s="1">
        <v>4</v>
      </c>
      <c r="B92" s="2">
        <v>41157</v>
      </c>
      <c r="C92" s="4" t="s">
        <v>13</v>
      </c>
      <c r="D92" s="1">
        <v>8</v>
      </c>
    </row>
    <row r="93" spans="1:4" x14ac:dyDescent="0.25">
      <c r="A93" s="1">
        <v>4</v>
      </c>
      <c r="B93" s="2">
        <v>41185</v>
      </c>
      <c r="C93" s="4" t="s">
        <v>13</v>
      </c>
      <c r="D93" s="1">
        <v>33</v>
      </c>
    </row>
    <row r="94" spans="1:4" x14ac:dyDescent="0.25">
      <c r="A94" s="1">
        <v>4</v>
      </c>
      <c r="B94" s="2">
        <v>41220</v>
      </c>
      <c r="C94" s="4" t="s">
        <v>13</v>
      </c>
      <c r="D94" s="1">
        <v>18</v>
      </c>
    </row>
    <row r="95" spans="1:4" x14ac:dyDescent="0.25">
      <c r="A95" s="1">
        <v>5</v>
      </c>
      <c r="B95" s="2">
        <v>41094</v>
      </c>
      <c r="C95" s="4" t="s">
        <v>11</v>
      </c>
      <c r="D95" s="1">
        <v>587</v>
      </c>
    </row>
    <row r="96" spans="1:4" x14ac:dyDescent="0.25">
      <c r="A96" s="1">
        <v>5</v>
      </c>
      <c r="B96" s="2">
        <v>41122</v>
      </c>
      <c r="C96" s="4" t="s">
        <v>11</v>
      </c>
      <c r="D96" s="1">
        <v>422</v>
      </c>
    </row>
    <row r="97" spans="1:4" x14ac:dyDescent="0.25">
      <c r="A97" s="1">
        <v>5</v>
      </c>
      <c r="B97" s="2">
        <v>41159</v>
      </c>
      <c r="C97" s="4" t="s">
        <v>11</v>
      </c>
      <c r="D97" s="1">
        <v>876</v>
      </c>
    </row>
    <row r="98" spans="1:4" x14ac:dyDescent="0.25">
      <c r="A98" s="1">
        <v>5</v>
      </c>
      <c r="B98" s="2">
        <v>41185</v>
      </c>
      <c r="C98" s="4" t="s">
        <v>11</v>
      </c>
      <c r="D98" s="1">
        <v>509</v>
      </c>
    </row>
    <row r="99" spans="1:4" x14ac:dyDescent="0.25">
      <c r="A99" s="1">
        <v>5</v>
      </c>
      <c r="B99" s="2">
        <v>41220</v>
      </c>
      <c r="C99" s="4" t="s">
        <v>11</v>
      </c>
      <c r="D99" s="1">
        <v>362</v>
      </c>
    </row>
    <row r="100" spans="1:4" x14ac:dyDescent="0.25">
      <c r="A100" s="1">
        <v>5</v>
      </c>
      <c r="B100" s="2">
        <v>41248</v>
      </c>
      <c r="C100" s="4" t="s">
        <v>11</v>
      </c>
      <c r="D100" s="1">
        <v>698</v>
      </c>
    </row>
    <row r="101" spans="1:4" x14ac:dyDescent="0.25">
      <c r="A101" s="1">
        <v>5</v>
      </c>
      <c r="B101" s="2">
        <v>41094</v>
      </c>
      <c r="C101" s="4" t="s">
        <v>12</v>
      </c>
      <c r="D101" s="1">
        <v>11.2</v>
      </c>
    </row>
    <row r="102" spans="1:4" x14ac:dyDescent="0.25">
      <c r="A102" s="1">
        <v>5</v>
      </c>
      <c r="B102" s="2">
        <v>41108</v>
      </c>
      <c r="C102" s="4" t="s">
        <v>12</v>
      </c>
      <c r="D102" s="1">
        <v>11.5</v>
      </c>
    </row>
    <row r="103" spans="1:4" x14ac:dyDescent="0.25">
      <c r="A103" s="1">
        <v>5</v>
      </c>
      <c r="B103" s="2">
        <v>41122</v>
      </c>
      <c r="C103" s="4" t="s">
        <v>12</v>
      </c>
      <c r="D103" s="1">
        <v>11</v>
      </c>
    </row>
    <row r="104" spans="1:4" x14ac:dyDescent="0.25">
      <c r="A104" s="1">
        <v>5</v>
      </c>
      <c r="B104" s="2">
        <v>41136</v>
      </c>
      <c r="C104" s="4" t="s">
        <v>12</v>
      </c>
      <c r="D104" s="1">
        <v>12.5</v>
      </c>
    </row>
    <row r="105" spans="1:4" x14ac:dyDescent="0.25">
      <c r="A105" s="1">
        <v>5</v>
      </c>
      <c r="B105" s="2">
        <v>41143</v>
      </c>
      <c r="C105" s="4" t="s">
        <v>12</v>
      </c>
      <c r="D105" s="1">
        <v>12.1</v>
      </c>
    </row>
    <row r="106" spans="1:4" x14ac:dyDescent="0.25">
      <c r="A106" s="1">
        <v>5</v>
      </c>
      <c r="B106" s="2">
        <v>41159</v>
      </c>
      <c r="C106" s="4" t="s">
        <v>12</v>
      </c>
      <c r="D106" s="1">
        <v>10.7</v>
      </c>
    </row>
    <row r="107" spans="1:4" x14ac:dyDescent="0.25">
      <c r="A107" s="1">
        <v>5</v>
      </c>
      <c r="B107" s="2">
        <v>41164</v>
      </c>
      <c r="C107" s="4" t="s">
        <v>12</v>
      </c>
      <c r="D107" s="1">
        <v>9.9</v>
      </c>
    </row>
    <row r="108" spans="1:4" x14ac:dyDescent="0.25">
      <c r="A108" s="1">
        <v>5</v>
      </c>
      <c r="B108" s="2">
        <v>41171</v>
      </c>
      <c r="C108" s="4" t="s">
        <v>12</v>
      </c>
      <c r="D108" s="1">
        <v>10.4</v>
      </c>
    </row>
    <row r="109" spans="1:4" x14ac:dyDescent="0.25">
      <c r="A109" s="1">
        <v>5</v>
      </c>
      <c r="B109" s="2">
        <v>41185</v>
      </c>
      <c r="C109" s="4" t="s">
        <v>12</v>
      </c>
      <c r="D109" s="1">
        <v>11</v>
      </c>
    </row>
    <row r="110" spans="1:4" x14ac:dyDescent="0.25">
      <c r="A110" s="1">
        <v>5</v>
      </c>
      <c r="B110" s="2">
        <v>41199</v>
      </c>
      <c r="C110" s="4" t="s">
        <v>12</v>
      </c>
      <c r="D110" s="1">
        <v>10</v>
      </c>
    </row>
    <row r="111" spans="1:4" x14ac:dyDescent="0.25">
      <c r="A111" s="1">
        <v>5</v>
      </c>
      <c r="B111" s="2">
        <v>41220</v>
      </c>
      <c r="C111" s="4" t="s">
        <v>12</v>
      </c>
      <c r="D111" s="1">
        <v>9.9</v>
      </c>
    </row>
    <row r="112" spans="1:4" x14ac:dyDescent="0.25">
      <c r="A112" s="1">
        <v>5</v>
      </c>
      <c r="B112" s="2">
        <v>41233</v>
      </c>
      <c r="C112" s="4" t="s">
        <v>12</v>
      </c>
      <c r="D112" s="1">
        <v>10.4</v>
      </c>
    </row>
    <row r="113" spans="1:4" x14ac:dyDescent="0.25">
      <c r="A113" s="1">
        <v>5</v>
      </c>
      <c r="B113" s="2">
        <v>41248</v>
      </c>
      <c r="C113" s="4" t="s">
        <v>12</v>
      </c>
      <c r="D113" s="1">
        <v>10.7</v>
      </c>
    </row>
    <row r="114" spans="1:4" x14ac:dyDescent="0.25">
      <c r="A114" s="1">
        <v>5</v>
      </c>
      <c r="B114" s="2">
        <v>41094</v>
      </c>
      <c r="C114" s="4" t="s">
        <v>13</v>
      </c>
      <c r="D114" s="1">
        <v>46</v>
      </c>
    </row>
    <row r="115" spans="1:4" x14ac:dyDescent="0.25">
      <c r="A115" s="1">
        <v>5</v>
      </c>
      <c r="B115" s="2">
        <v>41122</v>
      </c>
      <c r="C115" s="4" t="s">
        <v>13</v>
      </c>
      <c r="D115" s="1">
        <v>31</v>
      </c>
    </row>
    <row r="116" spans="1:4" x14ac:dyDescent="0.25">
      <c r="A116" s="1">
        <v>5</v>
      </c>
      <c r="B116" s="2">
        <v>41159</v>
      </c>
      <c r="C116" s="4" t="s">
        <v>13</v>
      </c>
      <c r="D116" s="1">
        <v>52</v>
      </c>
    </row>
    <row r="117" spans="1:4" x14ac:dyDescent="0.25">
      <c r="A117" s="1">
        <v>5</v>
      </c>
      <c r="B117" s="2">
        <v>41185</v>
      </c>
      <c r="C117" s="4" t="s">
        <v>13</v>
      </c>
      <c r="D117" s="1">
        <v>30</v>
      </c>
    </row>
    <row r="118" spans="1:4" x14ac:dyDescent="0.25">
      <c r="A118" s="1">
        <v>5</v>
      </c>
      <c r="B118" s="2">
        <v>41220</v>
      </c>
      <c r="C118" s="4" t="s">
        <v>13</v>
      </c>
      <c r="D118" s="1">
        <v>27</v>
      </c>
    </row>
    <row r="119" spans="1:4" x14ac:dyDescent="0.25">
      <c r="A119" s="1">
        <v>5</v>
      </c>
      <c r="B119" s="2">
        <v>41248</v>
      </c>
      <c r="C119" s="4" t="s">
        <v>13</v>
      </c>
      <c r="D119" s="1">
        <v>37</v>
      </c>
    </row>
    <row r="120" spans="1:4" x14ac:dyDescent="0.25">
      <c r="A120" s="1">
        <v>6</v>
      </c>
      <c r="B120" s="2">
        <v>41248</v>
      </c>
      <c r="C120" s="4" t="s">
        <v>11</v>
      </c>
      <c r="D120" s="1">
        <v>601</v>
      </c>
    </row>
    <row r="121" spans="1:4" x14ac:dyDescent="0.25">
      <c r="A121" s="1">
        <v>6</v>
      </c>
      <c r="B121" s="2">
        <v>41248</v>
      </c>
      <c r="C121" s="4" t="s">
        <v>12</v>
      </c>
      <c r="D121" s="1">
        <v>11.2</v>
      </c>
    </row>
    <row r="122" spans="1:4" x14ac:dyDescent="0.25">
      <c r="A122" s="1">
        <v>6</v>
      </c>
      <c r="B122" s="2">
        <v>41248</v>
      </c>
      <c r="C122" s="4" t="s">
        <v>13</v>
      </c>
      <c r="D122" s="1">
        <v>27</v>
      </c>
    </row>
    <row r="123" spans="1:4" x14ac:dyDescent="0.25">
      <c r="A123" s="1">
        <v>7</v>
      </c>
      <c r="B123" s="2">
        <v>41097</v>
      </c>
      <c r="C123" s="4" t="s">
        <v>11</v>
      </c>
      <c r="D123" s="1">
        <v>1370</v>
      </c>
    </row>
    <row r="124" spans="1:4" x14ac:dyDescent="0.25">
      <c r="A124" s="1">
        <v>7</v>
      </c>
      <c r="B124" s="2">
        <v>41123</v>
      </c>
      <c r="C124" s="4" t="s">
        <v>11</v>
      </c>
      <c r="D124" s="1">
        <v>1068</v>
      </c>
    </row>
    <row r="125" spans="1:4" x14ac:dyDescent="0.25">
      <c r="A125" s="1">
        <v>7</v>
      </c>
      <c r="B125" s="2">
        <v>41097</v>
      </c>
      <c r="C125" s="4" t="s">
        <v>12</v>
      </c>
      <c r="D125" s="1">
        <v>11</v>
      </c>
    </row>
    <row r="126" spans="1:4" x14ac:dyDescent="0.25">
      <c r="A126" s="1">
        <v>7</v>
      </c>
      <c r="B126" s="2">
        <v>41109</v>
      </c>
      <c r="C126" s="4" t="s">
        <v>12</v>
      </c>
      <c r="D126" s="1">
        <v>12.9</v>
      </c>
    </row>
    <row r="127" spans="1:4" x14ac:dyDescent="0.25">
      <c r="A127" s="1">
        <v>7</v>
      </c>
      <c r="B127" s="2">
        <v>41116</v>
      </c>
      <c r="C127" s="4" t="s">
        <v>12</v>
      </c>
      <c r="D127" s="1">
        <v>13.2</v>
      </c>
    </row>
    <row r="128" spans="1:4" x14ac:dyDescent="0.25">
      <c r="A128" s="1">
        <v>7</v>
      </c>
      <c r="B128" s="2">
        <v>41123</v>
      </c>
      <c r="C128" s="4" t="s">
        <v>12</v>
      </c>
      <c r="D128" s="1">
        <v>12.9</v>
      </c>
    </row>
    <row r="129" spans="1:4" x14ac:dyDescent="0.25">
      <c r="A129" s="1">
        <v>7</v>
      </c>
      <c r="B129" s="2">
        <v>41130</v>
      </c>
      <c r="C129" s="4" t="s">
        <v>12</v>
      </c>
      <c r="D129" s="1">
        <v>13.2</v>
      </c>
    </row>
    <row r="130" spans="1:4" x14ac:dyDescent="0.25">
      <c r="A130" s="1">
        <v>7</v>
      </c>
      <c r="B130" s="2">
        <v>41097</v>
      </c>
      <c r="C130" s="4" t="s">
        <v>13</v>
      </c>
      <c r="D130" s="1">
        <v>13</v>
      </c>
    </row>
    <row r="131" spans="1:4" x14ac:dyDescent="0.25">
      <c r="A131" s="1">
        <v>7</v>
      </c>
      <c r="B131" s="2">
        <v>41123</v>
      </c>
      <c r="C131" s="4" t="s">
        <v>13</v>
      </c>
      <c r="D131" s="1">
        <v>47</v>
      </c>
    </row>
    <row r="132" spans="1:4" x14ac:dyDescent="0.25">
      <c r="A132" s="1">
        <v>8</v>
      </c>
      <c r="B132" s="2">
        <v>41095</v>
      </c>
      <c r="C132" s="4" t="s">
        <v>11</v>
      </c>
      <c r="D132" s="1">
        <v>392</v>
      </c>
    </row>
    <row r="133" spans="1:4" x14ac:dyDescent="0.25">
      <c r="A133" s="1">
        <v>8</v>
      </c>
      <c r="B133" s="2">
        <v>41123</v>
      </c>
      <c r="C133" s="4" t="s">
        <v>11</v>
      </c>
      <c r="D133" s="1">
        <v>435</v>
      </c>
    </row>
    <row r="134" spans="1:4" x14ac:dyDescent="0.25">
      <c r="A134" s="1">
        <v>8</v>
      </c>
      <c r="B134" s="2">
        <v>41156</v>
      </c>
      <c r="C134" s="4" t="s">
        <v>11</v>
      </c>
      <c r="D134" s="1">
        <v>435</v>
      </c>
    </row>
    <row r="135" spans="1:4" x14ac:dyDescent="0.25">
      <c r="A135" s="1">
        <v>8</v>
      </c>
      <c r="B135" s="2">
        <v>41186</v>
      </c>
      <c r="C135" s="4" t="s">
        <v>11</v>
      </c>
      <c r="D135" s="1">
        <v>558</v>
      </c>
    </row>
    <row r="136" spans="1:4" x14ac:dyDescent="0.25">
      <c r="A136" s="1">
        <v>8</v>
      </c>
      <c r="B136" s="2">
        <v>41221</v>
      </c>
      <c r="C136" s="4" t="s">
        <v>11</v>
      </c>
      <c r="D136" s="1">
        <v>438</v>
      </c>
    </row>
    <row r="137" spans="1:4" x14ac:dyDescent="0.25">
      <c r="A137" s="1">
        <v>8</v>
      </c>
      <c r="B137" s="2">
        <v>41095</v>
      </c>
      <c r="C137" s="4" t="s">
        <v>12</v>
      </c>
      <c r="D137" s="1">
        <v>11.1</v>
      </c>
    </row>
    <row r="138" spans="1:4" x14ac:dyDescent="0.25">
      <c r="A138" s="1">
        <v>8</v>
      </c>
      <c r="B138" s="2">
        <v>41109</v>
      </c>
      <c r="C138" s="4" t="s">
        <v>12</v>
      </c>
      <c r="D138" s="1">
        <v>10.9</v>
      </c>
    </row>
    <row r="139" spans="1:4" x14ac:dyDescent="0.25">
      <c r="A139" s="1">
        <v>8</v>
      </c>
      <c r="B139" s="2">
        <v>41123</v>
      </c>
      <c r="C139" s="4" t="s">
        <v>12</v>
      </c>
      <c r="D139" s="1">
        <v>10.9</v>
      </c>
    </row>
    <row r="140" spans="1:4" x14ac:dyDescent="0.25">
      <c r="A140" s="1">
        <v>8</v>
      </c>
      <c r="B140" s="2">
        <v>41137</v>
      </c>
      <c r="C140" s="4" t="s">
        <v>12</v>
      </c>
      <c r="D140" s="1">
        <v>10.3</v>
      </c>
    </row>
    <row r="141" spans="1:4" x14ac:dyDescent="0.25">
      <c r="A141" s="1">
        <v>8</v>
      </c>
      <c r="B141" s="2">
        <v>41156</v>
      </c>
      <c r="C141" s="4" t="s">
        <v>12</v>
      </c>
      <c r="D141" s="1">
        <v>9.9</v>
      </c>
    </row>
    <row r="142" spans="1:4" x14ac:dyDescent="0.25">
      <c r="A142" s="1">
        <v>8</v>
      </c>
      <c r="B142" s="2">
        <v>41172</v>
      </c>
      <c r="C142" s="4" t="s">
        <v>12</v>
      </c>
      <c r="D142" s="1">
        <v>10.1</v>
      </c>
    </row>
    <row r="143" spans="1:4" x14ac:dyDescent="0.25">
      <c r="A143" s="1">
        <v>8</v>
      </c>
      <c r="B143" s="2">
        <v>41186</v>
      </c>
      <c r="C143" s="4" t="s">
        <v>12</v>
      </c>
      <c r="D143" s="1">
        <v>10.7</v>
      </c>
    </row>
    <row r="144" spans="1:4" x14ac:dyDescent="0.25">
      <c r="A144" s="1">
        <v>8</v>
      </c>
      <c r="B144" s="2">
        <v>41200</v>
      </c>
      <c r="C144" s="4" t="s">
        <v>12</v>
      </c>
      <c r="D144" s="1">
        <v>10.5</v>
      </c>
    </row>
    <row r="145" spans="1:4" x14ac:dyDescent="0.25">
      <c r="A145" s="1">
        <v>8</v>
      </c>
      <c r="B145" s="2">
        <v>41221</v>
      </c>
      <c r="C145" s="4" t="s">
        <v>12</v>
      </c>
      <c r="D145" s="1">
        <v>10.199999999999999</v>
      </c>
    </row>
    <row r="146" spans="1:4" x14ac:dyDescent="0.25">
      <c r="A146" s="1">
        <v>8</v>
      </c>
      <c r="B146" s="2">
        <v>41095</v>
      </c>
      <c r="C146" s="4" t="s">
        <v>13</v>
      </c>
      <c r="D146" s="1">
        <v>39</v>
      </c>
    </row>
    <row r="147" spans="1:4" x14ac:dyDescent="0.25">
      <c r="A147" s="1">
        <v>8</v>
      </c>
      <c r="B147" s="2">
        <v>41123</v>
      </c>
      <c r="C147" s="4" t="s">
        <v>13</v>
      </c>
      <c r="D147" s="1">
        <v>44</v>
      </c>
    </row>
    <row r="148" spans="1:4" x14ac:dyDescent="0.25">
      <c r="A148" s="1">
        <v>8</v>
      </c>
      <c r="B148" s="2">
        <v>41156</v>
      </c>
      <c r="C148" s="4" t="s">
        <v>13</v>
      </c>
      <c r="D148" s="1">
        <v>41</v>
      </c>
    </row>
    <row r="149" spans="1:4" x14ac:dyDescent="0.25">
      <c r="A149" s="1">
        <v>8</v>
      </c>
      <c r="B149" s="2">
        <v>41186</v>
      </c>
      <c r="C149" s="4" t="s">
        <v>13</v>
      </c>
      <c r="D149" s="1">
        <v>46</v>
      </c>
    </row>
    <row r="150" spans="1:4" x14ac:dyDescent="0.25">
      <c r="A150" s="1">
        <v>8</v>
      </c>
      <c r="B150" s="2">
        <v>41221</v>
      </c>
      <c r="C150" s="4" t="s">
        <v>13</v>
      </c>
      <c r="D150" s="1">
        <v>49</v>
      </c>
    </row>
    <row r="151" spans="1:4" x14ac:dyDescent="0.25">
      <c r="A151" s="1">
        <v>9</v>
      </c>
      <c r="B151" s="2">
        <v>41095</v>
      </c>
      <c r="C151" s="4" t="s">
        <v>11</v>
      </c>
      <c r="D151" s="1">
        <v>532</v>
      </c>
    </row>
    <row r="152" spans="1:4" x14ac:dyDescent="0.25">
      <c r="A152" s="1">
        <v>9</v>
      </c>
      <c r="B152" s="2">
        <v>41123</v>
      </c>
      <c r="C152" s="4" t="s">
        <v>11</v>
      </c>
      <c r="D152" s="1">
        <v>518</v>
      </c>
    </row>
    <row r="153" spans="1:4" x14ac:dyDescent="0.25">
      <c r="A153" s="1">
        <v>9</v>
      </c>
      <c r="B153" s="2">
        <v>41156</v>
      </c>
      <c r="C153" s="4" t="s">
        <v>11</v>
      </c>
      <c r="D153" s="1">
        <v>456</v>
      </c>
    </row>
    <row r="154" spans="1:4" x14ac:dyDescent="0.25">
      <c r="A154" s="1">
        <v>9</v>
      </c>
      <c r="B154" s="2">
        <v>41186</v>
      </c>
      <c r="C154" s="4" t="s">
        <v>11</v>
      </c>
      <c r="D154" s="1">
        <v>714</v>
      </c>
    </row>
    <row r="155" spans="1:4" x14ac:dyDescent="0.25">
      <c r="A155" s="1">
        <v>9</v>
      </c>
      <c r="B155" s="2">
        <v>41221</v>
      </c>
      <c r="C155" s="4" t="s">
        <v>11</v>
      </c>
      <c r="D155" s="1">
        <v>1257</v>
      </c>
    </row>
    <row r="156" spans="1:4" x14ac:dyDescent="0.25">
      <c r="A156" s="1">
        <v>9</v>
      </c>
      <c r="B156" s="2">
        <v>41095</v>
      </c>
      <c r="C156" s="4" t="s">
        <v>12</v>
      </c>
      <c r="D156" s="1">
        <v>11.4</v>
      </c>
    </row>
    <row r="157" spans="1:4" x14ac:dyDescent="0.25">
      <c r="A157" s="1">
        <v>9</v>
      </c>
      <c r="B157" s="2">
        <v>41109</v>
      </c>
      <c r="C157" s="4" t="s">
        <v>12</v>
      </c>
      <c r="D157" s="1">
        <v>11.7</v>
      </c>
    </row>
    <row r="158" spans="1:4" x14ac:dyDescent="0.25">
      <c r="A158" s="1">
        <v>9</v>
      </c>
      <c r="B158" s="2">
        <v>41116</v>
      </c>
      <c r="C158" s="4" t="s">
        <v>12</v>
      </c>
      <c r="D158" s="1">
        <v>11.2</v>
      </c>
    </row>
    <row r="159" spans="1:4" x14ac:dyDescent="0.25">
      <c r="A159" s="1">
        <v>9</v>
      </c>
      <c r="B159" s="2">
        <v>41123</v>
      </c>
      <c r="C159" s="4" t="s">
        <v>12</v>
      </c>
      <c r="D159" s="1">
        <v>11</v>
      </c>
    </row>
    <row r="160" spans="1:4" x14ac:dyDescent="0.25">
      <c r="A160" s="1">
        <v>9</v>
      </c>
      <c r="B160" s="2">
        <v>41137</v>
      </c>
      <c r="C160" s="4" t="s">
        <v>12</v>
      </c>
      <c r="D160" s="1">
        <v>9.8000000000000007</v>
      </c>
    </row>
    <row r="161" spans="1:4" x14ac:dyDescent="0.25">
      <c r="A161" s="1">
        <v>9</v>
      </c>
      <c r="B161" s="2">
        <v>41156</v>
      </c>
      <c r="C161" s="4" t="s">
        <v>12</v>
      </c>
      <c r="D161" s="1">
        <v>9</v>
      </c>
    </row>
    <row r="162" spans="1:4" x14ac:dyDescent="0.25">
      <c r="A162" s="1">
        <v>9</v>
      </c>
      <c r="B162" s="2">
        <v>41172</v>
      </c>
      <c r="C162" s="4" t="s">
        <v>12</v>
      </c>
      <c r="D162" s="1">
        <v>9.6</v>
      </c>
    </row>
    <row r="163" spans="1:4" x14ac:dyDescent="0.25">
      <c r="A163" s="1">
        <v>9</v>
      </c>
      <c r="B163" s="2">
        <v>41186</v>
      </c>
      <c r="C163" s="4" t="s">
        <v>12</v>
      </c>
      <c r="D163" s="1">
        <v>10.9</v>
      </c>
    </row>
    <row r="164" spans="1:4" x14ac:dyDescent="0.25">
      <c r="A164" s="1">
        <v>9</v>
      </c>
      <c r="B164" s="2">
        <v>41200</v>
      </c>
      <c r="C164" s="4" t="s">
        <v>12</v>
      </c>
      <c r="D164" s="1">
        <v>10.4</v>
      </c>
    </row>
    <row r="165" spans="1:4" x14ac:dyDescent="0.25">
      <c r="A165" s="1">
        <v>9</v>
      </c>
      <c r="B165" s="2">
        <v>41221</v>
      </c>
      <c r="C165" s="4" t="s">
        <v>12</v>
      </c>
      <c r="D165" s="1">
        <v>10.7</v>
      </c>
    </row>
    <row r="166" spans="1:4" x14ac:dyDescent="0.25">
      <c r="A166" s="1">
        <v>9</v>
      </c>
      <c r="B166" s="2">
        <v>41232</v>
      </c>
      <c r="C166" s="4" t="s">
        <v>12</v>
      </c>
      <c r="D166" s="1">
        <v>9.8000000000000007</v>
      </c>
    </row>
    <row r="167" spans="1:4" x14ac:dyDescent="0.25">
      <c r="A167" s="1">
        <v>9</v>
      </c>
      <c r="B167" s="2">
        <v>41242</v>
      </c>
      <c r="C167" s="4" t="s">
        <v>12</v>
      </c>
      <c r="D167" s="1">
        <v>10.7</v>
      </c>
    </row>
    <row r="168" spans="1:4" x14ac:dyDescent="0.25">
      <c r="A168" s="1">
        <v>9</v>
      </c>
      <c r="B168" s="2">
        <v>41095</v>
      </c>
      <c r="C168" s="4" t="s">
        <v>13</v>
      </c>
      <c r="D168" s="1">
        <v>27</v>
      </c>
    </row>
    <row r="169" spans="1:4" x14ac:dyDescent="0.25">
      <c r="A169" s="1">
        <v>9</v>
      </c>
      <c r="B169" s="2">
        <v>41123</v>
      </c>
      <c r="C169" s="4" t="s">
        <v>13</v>
      </c>
      <c r="D169" s="1">
        <v>43</v>
      </c>
    </row>
    <row r="170" spans="1:4" x14ac:dyDescent="0.25">
      <c r="A170" s="1">
        <v>9</v>
      </c>
      <c r="B170" s="2">
        <v>41156</v>
      </c>
      <c r="C170" s="4" t="s">
        <v>13</v>
      </c>
      <c r="D170" s="1">
        <v>12</v>
      </c>
    </row>
    <row r="171" spans="1:4" x14ac:dyDescent="0.25">
      <c r="A171" s="1">
        <v>9</v>
      </c>
      <c r="B171" s="2">
        <v>41186</v>
      </c>
      <c r="C171" s="4" t="s">
        <v>13</v>
      </c>
      <c r="D171" s="1">
        <v>22</v>
      </c>
    </row>
    <row r="172" spans="1:4" x14ac:dyDescent="0.25">
      <c r="A172" s="1">
        <v>9</v>
      </c>
      <c r="B172" s="2">
        <v>41221</v>
      </c>
      <c r="C172" s="4" t="s">
        <v>13</v>
      </c>
      <c r="D172" s="1">
        <v>49</v>
      </c>
    </row>
    <row r="173" spans="1:4" x14ac:dyDescent="0.25">
      <c r="A173" s="1">
        <v>10</v>
      </c>
      <c r="B173" s="2">
        <v>41149</v>
      </c>
      <c r="C173" s="4" t="s">
        <v>11</v>
      </c>
      <c r="D173" s="1">
        <v>763</v>
      </c>
    </row>
    <row r="174" spans="1:4" x14ac:dyDescent="0.25">
      <c r="A174" s="1">
        <v>10</v>
      </c>
      <c r="B174" s="2">
        <v>41156</v>
      </c>
      <c r="C174" s="4" t="s">
        <v>11</v>
      </c>
      <c r="D174" s="1">
        <v>814</v>
      </c>
    </row>
    <row r="175" spans="1:4" x14ac:dyDescent="0.25">
      <c r="A175" s="1">
        <v>10</v>
      </c>
      <c r="B175" s="2">
        <v>41186</v>
      </c>
      <c r="C175" s="4" t="s">
        <v>11</v>
      </c>
      <c r="D175" s="1">
        <v>878</v>
      </c>
    </row>
    <row r="176" spans="1:4" x14ac:dyDescent="0.25">
      <c r="A176" s="1">
        <v>10</v>
      </c>
      <c r="B176" s="2">
        <v>41221</v>
      </c>
      <c r="C176" s="4" t="s">
        <v>11</v>
      </c>
      <c r="D176" s="1">
        <v>616</v>
      </c>
    </row>
    <row r="177" spans="1:4" x14ac:dyDescent="0.25">
      <c r="A177" s="1">
        <v>10</v>
      </c>
      <c r="B177" s="2">
        <v>41149</v>
      </c>
      <c r="C177" s="4" t="s">
        <v>12</v>
      </c>
      <c r="D177" s="1">
        <v>9.4</v>
      </c>
    </row>
    <row r="178" spans="1:4" x14ac:dyDescent="0.25">
      <c r="A178" s="1">
        <v>10</v>
      </c>
      <c r="B178" s="2">
        <v>41156</v>
      </c>
      <c r="C178" s="4" t="s">
        <v>12</v>
      </c>
      <c r="D178" s="1">
        <v>9.3000000000000007</v>
      </c>
    </row>
    <row r="179" spans="1:4" x14ac:dyDescent="0.25">
      <c r="A179" s="1">
        <v>10</v>
      </c>
      <c r="B179" s="2">
        <v>41172</v>
      </c>
      <c r="C179" s="4" t="s">
        <v>12</v>
      </c>
      <c r="D179" s="1">
        <v>9.5</v>
      </c>
    </row>
    <row r="180" spans="1:4" x14ac:dyDescent="0.25">
      <c r="A180" s="1">
        <v>10</v>
      </c>
      <c r="B180" s="2">
        <v>41186</v>
      </c>
      <c r="C180" s="4" t="s">
        <v>12</v>
      </c>
      <c r="D180" s="1">
        <v>10.3</v>
      </c>
    </row>
    <row r="181" spans="1:4" x14ac:dyDescent="0.25">
      <c r="A181" s="1">
        <v>10</v>
      </c>
      <c r="B181" s="2">
        <v>41200</v>
      </c>
      <c r="C181" s="4" t="s">
        <v>12</v>
      </c>
      <c r="D181" s="1">
        <v>10.4</v>
      </c>
    </row>
    <row r="182" spans="1:4" x14ac:dyDescent="0.25">
      <c r="A182" s="1">
        <v>10</v>
      </c>
      <c r="B182" s="2">
        <v>41221</v>
      </c>
      <c r="C182" s="4" t="s">
        <v>12</v>
      </c>
      <c r="D182" s="1">
        <v>11</v>
      </c>
    </row>
    <row r="183" spans="1:4" x14ac:dyDescent="0.25">
      <c r="A183" s="1">
        <v>10</v>
      </c>
      <c r="B183" s="2">
        <v>41232</v>
      </c>
      <c r="C183" s="4" t="s">
        <v>12</v>
      </c>
      <c r="D183" s="1">
        <v>10.199999999999999</v>
      </c>
    </row>
    <row r="184" spans="1:4" x14ac:dyDescent="0.25">
      <c r="A184" s="1">
        <v>10</v>
      </c>
      <c r="B184" s="2">
        <v>41149</v>
      </c>
      <c r="C184" s="4" t="s">
        <v>13</v>
      </c>
      <c r="D184" s="1">
        <v>31</v>
      </c>
    </row>
    <row r="185" spans="1:4" x14ac:dyDescent="0.25">
      <c r="A185" s="1">
        <v>10</v>
      </c>
      <c r="B185" s="2">
        <v>41156</v>
      </c>
      <c r="C185" s="4" t="s">
        <v>13</v>
      </c>
      <c r="D185" s="1">
        <v>37</v>
      </c>
    </row>
    <row r="186" spans="1:4" x14ac:dyDescent="0.25">
      <c r="A186" s="1">
        <v>10</v>
      </c>
      <c r="B186" s="2">
        <v>41186</v>
      </c>
      <c r="C186" s="4" t="s">
        <v>13</v>
      </c>
      <c r="D186" s="1">
        <v>32</v>
      </c>
    </row>
    <row r="187" spans="1:4" x14ac:dyDescent="0.25">
      <c r="A187" s="1">
        <v>10</v>
      </c>
      <c r="B187" s="2">
        <v>41221</v>
      </c>
      <c r="C187" s="4" t="s">
        <v>13</v>
      </c>
      <c r="D187" s="1">
        <v>65</v>
      </c>
    </row>
    <row r="188" spans="1:4" x14ac:dyDescent="0.25">
      <c r="A188" s="1">
        <v>11</v>
      </c>
      <c r="B188" s="2">
        <v>41220</v>
      </c>
      <c r="C188" s="4" t="s">
        <v>11</v>
      </c>
      <c r="D188" s="1">
        <v>845</v>
      </c>
    </row>
    <row r="189" spans="1:4" x14ac:dyDescent="0.25">
      <c r="A189" s="1">
        <v>11</v>
      </c>
      <c r="B189" s="2">
        <v>41248</v>
      </c>
      <c r="C189" s="4" t="s">
        <v>11</v>
      </c>
      <c r="D189" s="1">
        <v>326</v>
      </c>
    </row>
    <row r="190" spans="1:4" x14ac:dyDescent="0.25">
      <c r="A190" s="1">
        <v>11</v>
      </c>
      <c r="B190" s="2">
        <v>41220</v>
      </c>
      <c r="C190" s="4" t="s">
        <v>12</v>
      </c>
      <c r="D190" s="1">
        <v>8.8000000000000007</v>
      </c>
    </row>
    <row r="191" spans="1:4" x14ac:dyDescent="0.25">
      <c r="A191" s="1">
        <v>11</v>
      </c>
      <c r="B191" s="2">
        <v>41233</v>
      </c>
      <c r="C191" s="4" t="s">
        <v>12</v>
      </c>
      <c r="D191" s="1">
        <v>8.1999999999999993</v>
      </c>
    </row>
    <row r="192" spans="1:4" x14ac:dyDescent="0.25">
      <c r="A192" s="1">
        <v>11</v>
      </c>
      <c r="B192" s="2">
        <v>41248</v>
      </c>
      <c r="C192" s="4" t="s">
        <v>12</v>
      </c>
      <c r="D192" s="1">
        <v>9.6</v>
      </c>
    </row>
    <row r="193" spans="1:4" x14ac:dyDescent="0.25">
      <c r="A193" s="1">
        <v>11</v>
      </c>
      <c r="B193" s="2">
        <v>41220</v>
      </c>
      <c r="C193" s="4" t="s">
        <v>13</v>
      </c>
      <c r="D193" s="1">
        <v>38</v>
      </c>
    </row>
    <row r="194" spans="1:4" x14ac:dyDescent="0.25">
      <c r="A194" s="1">
        <v>11</v>
      </c>
      <c r="B194" s="2">
        <v>41248</v>
      </c>
      <c r="C194" s="4" t="s">
        <v>13</v>
      </c>
      <c r="D194" s="1">
        <v>27</v>
      </c>
    </row>
    <row r="195" spans="1:4" x14ac:dyDescent="0.25">
      <c r="A195" s="1">
        <v>12</v>
      </c>
      <c r="B195" s="2">
        <v>41094</v>
      </c>
      <c r="C195" s="4" t="s">
        <v>11</v>
      </c>
      <c r="D195" s="1">
        <v>654</v>
      </c>
    </row>
    <row r="196" spans="1:4" x14ac:dyDescent="0.25">
      <c r="A196" s="1">
        <v>12</v>
      </c>
      <c r="B196" s="2">
        <v>41123</v>
      </c>
      <c r="C196" s="4" t="s">
        <v>11</v>
      </c>
      <c r="D196" s="1">
        <v>586</v>
      </c>
    </row>
    <row r="197" spans="1:4" x14ac:dyDescent="0.25">
      <c r="A197" s="1">
        <v>12</v>
      </c>
      <c r="B197" s="2">
        <v>41157</v>
      </c>
      <c r="C197" s="4" t="s">
        <v>11</v>
      </c>
      <c r="D197" s="1">
        <v>673</v>
      </c>
    </row>
    <row r="198" spans="1:4" x14ac:dyDescent="0.25">
      <c r="A198" s="1">
        <v>12</v>
      </c>
      <c r="B198" s="2">
        <v>41185</v>
      </c>
      <c r="C198" s="4" t="s">
        <v>11</v>
      </c>
      <c r="D198" s="1">
        <v>512</v>
      </c>
    </row>
    <row r="199" spans="1:4" x14ac:dyDescent="0.25">
      <c r="A199" s="1">
        <v>12</v>
      </c>
      <c r="B199" s="2">
        <v>41094</v>
      </c>
      <c r="C199" s="4" t="s">
        <v>12</v>
      </c>
      <c r="D199" s="1">
        <v>10.199999999999999</v>
      </c>
    </row>
    <row r="200" spans="1:4" x14ac:dyDescent="0.25">
      <c r="A200" s="1">
        <v>12</v>
      </c>
      <c r="B200" s="2">
        <v>41110</v>
      </c>
      <c r="C200" s="4" t="s">
        <v>12</v>
      </c>
      <c r="D200" s="1">
        <v>9.6</v>
      </c>
    </row>
    <row r="201" spans="1:4" x14ac:dyDescent="0.25">
      <c r="A201" s="1">
        <v>12</v>
      </c>
      <c r="B201" s="2">
        <v>41123</v>
      </c>
      <c r="C201" s="4" t="s">
        <v>12</v>
      </c>
      <c r="D201" s="1">
        <v>9.4</v>
      </c>
    </row>
    <row r="202" spans="1:4" x14ac:dyDescent="0.25">
      <c r="A202" s="1">
        <v>12</v>
      </c>
      <c r="B202" s="2">
        <v>41150</v>
      </c>
      <c r="C202" s="4" t="s">
        <v>12</v>
      </c>
      <c r="D202" s="1">
        <v>8.6999999999999993</v>
      </c>
    </row>
    <row r="203" spans="1:4" x14ac:dyDescent="0.25">
      <c r="A203" s="1">
        <v>12</v>
      </c>
      <c r="B203" s="2">
        <v>41152</v>
      </c>
      <c r="C203" s="4" t="s">
        <v>12</v>
      </c>
      <c r="D203" s="1">
        <v>8.5</v>
      </c>
    </row>
    <row r="204" spans="1:4" x14ac:dyDescent="0.25">
      <c r="A204" s="1">
        <v>12</v>
      </c>
      <c r="B204" s="2">
        <v>41157</v>
      </c>
      <c r="C204" s="4" t="s">
        <v>12</v>
      </c>
      <c r="D204" s="1">
        <v>9.3000000000000007</v>
      </c>
    </row>
    <row r="205" spans="1:4" x14ac:dyDescent="0.25">
      <c r="A205" s="1">
        <v>12</v>
      </c>
      <c r="B205" s="2">
        <v>41171</v>
      </c>
      <c r="C205" s="4" t="s">
        <v>12</v>
      </c>
      <c r="D205" s="1">
        <v>10</v>
      </c>
    </row>
    <row r="206" spans="1:4" x14ac:dyDescent="0.25">
      <c r="A206" s="1">
        <v>12</v>
      </c>
      <c r="B206" s="2">
        <v>41185</v>
      </c>
      <c r="C206" s="4" t="s">
        <v>12</v>
      </c>
      <c r="D206" s="1">
        <v>10.4</v>
      </c>
    </row>
    <row r="207" spans="1:4" x14ac:dyDescent="0.25">
      <c r="A207" s="1">
        <v>12</v>
      </c>
      <c r="B207" s="2">
        <v>41199</v>
      </c>
      <c r="C207" s="4" t="s">
        <v>12</v>
      </c>
      <c r="D207" s="1">
        <v>9.6</v>
      </c>
    </row>
    <row r="208" spans="1:4" x14ac:dyDescent="0.25">
      <c r="A208" s="1">
        <v>12</v>
      </c>
      <c r="B208" s="2">
        <v>41094</v>
      </c>
      <c r="C208" s="4" t="s">
        <v>13</v>
      </c>
      <c r="D208" s="1">
        <v>16</v>
      </c>
    </row>
    <row r="209" spans="1:4" x14ac:dyDescent="0.25">
      <c r="A209" s="1">
        <v>12</v>
      </c>
      <c r="B209" s="2">
        <v>41123</v>
      </c>
      <c r="C209" s="4" t="s">
        <v>13</v>
      </c>
      <c r="D209" s="1">
        <v>19</v>
      </c>
    </row>
    <row r="210" spans="1:4" x14ac:dyDescent="0.25">
      <c r="A210" s="1">
        <v>12</v>
      </c>
      <c r="B210" s="2">
        <v>41157</v>
      </c>
      <c r="C210" s="4" t="s">
        <v>13</v>
      </c>
      <c r="D210" s="1">
        <v>21</v>
      </c>
    </row>
    <row r="211" spans="1:4" x14ac:dyDescent="0.25">
      <c r="A211" s="1">
        <v>12</v>
      </c>
      <c r="B211" s="2">
        <v>41185</v>
      </c>
      <c r="C211" s="4" t="s">
        <v>13</v>
      </c>
      <c r="D211" s="1">
        <v>19</v>
      </c>
    </row>
    <row r="212" spans="1:4" x14ac:dyDescent="0.25">
      <c r="A212" s="1" t="e">
        <v>#N/A</v>
      </c>
      <c r="B212" s="2">
        <v>41094</v>
      </c>
      <c r="C212" s="4" t="s">
        <v>11</v>
      </c>
      <c r="D212" s="1">
        <v>694</v>
      </c>
    </row>
    <row r="213" spans="1:4" x14ac:dyDescent="0.25">
      <c r="A213" s="1" t="e">
        <v>#N/A</v>
      </c>
      <c r="B213" s="2">
        <v>41122</v>
      </c>
      <c r="C213" s="4" t="s">
        <v>11</v>
      </c>
      <c r="D213" s="1">
        <v>955</v>
      </c>
    </row>
    <row r="214" spans="1:4" x14ac:dyDescent="0.25">
      <c r="A214" s="1" t="e">
        <v>#N/A</v>
      </c>
      <c r="B214" s="2">
        <v>41172</v>
      </c>
      <c r="C214" s="4" t="s">
        <v>11</v>
      </c>
      <c r="D214" s="1">
        <v>675</v>
      </c>
    </row>
    <row r="215" spans="1:4" x14ac:dyDescent="0.25">
      <c r="A215" s="1" t="e">
        <v>#N/A</v>
      </c>
      <c r="B215" s="2">
        <v>41185</v>
      </c>
      <c r="C215" s="4" t="s">
        <v>11</v>
      </c>
      <c r="D215" s="1">
        <v>1049</v>
      </c>
    </row>
    <row r="216" spans="1:4" x14ac:dyDescent="0.25">
      <c r="A216" s="1" t="e">
        <v>#N/A</v>
      </c>
      <c r="B216" s="2">
        <v>41220</v>
      </c>
      <c r="C216" s="4" t="s">
        <v>11</v>
      </c>
      <c r="D216" s="1">
        <v>626</v>
      </c>
    </row>
    <row r="217" spans="1:4" x14ac:dyDescent="0.25">
      <c r="A217" s="1" t="e">
        <v>#N/A</v>
      </c>
      <c r="B217" s="2">
        <v>41094</v>
      </c>
      <c r="C217" s="4" t="s">
        <v>12</v>
      </c>
      <c r="D217" s="1">
        <v>11.7</v>
      </c>
    </row>
    <row r="218" spans="1:4" x14ac:dyDescent="0.25">
      <c r="A218" s="1" t="e">
        <v>#N/A</v>
      </c>
      <c r="B218" s="2">
        <v>41101</v>
      </c>
      <c r="C218" s="4" t="s">
        <v>12</v>
      </c>
      <c r="D218" s="1">
        <v>12.1</v>
      </c>
    </row>
    <row r="219" spans="1:4" x14ac:dyDescent="0.25">
      <c r="A219" s="1" t="e">
        <v>#N/A</v>
      </c>
      <c r="B219" s="2">
        <v>41108</v>
      </c>
      <c r="C219" s="4" t="s">
        <v>12</v>
      </c>
      <c r="D219" s="1">
        <v>11.8</v>
      </c>
    </row>
    <row r="220" spans="1:4" x14ac:dyDescent="0.25">
      <c r="A220" s="1" t="e">
        <v>#N/A</v>
      </c>
      <c r="B220" s="2">
        <v>41115</v>
      </c>
      <c r="C220" s="4" t="s">
        <v>12</v>
      </c>
      <c r="D220" s="1">
        <v>12</v>
      </c>
    </row>
    <row r="221" spans="1:4" x14ac:dyDescent="0.25">
      <c r="A221" s="1" t="e">
        <v>#N/A</v>
      </c>
      <c r="B221" s="2">
        <v>41122</v>
      </c>
      <c r="C221" s="4" t="s">
        <v>12</v>
      </c>
      <c r="D221" s="1">
        <v>12.2</v>
      </c>
    </row>
    <row r="222" spans="1:4" x14ac:dyDescent="0.25">
      <c r="A222" s="1" t="e">
        <v>#N/A</v>
      </c>
      <c r="B222" s="2">
        <v>41129</v>
      </c>
      <c r="C222" s="4" t="s">
        <v>12</v>
      </c>
      <c r="D222" s="1">
        <v>12.7</v>
      </c>
    </row>
    <row r="223" spans="1:4" x14ac:dyDescent="0.25">
      <c r="A223" s="1" t="e">
        <v>#N/A</v>
      </c>
      <c r="B223" s="2">
        <v>41136</v>
      </c>
      <c r="C223" s="4" t="s">
        <v>12</v>
      </c>
      <c r="D223" s="1">
        <v>12</v>
      </c>
    </row>
    <row r="224" spans="1:4" x14ac:dyDescent="0.25">
      <c r="A224" s="1" t="e">
        <v>#N/A</v>
      </c>
      <c r="B224" s="2">
        <v>41143</v>
      </c>
      <c r="C224" s="4" t="s">
        <v>12</v>
      </c>
      <c r="D224" s="1">
        <v>12.2</v>
      </c>
    </row>
    <row r="225" spans="1:4" x14ac:dyDescent="0.25">
      <c r="A225" s="1" t="e">
        <v>#N/A</v>
      </c>
      <c r="B225" s="2">
        <v>41173</v>
      </c>
      <c r="C225" s="4" t="s">
        <v>12</v>
      </c>
      <c r="D225" s="1">
        <v>12.2</v>
      </c>
    </row>
    <row r="226" spans="1:4" x14ac:dyDescent="0.25">
      <c r="A226" s="1" t="e">
        <v>#N/A</v>
      </c>
      <c r="B226" s="2">
        <v>41185</v>
      </c>
      <c r="C226" s="4" t="s">
        <v>12</v>
      </c>
      <c r="D226" s="1">
        <v>12.8</v>
      </c>
    </row>
    <row r="227" spans="1:4" x14ac:dyDescent="0.25">
      <c r="A227" s="1" t="e">
        <v>#N/A</v>
      </c>
      <c r="B227" s="2">
        <v>41199</v>
      </c>
      <c r="C227" s="4" t="s">
        <v>12</v>
      </c>
      <c r="D227" s="1">
        <v>13.3</v>
      </c>
    </row>
    <row r="228" spans="1:4" x14ac:dyDescent="0.25">
      <c r="A228" s="1" t="e">
        <v>#N/A</v>
      </c>
      <c r="B228" s="2">
        <v>41204</v>
      </c>
      <c r="C228" s="4" t="s">
        <v>12</v>
      </c>
      <c r="D228" s="1">
        <v>14.1</v>
      </c>
    </row>
    <row r="229" spans="1:4" x14ac:dyDescent="0.25">
      <c r="A229" s="1" t="e">
        <v>#N/A</v>
      </c>
      <c r="B229" s="2">
        <v>41220</v>
      </c>
      <c r="C229" s="4" t="s">
        <v>12</v>
      </c>
      <c r="D229" s="1">
        <v>12.4</v>
      </c>
    </row>
    <row r="230" spans="1:4" x14ac:dyDescent="0.25">
      <c r="A230" s="1" t="e">
        <v>#N/A</v>
      </c>
      <c r="B230" s="2">
        <v>41233</v>
      </c>
      <c r="C230" s="4" t="s">
        <v>12</v>
      </c>
      <c r="D230" s="1">
        <v>12.9</v>
      </c>
    </row>
    <row r="231" spans="1:4" x14ac:dyDescent="0.25">
      <c r="A231" s="1" t="e">
        <v>#N/A</v>
      </c>
      <c r="B231" s="2">
        <v>41234</v>
      </c>
      <c r="C231" s="4" t="s">
        <v>12</v>
      </c>
      <c r="D231" s="1">
        <v>11.6</v>
      </c>
    </row>
    <row r="232" spans="1:4" x14ac:dyDescent="0.25">
      <c r="A232" s="1" t="e">
        <v>#N/A</v>
      </c>
      <c r="B232" s="2">
        <v>41094</v>
      </c>
      <c r="C232" s="4" t="s">
        <v>13</v>
      </c>
      <c r="D232" s="1">
        <v>22</v>
      </c>
    </row>
    <row r="233" spans="1:4" x14ac:dyDescent="0.25">
      <c r="A233" s="1" t="e">
        <v>#N/A</v>
      </c>
      <c r="B233" s="2">
        <v>41122</v>
      </c>
      <c r="C233" s="4" t="s">
        <v>13</v>
      </c>
      <c r="D233" s="1">
        <v>22</v>
      </c>
    </row>
    <row r="234" spans="1:4" x14ac:dyDescent="0.25">
      <c r="A234" s="1" t="e">
        <v>#N/A</v>
      </c>
      <c r="B234" s="2">
        <v>41172</v>
      </c>
      <c r="C234" s="4" t="s">
        <v>13</v>
      </c>
      <c r="D234" s="1">
        <v>33</v>
      </c>
    </row>
    <row r="235" spans="1:4" x14ac:dyDescent="0.25">
      <c r="A235" s="1" t="e">
        <v>#N/A</v>
      </c>
      <c r="B235" s="2">
        <v>41185</v>
      </c>
      <c r="C235" s="4" t="s">
        <v>13</v>
      </c>
      <c r="D235" s="1">
        <v>25</v>
      </c>
    </row>
    <row r="236" spans="1:4" x14ac:dyDescent="0.25">
      <c r="A236" s="1" t="e">
        <v>#N/A</v>
      </c>
      <c r="B236" s="2">
        <v>41220</v>
      </c>
      <c r="C236" s="4" t="s">
        <v>13</v>
      </c>
      <c r="D236" s="1">
        <v>27</v>
      </c>
    </row>
    <row r="237" spans="1:4" x14ac:dyDescent="0.25">
      <c r="A237" s="1">
        <v>14</v>
      </c>
      <c r="B237" s="2">
        <v>41094</v>
      </c>
      <c r="C237" s="4" t="s">
        <v>11</v>
      </c>
      <c r="D237" s="1">
        <v>696</v>
      </c>
    </row>
    <row r="238" spans="1:4" x14ac:dyDescent="0.25">
      <c r="A238" s="1">
        <v>14</v>
      </c>
      <c r="B238" s="2">
        <v>41122</v>
      </c>
      <c r="C238" s="4" t="s">
        <v>11</v>
      </c>
      <c r="D238" s="1">
        <v>1284</v>
      </c>
    </row>
    <row r="239" spans="1:4" x14ac:dyDescent="0.25">
      <c r="A239" s="1">
        <v>14</v>
      </c>
      <c r="B239" s="2">
        <v>41157</v>
      </c>
      <c r="C239" s="4" t="s">
        <v>11</v>
      </c>
      <c r="D239" s="1">
        <v>1462</v>
      </c>
    </row>
    <row r="240" spans="1:4" x14ac:dyDescent="0.25">
      <c r="A240" s="1">
        <v>14</v>
      </c>
      <c r="B240" s="2">
        <v>41094</v>
      </c>
      <c r="C240" s="4" t="s">
        <v>12</v>
      </c>
      <c r="D240" s="1">
        <v>10.8</v>
      </c>
    </row>
    <row r="241" spans="1:4" x14ac:dyDescent="0.25">
      <c r="A241" s="1">
        <v>14</v>
      </c>
      <c r="B241" s="2">
        <v>41108</v>
      </c>
      <c r="C241" s="4" t="s">
        <v>12</v>
      </c>
      <c r="D241" s="1">
        <v>11.2</v>
      </c>
    </row>
    <row r="242" spans="1:4" x14ac:dyDescent="0.25">
      <c r="A242" s="1">
        <v>14</v>
      </c>
      <c r="B242" s="2">
        <v>41122</v>
      </c>
      <c r="C242" s="4" t="s">
        <v>12</v>
      </c>
      <c r="D242" s="1">
        <v>11</v>
      </c>
    </row>
    <row r="243" spans="1:4" x14ac:dyDescent="0.25">
      <c r="A243" s="1">
        <v>14</v>
      </c>
      <c r="B243" s="2">
        <v>41136</v>
      </c>
      <c r="C243" s="4" t="s">
        <v>12</v>
      </c>
      <c r="D243" s="1">
        <v>11.1</v>
      </c>
    </row>
    <row r="244" spans="1:4" x14ac:dyDescent="0.25">
      <c r="A244" s="1">
        <v>14</v>
      </c>
      <c r="B244" s="2">
        <v>41157</v>
      </c>
      <c r="C244" s="4" t="s">
        <v>12</v>
      </c>
      <c r="D244" s="1">
        <v>11.9</v>
      </c>
    </row>
    <row r="245" spans="1:4" x14ac:dyDescent="0.25">
      <c r="A245" s="1">
        <v>14</v>
      </c>
      <c r="B245" s="2">
        <v>41171</v>
      </c>
      <c r="C245" s="4" t="s">
        <v>12</v>
      </c>
      <c r="D245" s="1">
        <v>11.1</v>
      </c>
    </row>
    <row r="246" spans="1:4" x14ac:dyDescent="0.25">
      <c r="A246" s="1">
        <v>14</v>
      </c>
      <c r="B246" s="2">
        <v>41094</v>
      </c>
      <c r="C246" s="4" t="s">
        <v>13</v>
      </c>
      <c r="D246" s="1">
        <v>19</v>
      </c>
    </row>
    <row r="247" spans="1:4" x14ac:dyDescent="0.25">
      <c r="A247" s="1">
        <v>14</v>
      </c>
      <c r="B247" s="2">
        <v>41122</v>
      </c>
      <c r="C247" s="4" t="s">
        <v>13</v>
      </c>
      <c r="D247" s="1">
        <v>14</v>
      </c>
    </row>
    <row r="248" spans="1:4" x14ac:dyDescent="0.25">
      <c r="A248" s="1">
        <v>14</v>
      </c>
      <c r="B248" s="2">
        <v>41157</v>
      </c>
      <c r="C248" s="4" t="s">
        <v>13</v>
      </c>
      <c r="D248" s="1">
        <v>34</v>
      </c>
    </row>
    <row r="249" spans="1:4" x14ac:dyDescent="0.25">
      <c r="A249" s="1">
        <v>15</v>
      </c>
      <c r="B249" s="2">
        <v>41094</v>
      </c>
      <c r="C249" s="4" t="s">
        <v>11</v>
      </c>
      <c r="D249" s="1">
        <v>984</v>
      </c>
    </row>
    <row r="250" spans="1:4" x14ac:dyDescent="0.25">
      <c r="A250" s="1">
        <v>15</v>
      </c>
      <c r="B250" s="2">
        <v>41122</v>
      </c>
      <c r="C250" s="4" t="s">
        <v>11</v>
      </c>
      <c r="D250" s="1">
        <v>949</v>
      </c>
    </row>
    <row r="251" spans="1:4" x14ac:dyDescent="0.25">
      <c r="A251" s="1">
        <v>15</v>
      </c>
      <c r="B251" s="2">
        <v>41157</v>
      </c>
      <c r="C251" s="4" t="s">
        <v>11</v>
      </c>
      <c r="D251" s="1">
        <v>728</v>
      </c>
    </row>
    <row r="252" spans="1:4" x14ac:dyDescent="0.25">
      <c r="A252" s="1">
        <v>15</v>
      </c>
      <c r="B252" s="2">
        <v>41185</v>
      </c>
      <c r="C252" s="4" t="s">
        <v>11</v>
      </c>
      <c r="D252" s="1">
        <v>721</v>
      </c>
    </row>
    <row r="253" spans="1:4" x14ac:dyDescent="0.25">
      <c r="A253" s="1">
        <v>15</v>
      </c>
      <c r="B253" s="2">
        <v>41220</v>
      </c>
      <c r="C253" s="4" t="s">
        <v>11</v>
      </c>
      <c r="D253" s="1">
        <v>742</v>
      </c>
    </row>
    <row r="254" spans="1:4" x14ac:dyDescent="0.25">
      <c r="A254" s="1">
        <v>15</v>
      </c>
      <c r="B254" s="2">
        <v>41248</v>
      </c>
      <c r="C254" s="4" t="s">
        <v>11</v>
      </c>
      <c r="D254" s="1">
        <v>673</v>
      </c>
    </row>
    <row r="255" spans="1:4" x14ac:dyDescent="0.25">
      <c r="A255" s="1">
        <v>15</v>
      </c>
      <c r="B255" s="2">
        <v>41094</v>
      </c>
      <c r="C255" s="4" t="s">
        <v>12</v>
      </c>
      <c r="D255" s="1">
        <v>11.2</v>
      </c>
    </row>
    <row r="256" spans="1:4" x14ac:dyDescent="0.25">
      <c r="A256" s="1">
        <v>15</v>
      </c>
      <c r="B256" s="2">
        <v>41108</v>
      </c>
      <c r="C256" s="4" t="s">
        <v>12</v>
      </c>
      <c r="D256" s="1">
        <v>11.5</v>
      </c>
    </row>
    <row r="257" spans="1:4" x14ac:dyDescent="0.25">
      <c r="A257" s="1">
        <v>15</v>
      </c>
      <c r="B257" s="2">
        <v>41122</v>
      </c>
      <c r="C257" s="4" t="s">
        <v>12</v>
      </c>
      <c r="D257" s="1">
        <v>11.9</v>
      </c>
    </row>
    <row r="258" spans="1:4" x14ac:dyDescent="0.25">
      <c r="A258" s="1">
        <v>15</v>
      </c>
      <c r="B258" s="2">
        <v>41129</v>
      </c>
      <c r="C258" s="4" t="s">
        <v>12</v>
      </c>
      <c r="D258" s="1">
        <v>11.9</v>
      </c>
    </row>
    <row r="259" spans="1:4" x14ac:dyDescent="0.25">
      <c r="A259" s="1">
        <v>15</v>
      </c>
      <c r="B259" s="2">
        <v>41136</v>
      </c>
      <c r="C259" s="4" t="s">
        <v>12</v>
      </c>
      <c r="D259" s="1">
        <v>11.7</v>
      </c>
    </row>
    <row r="260" spans="1:4" x14ac:dyDescent="0.25">
      <c r="A260" s="1">
        <v>15</v>
      </c>
      <c r="B260" s="2">
        <v>41143</v>
      </c>
      <c r="C260" s="4" t="s">
        <v>12</v>
      </c>
      <c r="D260" s="1">
        <v>11.4</v>
      </c>
    </row>
    <row r="261" spans="1:4" x14ac:dyDescent="0.25">
      <c r="A261" s="1">
        <v>15</v>
      </c>
      <c r="B261" s="2">
        <v>41157</v>
      </c>
      <c r="C261" s="4" t="s">
        <v>12</v>
      </c>
      <c r="D261" s="1">
        <v>10.8</v>
      </c>
    </row>
    <row r="262" spans="1:4" x14ac:dyDescent="0.25">
      <c r="A262" s="1">
        <v>15</v>
      </c>
      <c r="B262" s="2">
        <v>41171</v>
      </c>
      <c r="C262" s="4" t="s">
        <v>12</v>
      </c>
      <c r="D262" s="1">
        <v>11.5</v>
      </c>
    </row>
    <row r="263" spans="1:4" x14ac:dyDescent="0.25">
      <c r="A263" s="1">
        <v>15</v>
      </c>
      <c r="B263" s="2">
        <v>41185</v>
      </c>
      <c r="C263" s="4" t="s">
        <v>12</v>
      </c>
      <c r="D263" s="1">
        <v>11.6</v>
      </c>
    </row>
    <row r="264" spans="1:4" x14ac:dyDescent="0.25">
      <c r="A264" s="1">
        <v>15</v>
      </c>
      <c r="B264" s="2">
        <v>41199</v>
      </c>
      <c r="C264" s="4" t="s">
        <v>12</v>
      </c>
      <c r="D264" s="1">
        <v>11.8</v>
      </c>
    </row>
    <row r="265" spans="1:4" x14ac:dyDescent="0.25">
      <c r="A265" s="1">
        <v>15</v>
      </c>
      <c r="B265" s="2">
        <v>41220</v>
      </c>
      <c r="C265" s="4" t="s">
        <v>12</v>
      </c>
      <c r="D265" s="1">
        <v>11.1</v>
      </c>
    </row>
    <row r="266" spans="1:4" x14ac:dyDescent="0.25">
      <c r="A266" s="1">
        <v>15</v>
      </c>
      <c r="B266" s="2">
        <v>41233</v>
      </c>
      <c r="C266" s="4" t="s">
        <v>12</v>
      </c>
      <c r="D266" s="1">
        <v>11.7</v>
      </c>
    </row>
    <row r="267" spans="1:4" x14ac:dyDescent="0.25">
      <c r="A267" s="1">
        <v>15</v>
      </c>
      <c r="B267" s="2">
        <v>41248</v>
      </c>
      <c r="C267" s="4" t="s">
        <v>12</v>
      </c>
      <c r="D267" s="1">
        <v>11.9</v>
      </c>
    </row>
    <row r="268" spans="1:4" x14ac:dyDescent="0.25">
      <c r="A268" s="1">
        <v>15</v>
      </c>
      <c r="B268" s="2">
        <v>41094</v>
      </c>
      <c r="C268" s="4" t="s">
        <v>13</v>
      </c>
      <c r="D268" s="1">
        <v>32</v>
      </c>
    </row>
    <row r="269" spans="1:4" x14ac:dyDescent="0.25">
      <c r="A269" s="1">
        <v>15</v>
      </c>
      <c r="B269" s="2">
        <v>41122</v>
      </c>
      <c r="C269" s="4" t="s">
        <v>13</v>
      </c>
      <c r="D269" s="1">
        <v>32</v>
      </c>
    </row>
    <row r="270" spans="1:4" x14ac:dyDescent="0.25">
      <c r="A270" s="1">
        <v>15</v>
      </c>
      <c r="B270" s="2">
        <v>41157</v>
      </c>
      <c r="C270" s="4" t="s">
        <v>13</v>
      </c>
      <c r="D270" s="1">
        <v>22</v>
      </c>
    </row>
    <row r="271" spans="1:4" x14ac:dyDescent="0.25">
      <c r="A271" s="1">
        <v>15</v>
      </c>
      <c r="B271" s="2">
        <v>41185</v>
      </c>
      <c r="C271" s="4" t="s">
        <v>13</v>
      </c>
      <c r="D271" s="1">
        <v>31</v>
      </c>
    </row>
    <row r="272" spans="1:4" x14ac:dyDescent="0.25">
      <c r="A272" s="1">
        <v>15</v>
      </c>
      <c r="B272" s="2">
        <v>41220</v>
      </c>
      <c r="C272" s="4" t="s">
        <v>13</v>
      </c>
      <c r="D272" s="1">
        <v>24</v>
      </c>
    </row>
    <row r="273" spans="1:4" x14ac:dyDescent="0.25">
      <c r="A273" s="1">
        <v>15</v>
      </c>
      <c r="B273" s="2">
        <v>41248</v>
      </c>
      <c r="C273" s="4" t="s">
        <v>13</v>
      </c>
      <c r="D273" s="1">
        <v>29</v>
      </c>
    </row>
    <row r="274" spans="1:4" x14ac:dyDescent="0.25">
      <c r="A274" s="1" t="e">
        <v>#N/A</v>
      </c>
      <c r="B274" s="2">
        <v>41134</v>
      </c>
      <c r="C274" s="4" t="s">
        <v>11</v>
      </c>
      <c r="D274" s="1">
        <v>1091</v>
      </c>
    </row>
    <row r="275" spans="1:4" x14ac:dyDescent="0.25">
      <c r="A275" s="1" t="e">
        <v>#N/A</v>
      </c>
      <c r="B275" s="2">
        <v>41134</v>
      </c>
      <c r="C275" s="4" t="s">
        <v>12</v>
      </c>
      <c r="D275" s="1">
        <v>10</v>
      </c>
    </row>
    <row r="276" spans="1:4" x14ac:dyDescent="0.25">
      <c r="A276" s="1" t="e">
        <v>#N/A</v>
      </c>
      <c r="B276" s="2">
        <v>41135</v>
      </c>
      <c r="C276" s="4" t="s">
        <v>12</v>
      </c>
      <c r="D276" s="1">
        <v>9.6</v>
      </c>
    </row>
    <row r="277" spans="1:4" x14ac:dyDescent="0.25">
      <c r="A277" s="1" t="e">
        <v>#N/A</v>
      </c>
      <c r="B277" s="2">
        <v>41137</v>
      </c>
      <c r="C277" s="4" t="s">
        <v>12</v>
      </c>
      <c r="D277" s="1">
        <v>9.5</v>
      </c>
    </row>
    <row r="278" spans="1:4" x14ac:dyDescent="0.25">
      <c r="A278" s="1" t="e">
        <v>#N/A</v>
      </c>
      <c r="B278" s="2">
        <v>41134</v>
      </c>
      <c r="C278" s="4" t="s">
        <v>13</v>
      </c>
      <c r="D278" s="1">
        <v>16</v>
      </c>
    </row>
    <row r="279" spans="1:4" x14ac:dyDescent="0.25">
      <c r="A279" s="1">
        <v>16</v>
      </c>
      <c r="B279" s="2">
        <v>41095</v>
      </c>
      <c r="C279" s="4" t="s">
        <v>11</v>
      </c>
      <c r="D279" s="1">
        <v>437</v>
      </c>
    </row>
    <row r="280" spans="1:4" x14ac:dyDescent="0.25">
      <c r="A280" s="1">
        <v>16</v>
      </c>
      <c r="B280" s="2">
        <v>41123</v>
      </c>
      <c r="C280" s="4" t="s">
        <v>11</v>
      </c>
      <c r="D280" s="1">
        <v>510</v>
      </c>
    </row>
    <row r="281" spans="1:4" x14ac:dyDescent="0.25">
      <c r="A281" s="1">
        <v>16</v>
      </c>
      <c r="B281" s="2">
        <v>41156</v>
      </c>
      <c r="C281" s="4" t="s">
        <v>11</v>
      </c>
      <c r="D281" s="1">
        <v>339</v>
      </c>
    </row>
    <row r="282" spans="1:4" x14ac:dyDescent="0.25">
      <c r="A282" s="1">
        <v>16</v>
      </c>
      <c r="B282" s="2">
        <v>41186</v>
      </c>
      <c r="C282" s="4" t="s">
        <v>11</v>
      </c>
      <c r="D282" s="1">
        <v>684</v>
      </c>
    </row>
    <row r="283" spans="1:4" x14ac:dyDescent="0.25">
      <c r="A283" s="1">
        <v>16</v>
      </c>
      <c r="B283" s="2">
        <v>41221</v>
      </c>
      <c r="C283" s="4" t="s">
        <v>11</v>
      </c>
      <c r="D283" s="1">
        <v>892</v>
      </c>
    </row>
    <row r="284" spans="1:4" x14ac:dyDescent="0.25">
      <c r="A284" s="1">
        <v>16</v>
      </c>
      <c r="B284" s="2">
        <v>41095</v>
      </c>
      <c r="C284" s="4" t="s">
        <v>12</v>
      </c>
      <c r="D284" s="1">
        <v>10.4</v>
      </c>
    </row>
    <row r="285" spans="1:4" x14ac:dyDescent="0.25">
      <c r="A285" s="1">
        <v>16</v>
      </c>
      <c r="B285" s="2">
        <v>41109</v>
      </c>
      <c r="C285" s="4" t="s">
        <v>12</v>
      </c>
      <c r="D285" s="1">
        <v>11.4</v>
      </c>
    </row>
    <row r="286" spans="1:4" x14ac:dyDescent="0.25">
      <c r="A286" s="1">
        <v>16</v>
      </c>
      <c r="B286" s="2">
        <v>41123</v>
      </c>
      <c r="C286" s="4" t="s">
        <v>12</v>
      </c>
      <c r="D286" s="1">
        <v>10.1</v>
      </c>
    </row>
    <row r="287" spans="1:4" x14ac:dyDescent="0.25">
      <c r="A287" s="1">
        <v>16</v>
      </c>
      <c r="B287" s="2">
        <v>41137</v>
      </c>
      <c r="C287" s="4" t="s">
        <v>12</v>
      </c>
      <c r="D287" s="1">
        <v>9.9</v>
      </c>
    </row>
    <row r="288" spans="1:4" x14ac:dyDescent="0.25">
      <c r="A288" s="1">
        <v>16</v>
      </c>
      <c r="B288" s="2">
        <v>41158</v>
      </c>
      <c r="C288" s="4" t="s">
        <v>12</v>
      </c>
      <c r="D288" s="1">
        <v>11</v>
      </c>
    </row>
    <row r="289" spans="1:4" x14ac:dyDescent="0.25">
      <c r="A289" s="1">
        <v>16</v>
      </c>
      <c r="B289" s="2">
        <v>41172</v>
      </c>
      <c r="C289" s="4" t="s">
        <v>12</v>
      </c>
      <c r="D289" s="1">
        <v>10.3</v>
      </c>
    </row>
    <row r="290" spans="1:4" x14ac:dyDescent="0.25">
      <c r="A290" s="1">
        <v>16</v>
      </c>
      <c r="B290" s="2">
        <v>41186</v>
      </c>
      <c r="C290" s="4" t="s">
        <v>12</v>
      </c>
      <c r="D290" s="1">
        <v>11.8</v>
      </c>
    </row>
    <row r="291" spans="1:4" x14ac:dyDescent="0.25">
      <c r="A291" s="1">
        <v>16</v>
      </c>
      <c r="B291" s="2">
        <v>41200</v>
      </c>
      <c r="C291" s="4" t="s">
        <v>12</v>
      </c>
      <c r="D291" s="1">
        <v>11.4</v>
      </c>
    </row>
    <row r="292" spans="1:4" x14ac:dyDescent="0.25">
      <c r="A292" s="1">
        <v>16</v>
      </c>
      <c r="B292" s="2">
        <v>41221</v>
      </c>
      <c r="C292" s="4" t="s">
        <v>12</v>
      </c>
      <c r="D292" s="1">
        <v>9.9</v>
      </c>
    </row>
    <row r="293" spans="1:4" x14ac:dyDescent="0.25">
      <c r="A293" s="1">
        <v>16</v>
      </c>
      <c r="B293" s="2">
        <v>41232</v>
      </c>
      <c r="C293" s="4" t="s">
        <v>12</v>
      </c>
      <c r="D293" s="1">
        <v>9.6999999999999993</v>
      </c>
    </row>
    <row r="294" spans="1:4" x14ac:dyDescent="0.25">
      <c r="A294" s="1">
        <v>16</v>
      </c>
      <c r="B294" s="2">
        <v>41095</v>
      </c>
      <c r="C294" s="4" t="s">
        <v>13</v>
      </c>
      <c r="D294" s="1">
        <v>18</v>
      </c>
    </row>
    <row r="295" spans="1:4" x14ac:dyDescent="0.25">
      <c r="A295" s="1">
        <v>16</v>
      </c>
      <c r="B295" s="2">
        <v>41123</v>
      </c>
      <c r="C295" s="4" t="s">
        <v>13</v>
      </c>
      <c r="D295" s="1">
        <v>20</v>
      </c>
    </row>
    <row r="296" spans="1:4" x14ac:dyDescent="0.25">
      <c r="A296" s="1">
        <v>16</v>
      </c>
      <c r="B296" s="2">
        <v>41156</v>
      </c>
      <c r="C296" s="4" t="s">
        <v>13</v>
      </c>
      <c r="D296" s="1">
        <v>15</v>
      </c>
    </row>
    <row r="297" spans="1:4" x14ac:dyDescent="0.25">
      <c r="A297" s="1">
        <v>16</v>
      </c>
      <c r="B297" s="2">
        <v>41186</v>
      </c>
      <c r="C297" s="4" t="s">
        <v>13</v>
      </c>
      <c r="D297" s="1">
        <v>29</v>
      </c>
    </row>
    <row r="298" spans="1:4" x14ac:dyDescent="0.25">
      <c r="A298" s="1">
        <v>16</v>
      </c>
      <c r="B298" s="2">
        <v>41221</v>
      </c>
      <c r="C298" s="4" t="s">
        <v>13</v>
      </c>
      <c r="D298" s="1">
        <v>51</v>
      </c>
    </row>
    <row r="299" spans="1:4" x14ac:dyDescent="0.25">
      <c r="A299" s="1">
        <v>17</v>
      </c>
      <c r="B299" s="2">
        <v>41095</v>
      </c>
      <c r="C299" s="4" t="s">
        <v>11</v>
      </c>
      <c r="D299" s="1">
        <v>1291</v>
      </c>
    </row>
    <row r="300" spans="1:4" x14ac:dyDescent="0.25">
      <c r="A300" s="1">
        <v>17</v>
      </c>
      <c r="B300" s="2">
        <v>41123</v>
      </c>
      <c r="C300" s="4" t="s">
        <v>11</v>
      </c>
      <c r="D300" s="1">
        <v>1430</v>
      </c>
    </row>
    <row r="301" spans="1:4" x14ac:dyDescent="0.25">
      <c r="A301" s="1">
        <v>17</v>
      </c>
      <c r="B301" s="2">
        <v>41156</v>
      </c>
      <c r="C301" s="4" t="s">
        <v>11</v>
      </c>
      <c r="D301" s="1">
        <v>1169</v>
      </c>
    </row>
    <row r="302" spans="1:4" x14ac:dyDescent="0.25">
      <c r="A302" s="1">
        <v>17</v>
      </c>
      <c r="B302" s="2">
        <v>41186</v>
      </c>
      <c r="C302" s="4" t="s">
        <v>11</v>
      </c>
      <c r="D302" s="1">
        <v>935</v>
      </c>
    </row>
    <row r="303" spans="1:4" x14ac:dyDescent="0.25">
      <c r="A303" s="1">
        <v>17</v>
      </c>
      <c r="B303" s="2">
        <v>41221</v>
      </c>
      <c r="C303" s="4" t="s">
        <v>11</v>
      </c>
      <c r="D303" s="1">
        <v>1000</v>
      </c>
    </row>
    <row r="304" spans="1:4" x14ac:dyDescent="0.25">
      <c r="A304" s="1">
        <v>17</v>
      </c>
      <c r="B304" s="2">
        <v>41095</v>
      </c>
      <c r="C304" s="4" t="s">
        <v>12</v>
      </c>
      <c r="D304" s="1">
        <v>9.5</v>
      </c>
    </row>
    <row r="305" spans="1:4" x14ac:dyDescent="0.25">
      <c r="A305" s="1">
        <v>17</v>
      </c>
      <c r="B305" s="2">
        <v>41123</v>
      </c>
      <c r="C305" s="4" t="s">
        <v>12</v>
      </c>
      <c r="D305" s="1">
        <v>11.1</v>
      </c>
    </row>
    <row r="306" spans="1:4" x14ac:dyDescent="0.25">
      <c r="A306" s="1">
        <v>17</v>
      </c>
      <c r="B306" s="2">
        <v>41125</v>
      </c>
      <c r="C306" s="4" t="s">
        <v>12</v>
      </c>
      <c r="D306" s="1">
        <v>12.3</v>
      </c>
    </row>
    <row r="307" spans="1:4" x14ac:dyDescent="0.25">
      <c r="A307" s="1">
        <v>17</v>
      </c>
      <c r="B307" s="2">
        <v>41135</v>
      </c>
      <c r="C307" s="4" t="s">
        <v>12</v>
      </c>
      <c r="D307" s="1">
        <v>12.2</v>
      </c>
    </row>
    <row r="308" spans="1:4" x14ac:dyDescent="0.25">
      <c r="A308" s="1">
        <v>17</v>
      </c>
      <c r="B308" s="2">
        <v>41137</v>
      </c>
      <c r="C308" s="4" t="s">
        <v>12</v>
      </c>
      <c r="D308" s="1">
        <v>11.6</v>
      </c>
    </row>
    <row r="309" spans="1:4" x14ac:dyDescent="0.25">
      <c r="A309" s="1">
        <v>17</v>
      </c>
      <c r="B309" s="2">
        <v>41144</v>
      </c>
      <c r="C309" s="4" t="s">
        <v>12</v>
      </c>
      <c r="D309" s="1">
        <v>11.2</v>
      </c>
    </row>
    <row r="310" spans="1:4" x14ac:dyDescent="0.25">
      <c r="A310" s="1">
        <v>17</v>
      </c>
      <c r="B310" s="2">
        <v>41149</v>
      </c>
      <c r="C310" s="4" t="s">
        <v>12</v>
      </c>
      <c r="D310" s="1">
        <v>11.1</v>
      </c>
    </row>
    <row r="311" spans="1:4" x14ac:dyDescent="0.25">
      <c r="A311" s="1">
        <v>17</v>
      </c>
      <c r="B311" s="2">
        <v>41156</v>
      </c>
      <c r="C311" s="4" t="s">
        <v>12</v>
      </c>
      <c r="D311" s="1">
        <v>9.9</v>
      </c>
    </row>
    <row r="312" spans="1:4" x14ac:dyDescent="0.25">
      <c r="A312" s="1">
        <v>17</v>
      </c>
      <c r="B312" s="2">
        <v>41170</v>
      </c>
      <c r="C312" s="4" t="s">
        <v>12</v>
      </c>
      <c r="D312" s="1">
        <v>9.1</v>
      </c>
    </row>
    <row r="313" spans="1:4" x14ac:dyDescent="0.25">
      <c r="A313" s="1">
        <v>17</v>
      </c>
      <c r="B313" s="2">
        <v>41172</v>
      </c>
      <c r="C313" s="4" t="s">
        <v>12</v>
      </c>
      <c r="D313" s="1">
        <v>9.6</v>
      </c>
    </row>
    <row r="314" spans="1:4" x14ac:dyDescent="0.25">
      <c r="A314" s="1">
        <v>17</v>
      </c>
      <c r="B314" s="2">
        <v>41184</v>
      </c>
      <c r="C314" s="4" t="s">
        <v>12</v>
      </c>
      <c r="D314" s="1">
        <v>10.9</v>
      </c>
    </row>
    <row r="315" spans="1:4" x14ac:dyDescent="0.25">
      <c r="A315" s="1">
        <v>17</v>
      </c>
      <c r="B315" s="2">
        <v>41186</v>
      </c>
      <c r="C315" s="4" t="s">
        <v>12</v>
      </c>
      <c r="D315" s="1">
        <v>11</v>
      </c>
    </row>
    <row r="316" spans="1:4" x14ac:dyDescent="0.25">
      <c r="A316" s="1">
        <v>17</v>
      </c>
      <c r="B316" s="2">
        <v>41200</v>
      </c>
      <c r="C316" s="4" t="s">
        <v>12</v>
      </c>
      <c r="D316" s="1">
        <v>9.8000000000000007</v>
      </c>
    </row>
    <row r="317" spans="1:4" x14ac:dyDescent="0.25">
      <c r="A317" s="1">
        <v>17</v>
      </c>
      <c r="B317" s="2">
        <v>41212</v>
      </c>
      <c r="C317" s="4" t="s">
        <v>12</v>
      </c>
      <c r="D317" s="1">
        <v>9.3000000000000007</v>
      </c>
    </row>
    <row r="318" spans="1:4" x14ac:dyDescent="0.25">
      <c r="A318" s="1">
        <v>17</v>
      </c>
      <c r="B318" s="2">
        <v>41221</v>
      </c>
      <c r="C318" s="4" t="s">
        <v>12</v>
      </c>
      <c r="D318" s="1">
        <v>8.1999999999999993</v>
      </c>
    </row>
    <row r="319" spans="1:4" x14ac:dyDescent="0.25">
      <c r="A319" s="1">
        <v>17</v>
      </c>
      <c r="B319" s="2">
        <v>41226</v>
      </c>
      <c r="C319" s="4" t="s">
        <v>12</v>
      </c>
      <c r="D319" s="1">
        <v>7.9</v>
      </c>
    </row>
    <row r="320" spans="1:4" x14ac:dyDescent="0.25">
      <c r="A320" s="1">
        <v>17</v>
      </c>
      <c r="B320" s="2">
        <v>41232</v>
      </c>
      <c r="C320" s="4" t="s">
        <v>12</v>
      </c>
      <c r="D320" s="1">
        <v>11.3</v>
      </c>
    </row>
    <row r="321" spans="1:4" x14ac:dyDescent="0.25">
      <c r="A321" s="1">
        <v>17</v>
      </c>
      <c r="B321" s="2">
        <v>41242</v>
      </c>
      <c r="C321" s="4" t="s">
        <v>12</v>
      </c>
      <c r="D321" s="1">
        <v>13.4</v>
      </c>
    </row>
    <row r="322" spans="1:4" x14ac:dyDescent="0.25">
      <c r="A322" s="1">
        <v>17</v>
      </c>
      <c r="B322" s="2">
        <v>41095</v>
      </c>
      <c r="C322" s="4" t="s">
        <v>13</v>
      </c>
      <c r="D322" s="1">
        <v>7</v>
      </c>
    </row>
    <row r="323" spans="1:4" x14ac:dyDescent="0.25">
      <c r="A323" s="1">
        <v>17</v>
      </c>
      <c r="B323" s="2">
        <v>41123</v>
      </c>
      <c r="C323" s="4" t="s">
        <v>13</v>
      </c>
      <c r="D323" s="1">
        <v>28</v>
      </c>
    </row>
    <row r="324" spans="1:4" x14ac:dyDescent="0.25">
      <c r="A324" s="1">
        <v>17</v>
      </c>
      <c r="B324" s="2">
        <v>41156</v>
      </c>
      <c r="C324" s="4" t="s">
        <v>13</v>
      </c>
      <c r="D324" s="1">
        <v>19</v>
      </c>
    </row>
    <row r="325" spans="1:4" x14ac:dyDescent="0.25">
      <c r="A325" s="1">
        <v>17</v>
      </c>
      <c r="B325" s="2">
        <v>41186</v>
      </c>
      <c r="C325" s="4" t="s">
        <v>13</v>
      </c>
      <c r="D325" s="1">
        <v>36</v>
      </c>
    </row>
    <row r="326" spans="1:4" x14ac:dyDescent="0.25">
      <c r="A326" s="1">
        <v>17</v>
      </c>
      <c r="B326" s="2">
        <v>41221</v>
      </c>
      <c r="C326" s="4" t="s">
        <v>13</v>
      </c>
      <c r="D326" s="1">
        <v>38</v>
      </c>
    </row>
    <row r="327" spans="1:4" x14ac:dyDescent="0.25">
      <c r="A327" s="1">
        <v>18</v>
      </c>
      <c r="B327" s="2">
        <v>41094</v>
      </c>
      <c r="C327" s="4" t="s">
        <v>11</v>
      </c>
      <c r="D327" s="1">
        <v>723</v>
      </c>
    </row>
    <row r="328" spans="1:4" x14ac:dyDescent="0.25">
      <c r="A328" s="1">
        <v>18</v>
      </c>
      <c r="B328" s="2">
        <v>41122</v>
      </c>
      <c r="C328" s="4" t="s">
        <v>11</v>
      </c>
      <c r="D328" s="1">
        <v>521</v>
      </c>
    </row>
    <row r="329" spans="1:4" x14ac:dyDescent="0.25">
      <c r="A329" s="1">
        <v>18</v>
      </c>
      <c r="B329" s="2">
        <v>41157</v>
      </c>
      <c r="C329" s="4" t="s">
        <v>11</v>
      </c>
      <c r="D329" s="1">
        <v>585</v>
      </c>
    </row>
    <row r="330" spans="1:4" x14ac:dyDescent="0.25">
      <c r="A330" s="1">
        <v>18</v>
      </c>
      <c r="B330" s="2">
        <v>41185</v>
      </c>
      <c r="C330" s="4" t="s">
        <v>11</v>
      </c>
      <c r="D330" s="1">
        <v>415</v>
      </c>
    </row>
    <row r="331" spans="1:4" x14ac:dyDescent="0.25">
      <c r="A331" s="1">
        <v>18</v>
      </c>
      <c r="B331" s="2">
        <v>41220</v>
      </c>
      <c r="C331" s="4" t="s">
        <v>11</v>
      </c>
      <c r="D331" s="1">
        <v>723</v>
      </c>
    </row>
    <row r="332" spans="1:4" x14ac:dyDescent="0.25">
      <c r="A332" s="1">
        <v>18</v>
      </c>
      <c r="B332" s="2">
        <v>41248</v>
      </c>
      <c r="C332" s="4" t="s">
        <v>11</v>
      </c>
      <c r="D332" s="1">
        <v>609</v>
      </c>
    </row>
    <row r="333" spans="1:4" x14ac:dyDescent="0.25">
      <c r="A333" s="1">
        <v>18</v>
      </c>
      <c r="B333" s="2">
        <v>41094</v>
      </c>
      <c r="C333" s="4" t="s">
        <v>12</v>
      </c>
      <c r="D333" s="1">
        <v>10.9</v>
      </c>
    </row>
    <row r="334" spans="1:4" x14ac:dyDescent="0.25">
      <c r="A334" s="1">
        <v>18</v>
      </c>
      <c r="B334" s="2">
        <v>41108</v>
      </c>
      <c r="C334" s="4" t="s">
        <v>12</v>
      </c>
      <c r="D334" s="1">
        <v>9.4</v>
      </c>
    </row>
    <row r="335" spans="1:4" x14ac:dyDescent="0.25">
      <c r="A335" s="1">
        <v>18</v>
      </c>
      <c r="B335" s="2">
        <v>41122</v>
      </c>
      <c r="C335" s="4" t="s">
        <v>12</v>
      </c>
      <c r="D335" s="1">
        <v>9.9</v>
      </c>
    </row>
    <row r="336" spans="1:4" x14ac:dyDescent="0.25">
      <c r="A336" s="1">
        <v>18</v>
      </c>
      <c r="B336" s="2">
        <v>41136</v>
      </c>
      <c r="C336" s="4" t="s">
        <v>12</v>
      </c>
      <c r="D336" s="1">
        <v>9.6</v>
      </c>
    </row>
    <row r="337" spans="1:4" x14ac:dyDescent="0.25">
      <c r="A337" s="1">
        <v>18</v>
      </c>
      <c r="B337" s="2">
        <v>41157</v>
      </c>
      <c r="C337" s="4" t="s">
        <v>12</v>
      </c>
      <c r="D337" s="1">
        <v>10.199999999999999</v>
      </c>
    </row>
    <row r="338" spans="1:4" x14ac:dyDescent="0.25">
      <c r="A338" s="1">
        <v>18</v>
      </c>
      <c r="B338" s="2">
        <v>41171</v>
      </c>
      <c r="C338" s="4" t="s">
        <v>12</v>
      </c>
      <c r="D338" s="1">
        <v>10.4</v>
      </c>
    </row>
    <row r="339" spans="1:4" x14ac:dyDescent="0.25">
      <c r="A339" s="1">
        <v>18</v>
      </c>
      <c r="B339" s="2">
        <v>41183</v>
      </c>
      <c r="C339" s="4" t="s">
        <v>12</v>
      </c>
      <c r="D339" s="1">
        <v>10.6</v>
      </c>
    </row>
    <row r="340" spans="1:4" x14ac:dyDescent="0.25">
      <c r="A340" s="1">
        <v>18</v>
      </c>
      <c r="B340" s="2">
        <v>41185</v>
      </c>
      <c r="C340" s="4" t="s">
        <v>12</v>
      </c>
      <c r="D340" s="1">
        <v>10.3</v>
      </c>
    </row>
    <row r="341" spans="1:4" x14ac:dyDescent="0.25">
      <c r="A341" s="1">
        <v>18</v>
      </c>
      <c r="B341" s="2">
        <v>41199</v>
      </c>
      <c r="C341" s="4" t="s">
        <v>12</v>
      </c>
      <c r="D341" s="1">
        <v>11</v>
      </c>
    </row>
    <row r="342" spans="1:4" x14ac:dyDescent="0.25">
      <c r="A342" s="1">
        <v>18</v>
      </c>
      <c r="B342" s="2">
        <v>41220</v>
      </c>
      <c r="C342" s="4" t="s">
        <v>12</v>
      </c>
      <c r="D342" s="1">
        <v>11</v>
      </c>
    </row>
    <row r="343" spans="1:4" x14ac:dyDescent="0.25">
      <c r="A343" s="1">
        <v>18</v>
      </c>
      <c r="B343" s="2">
        <v>41233</v>
      </c>
      <c r="C343" s="4" t="s">
        <v>12</v>
      </c>
      <c r="D343" s="1">
        <v>9.8000000000000007</v>
      </c>
    </row>
    <row r="344" spans="1:4" x14ac:dyDescent="0.25">
      <c r="A344" s="1">
        <v>18</v>
      </c>
      <c r="B344" s="2">
        <v>41248</v>
      </c>
      <c r="C344" s="4" t="s">
        <v>12</v>
      </c>
      <c r="D344" s="1">
        <v>9.9</v>
      </c>
    </row>
    <row r="345" spans="1:4" x14ac:dyDescent="0.25">
      <c r="A345" s="1">
        <v>18</v>
      </c>
      <c r="B345" s="2">
        <v>41094</v>
      </c>
      <c r="C345" s="4" t="s">
        <v>13</v>
      </c>
      <c r="D345" s="1">
        <v>73</v>
      </c>
    </row>
    <row r="346" spans="1:4" x14ac:dyDescent="0.25">
      <c r="A346" s="1">
        <v>18</v>
      </c>
      <c r="B346" s="2">
        <v>41122</v>
      </c>
      <c r="C346" s="4" t="s">
        <v>13</v>
      </c>
      <c r="D346" s="1">
        <v>42</v>
      </c>
    </row>
    <row r="347" spans="1:4" x14ac:dyDescent="0.25">
      <c r="A347" s="1">
        <v>18</v>
      </c>
      <c r="B347" s="2">
        <v>41157</v>
      </c>
      <c r="C347" s="4" t="s">
        <v>13</v>
      </c>
      <c r="D347" s="1">
        <v>28</v>
      </c>
    </row>
    <row r="348" spans="1:4" x14ac:dyDescent="0.25">
      <c r="A348" s="1">
        <v>18</v>
      </c>
      <c r="B348" s="2">
        <v>41185</v>
      </c>
      <c r="C348" s="4" t="s">
        <v>13</v>
      </c>
      <c r="D348" s="1">
        <v>39</v>
      </c>
    </row>
    <row r="349" spans="1:4" x14ac:dyDescent="0.25">
      <c r="A349" s="1">
        <v>18</v>
      </c>
      <c r="B349" s="2">
        <v>41220</v>
      </c>
      <c r="C349" s="4" t="s">
        <v>13</v>
      </c>
      <c r="D349" s="1">
        <v>93</v>
      </c>
    </row>
    <row r="350" spans="1:4" x14ac:dyDescent="0.25">
      <c r="A350" s="1">
        <v>18</v>
      </c>
      <c r="B350" s="2">
        <v>41248</v>
      </c>
      <c r="C350" s="4" t="s">
        <v>13</v>
      </c>
      <c r="D350" s="1">
        <v>58</v>
      </c>
    </row>
    <row r="351" spans="1:4" x14ac:dyDescent="0.25">
      <c r="A351" s="1">
        <v>19</v>
      </c>
      <c r="B351" s="2">
        <v>41094</v>
      </c>
      <c r="C351" s="4" t="s">
        <v>11</v>
      </c>
      <c r="D351" s="1">
        <v>324</v>
      </c>
    </row>
    <row r="352" spans="1:4" x14ac:dyDescent="0.25">
      <c r="A352" s="1">
        <v>19</v>
      </c>
      <c r="B352" s="2">
        <v>41122</v>
      </c>
      <c r="C352" s="4" t="s">
        <v>11</v>
      </c>
      <c r="D352" s="1">
        <v>549</v>
      </c>
    </row>
    <row r="353" spans="1:4" x14ac:dyDescent="0.25">
      <c r="A353" s="1">
        <v>19</v>
      </c>
      <c r="B353" s="2">
        <v>41157</v>
      </c>
      <c r="C353" s="4" t="s">
        <v>11</v>
      </c>
      <c r="D353" s="1">
        <v>502</v>
      </c>
    </row>
    <row r="354" spans="1:4" x14ac:dyDescent="0.25">
      <c r="A354" s="1">
        <v>19</v>
      </c>
      <c r="B354" s="2">
        <v>41185</v>
      </c>
      <c r="C354" s="4" t="s">
        <v>11</v>
      </c>
      <c r="D354" s="1">
        <v>596</v>
      </c>
    </row>
    <row r="355" spans="1:4" x14ac:dyDescent="0.25">
      <c r="A355" s="1">
        <v>19</v>
      </c>
      <c r="B355" s="2">
        <v>41220</v>
      </c>
      <c r="C355" s="4" t="s">
        <v>11</v>
      </c>
      <c r="D355" s="1">
        <v>590</v>
      </c>
    </row>
    <row r="356" spans="1:4" x14ac:dyDescent="0.25">
      <c r="A356" s="1">
        <v>19</v>
      </c>
      <c r="B356" s="2">
        <v>41248</v>
      </c>
      <c r="C356" s="4" t="s">
        <v>11</v>
      </c>
      <c r="D356" s="1">
        <v>462</v>
      </c>
    </row>
    <row r="357" spans="1:4" x14ac:dyDescent="0.25">
      <c r="A357" s="1">
        <v>19</v>
      </c>
      <c r="B357" s="2">
        <v>41094</v>
      </c>
      <c r="C357" s="4" t="s">
        <v>12</v>
      </c>
      <c r="D357" s="1">
        <v>10.4</v>
      </c>
    </row>
    <row r="358" spans="1:4" x14ac:dyDescent="0.25">
      <c r="A358" s="1">
        <v>19</v>
      </c>
      <c r="B358" s="2">
        <v>41108</v>
      </c>
      <c r="C358" s="4" t="s">
        <v>12</v>
      </c>
      <c r="D358" s="1">
        <v>10.8</v>
      </c>
    </row>
    <row r="359" spans="1:4" x14ac:dyDescent="0.25">
      <c r="A359" s="1">
        <v>19</v>
      </c>
      <c r="B359" s="2">
        <v>41122</v>
      </c>
      <c r="C359" s="4" t="s">
        <v>12</v>
      </c>
      <c r="D359" s="1">
        <v>10.9</v>
      </c>
    </row>
    <row r="360" spans="1:4" x14ac:dyDescent="0.25">
      <c r="A360" s="1">
        <v>19</v>
      </c>
      <c r="B360" s="2">
        <v>41136</v>
      </c>
      <c r="C360" s="4" t="s">
        <v>12</v>
      </c>
      <c r="D360" s="1">
        <v>11.1</v>
      </c>
    </row>
    <row r="361" spans="1:4" x14ac:dyDescent="0.25">
      <c r="A361" s="1">
        <v>19</v>
      </c>
      <c r="B361" s="2">
        <v>41157</v>
      </c>
      <c r="C361" s="4" t="s">
        <v>12</v>
      </c>
      <c r="D361" s="1">
        <v>11.1</v>
      </c>
    </row>
    <row r="362" spans="1:4" x14ac:dyDescent="0.25">
      <c r="A362" s="1">
        <v>19</v>
      </c>
      <c r="B362" s="2">
        <v>41171</v>
      </c>
      <c r="C362" s="4" t="s">
        <v>12</v>
      </c>
      <c r="D362" s="1">
        <v>10.7</v>
      </c>
    </row>
    <row r="363" spans="1:4" x14ac:dyDescent="0.25">
      <c r="A363" s="1">
        <v>19</v>
      </c>
      <c r="B363" s="2">
        <v>41185</v>
      </c>
      <c r="C363" s="4" t="s">
        <v>12</v>
      </c>
      <c r="D363" s="1">
        <v>11</v>
      </c>
    </row>
    <row r="364" spans="1:4" x14ac:dyDescent="0.25">
      <c r="A364" s="1">
        <v>19</v>
      </c>
      <c r="B364" s="2">
        <v>41199</v>
      </c>
      <c r="C364" s="4" t="s">
        <v>12</v>
      </c>
      <c r="D364" s="1">
        <v>11</v>
      </c>
    </row>
    <row r="365" spans="1:4" x14ac:dyDescent="0.25">
      <c r="A365" s="1">
        <v>19</v>
      </c>
      <c r="B365" s="2">
        <v>41220</v>
      </c>
      <c r="C365" s="4" t="s">
        <v>12</v>
      </c>
      <c r="D365" s="1">
        <v>9.5</v>
      </c>
    </row>
    <row r="366" spans="1:4" x14ac:dyDescent="0.25">
      <c r="A366" s="1">
        <v>19</v>
      </c>
      <c r="B366" s="2">
        <v>41233</v>
      </c>
      <c r="C366" s="4" t="s">
        <v>12</v>
      </c>
      <c r="D366" s="1">
        <v>9.5</v>
      </c>
    </row>
    <row r="367" spans="1:4" x14ac:dyDescent="0.25">
      <c r="A367" s="1">
        <v>19</v>
      </c>
      <c r="B367" s="2">
        <v>41248</v>
      </c>
      <c r="C367" s="4" t="s">
        <v>12</v>
      </c>
      <c r="D367" s="1">
        <v>10.6</v>
      </c>
    </row>
    <row r="368" spans="1:4" x14ac:dyDescent="0.25">
      <c r="A368" s="1">
        <v>19</v>
      </c>
      <c r="B368" s="2">
        <v>41094</v>
      </c>
      <c r="C368" s="4" t="s">
        <v>13</v>
      </c>
      <c r="D368" s="1">
        <v>25</v>
      </c>
    </row>
    <row r="369" spans="1:4" x14ac:dyDescent="0.25">
      <c r="A369" s="1">
        <v>19</v>
      </c>
      <c r="B369" s="2">
        <v>41122</v>
      </c>
      <c r="C369" s="4" t="s">
        <v>13</v>
      </c>
      <c r="D369" s="1">
        <v>28</v>
      </c>
    </row>
    <row r="370" spans="1:4" x14ac:dyDescent="0.25">
      <c r="A370" s="1">
        <v>19</v>
      </c>
      <c r="B370" s="2">
        <v>41157</v>
      </c>
      <c r="C370" s="4" t="s">
        <v>13</v>
      </c>
      <c r="D370" s="1">
        <v>33</v>
      </c>
    </row>
    <row r="371" spans="1:4" x14ac:dyDescent="0.25">
      <c r="A371" s="1">
        <v>19</v>
      </c>
      <c r="B371" s="2">
        <v>41185</v>
      </c>
      <c r="C371" s="4" t="s">
        <v>13</v>
      </c>
      <c r="D371" s="1">
        <v>43</v>
      </c>
    </row>
    <row r="372" spans="1:4" x14ac:dyDescent="0.25">
      <c r="A372" s="1">
        <v>19</v>
      </c>
      <c r="B372" s="2">
        <v>41220</v>
      </c>
      <c r="C372" s="4" t="s">
        <v>13</v>
      </c>
      <c r="D372" s="1">
        <v>35</v>
      </c>
    </row>
    <row r="373" spans="1:4" x14ac:dyDescent="0.25">
      <c r="A373" s="1">
        <v>19</v>
      </c>
      <c r="B373" s="2">
        <v>41248</v>
      </c>
      <c r="C373" s="4" t="s">
        <v>13</v>
      </c>
      <c r="D373" s="1">
        <v>34</v>
      </c>
    </row>
    <row r="374" spans="1:4" x14ac:dyDescent="0.25">
      <c r="A374" s="1">
        <v>20</v>
      </c>
      <c r="B374" s="2">
        <v>41094</v>
      </c>
      <c r="C374" s="4" t="s">
        <v>11</v>
      </c>
      <c r="D374" s="1">
        <v>732</v>
      </c>
    </row>
    <row r="375" spans="1:4" x14ac:dyDescent="0.25">
      <c r="A375" s="1">
        <v>20</v>
      </c>
      <c r="B375" s="2">
        <v>41122</v>
      </c>
      <c r="C375" s="4" t="s">
        <v>11</v>
      </c>
      <c r="D375" s="1">
        <v>609</v>
      </c>
    </row>
    <row r="376" spans="1:4" x14ac:dyDescent="0.25">
      <c r="A376" s="1">
        <v>20</v>
      </c>
      <c r="B376" s="2">
        <v>41157</v>
      </c>
      <c r="C376" s="4" t="s">
        <v>11</v>
      </c>
      <c r="D376" s="1">
        <v>757</v>
      </c>
    </row>
    <row r="377" spans="1:4" x14ac:dyDescent="0.25">
      <c r="A377" s="1">
        <v>20</v>
      </c>
      <c r="B377" s="2">
        <v>41185</v>
      </c>
      <c r="C377" s="4" t="s">
        <v>11</v>
      </c>
      <c r="D377" s="1">
        <v>965</v>
      </c>
    </row>
    <row r="378" spans="1:4" x14ac:dyDescent="0.25">
      <c r="A378" s="1">
        <v>20</v>
      </c>
      <c r="B378" s="2">
        <v>41220</v>
      </c>
      <c r="C378" s="4" t="s">
        <v>11</v>
      </c>
      <c r="D378" s="1">
        <v>1042</v>
      </c>
    </row>
    <row r="379" spans="1:4" x14ac:dyDescent="0.25">
      <c r="A379" s="1">
        <v>20</v>
      </c>
      <c r="B379" s="2">
        <v>41248</v>
      </c>
      <c r="C379" s="4" t="s">
        <v>11</v>
      </c>
      <c r="D379" s="1">
        <v>1117</v>
      </c>
    </row>
    <row r="380" spans="1:4" x14ac:dyDescent="0.25">
      <c r="A380" s="1">
        <v>20</v>
      </c>
      <c r="B380" s="2">
        <v>41094</v>
      </c>
      <c r="C380" s="4" t="s">
        <v>12</v>
      </c>
      <c r="D380" s="1">
        <v>8.8000000000000007</v>
      </c>
    </row>
    <row r="381" spans="1:4" x14ac:dyDescent="0.25">
      <c r="A381" s="1">
        <v>20</v>
      </c>
      <c r="B381" s="2">
        <v>41108</v>
      </c>
      <c r="C381" s="4" t="s">
        <v>12</v>
      </c>
      <c r="D381" s="1">
        <v>9.1</v>
      </c>
    </row>
    <row r="382" spans="1:4" x14ac:dyDescent="0.25">
      <c r="A382" s="1">
        <v>20</v>
      </c>
      <c r="B382" s="2">
        <v>41122</v>
      </c>
      <c r="C382" s="4" t="s">
        <v>12</v>
      </c>
      <c r="D382" s="1">
        <v>9.4</v>
      </c>
    </row>
    <row r="383" spans="1:4" x14ac:dyDescent="0.25">
      <c r="A383" s="1">
        <v>20</v>
      </c>
      <c r="B383" s="2">
        <v>41136</v>
      </c>
      <c r="C383" s="4" t="s">
        <v>12</v>
      </c>
      <c r="D383" s="1">
        <v>9.1999999999999993</v>
      </c>
    </row>
    <row r="384" spans="1:4" x14ac:dyDescent="0.25">
      <c r="A384" s="1">
        <v>20</v>
      </c>
      <c r="B384" s="2">
        <v>41157</v>
      </c>
      <c r="C384" s="4" t="s">
        <v>12</v>
      </c>
      <c r="D384" s="1">
        <v>10.8</v>
      </c>
    </row>
    <row r="385" spans="1:4" x14ac:dyDescent="0.25">
      <c r="A385" s="1">
        <v>20</v>
      </c>
      <c r="B385" s="2">
        <v>41171</v>
      </c>
      <c r="C385" s="4" t="s">
        <v>12</v>
      </c>
      <c r="D385" s="1">
        <v>11.5</v>
      </c>
    </row>
    <row r="386" spans="1:4" x14ac:dyDescent="0.25">
      <c r="A386" s="1">
        <v>20</v>
      </c>
      <c r="B386" s="2">
        <v>41185</v>
      </c>
      <c r="C386" s="4" t="s">
        <v>12</v>
      </c>
      <c r="D386" s="1">
        <v>11.8</v>
      </c>
    </row>
    <row r="387" spans="1:4" x14ac:dyDescent="0.25">
      <c r="A387" s="1">
        <v>20</v>
      </c>
      <c r="B387" s="2">
        <v>41199</v>
      </c>
      <c r="C387" s="4" t="s">
        <v>12</v>
      </c>
      <c r="D387" s="1">
        <v>11.3</v>
      </c>
    </row>
    <row r="388" spans="1:4" x14ac:dyDescent="0.25">
      <c r="A388" s="1">
        <v>20</v>
      </c>
      <c r="B388" s="2">
        <v>41220</v>
      </c>
      <c r="C388" s="4" t="s">
        <v>12</v>
      </c>
      <c r="D388" s="1">
        <v>10.5</v>
      </c>
    </row>
    <row r="389" spans="1:4" x14ac:dyDescent="0.25">
      <c r="A389" s="1">
        <v>20</v>
      </c>
      <c r="B389" s="2">
        <v>41233</v>
      </c>
      <c r="C389" s="4" t="s">
        <v>12</v>
      </c>
      <c r="D389" s="1">
        <v>10.5</v>
      </c>
    </row>
    <row r="390" spans="1:4" x14ac:dyDescent="0.25">
      <c r="A390" s="1">
        <v>20</v>
      </c>
      <c r="B390" s="2">
        <v>41248</v>
      </c>
      <c r="C390" s="4" t="s">
        <v>12</v>
      </c>
      <c r="D390" s="1">
        <v>10.1</v>
      </c>
    </row>
    <row r="391" spans="1:4" x14ac:dyDescent="0.25">
      <c r="A391" s="1">
        <v>20</v>
      </c>
      <c r="B391" s="2">
        <v>41094</v>
      </c>
      <c r="C391" s="4" t="s">
        <v>13</v>
      </c>
      <c r="D391" s="1">
        <v>11</v>
      </c>
    </row>
    <row r="392" spans="1:4" x14ac:dyDescent="0.25">
      <c r="A392" s="1">
        <v>20</v>
      </c>
      <c r="B392" s="2">
        <v>41122</v>
      </c>
      <c r="C392" s="4" t="s">
        <v>13</v>
      </c>
      <c r="D392" s="1">
        <v>16</v>
      </c>
    </row>
    <row r="393" spans="1:4" x14ac:dyDescent="0.25">
      <c r="A393" s="1">
        <v>20</v>
      </c>
      <c r="B393" s="2">
        <v>41157</v>
      </c>
      <c r="C393" s="4" t="s">
        <v>13</v>
      </c>
      <c r="D393" s="1">
        <v>11</v>
      </c>
    </row>
    <row r="394" spans="1:4" x14ac:dyDescent="0.25">
      <c r="A394" s="1">
        <v>20</v>
      </c>
      <c r="B394" s="2">
        <v>41185</v>
      </c>
      <c r="C394" s="4" t="s">
        <v>13</v>
      </c>
      <c r="D394" s="1">
        <v>25</v>
      </c>
    </row>
    <row r="395" spans="1:4" x14ac:dyDescent="0.25">
      <c r="A395" s="1">
        <v>20</v>
      </c>
      <c r="B395" s="2">
        <v>41220</v>
      </c>
      <c r="C395" s="4" t="s">
        <v>13</v>
      </c>
      <c r="D395" s="1">
        <v>22</v>
      </c>
    </row>
    <row r="396" spans="1:4" x14ac:dyDescent="0.25">
      <c r="A396" s="1">
        <v>20</v>
      </c>
      <c r="B396" s="2">
        <v>41248</v>
      </c>
      <c r="C396" s="4" t="s">
        <v>13</v>
      </c>
      <c r="D396" s="1">
        <v>35</v>
      </c>
    </row>
    <row r="397" spans="1:4" x14ac:dyDescent="0.25">
      <c r="A397" s="1">
        <v>21</v>
      </c>
      <c r="B397" s="2">
        <v>41094</v>
      </c>
      <c r="C397" s="4" t="s">
        <v>11</v>
      </c>
      <c r="D397" s="1">
        <v>929</v>
      </c>
    </row>
    <row r="398" spans="1:4" x14ac:dyDescent="0.25">
      <c r="A398" s="1">
        <v>21</v>
      </c>
      <c r="B398" s="2">
        <v>41122</v>
      </c>
      <c r="C398" s="4" t="s">
        <v>11</v>
      </c>
      <c r="D398" s="1">
        <v>627</v>
      </c>
    </row>
    <row r="399" spans="1:4" x14ac:dyDescent="0.25">
      <c r="A399" s="1">
        <v>21</v>
      </c>
      <c r="B399" s="2">
        <v>41157</v>
      </c>
      <c r="C399" s="4" t="s">
        <v>11</v>
      </c>
      <c r="D399" s="1">
        <v>590</v>
      </c>
    </row>
    <row r="400" spans="1:4" x14ac:dyDescent="0.25">
      <c r="A400" s="1">
        <v>21</v>
      </c>
      <c r="B400" s="2">
        <v>41185</v>
      </c>
      <c r="C400" s="4" t="s">
        <v>11</v>
      </c>
      <c r="D400" s="1">
        <v>553</v>
      </c>
    </row>
    <row r="401" spans="1:4" x14ac:dyDescent="0.25">
      <c r="A401" s="1">
        <v>21</v>
      </c>
      <c r="B401" s="2">
        <v>41220</v>
      </c>
      <c r="C401" s="4" t="s">
        <v>11</v>
      </c>
      <c r="D401" s="1">
        <v>528</v>
      </c>
    </row>
    <row r="402" spans="1:4" x14ac:dyDescent="0.25">
      <c r="A402" s="1">
        <v>21</v>
      </c>
      <c r="B402" s="2">
        <v>41248</v>
      </c>
      <c r="C402" s="4" t="s">
        <v>11</v>
      </c>
      <c r="D402" s="1">
        <v>672</v>
      </c>
    </row>
    <row r="403" spans="1:4" x14ac:dyDescent="0.25">
      <c r="A403" s="1">
        <v>21</v>
      </c>
      <c r="B403" s="2">
        <v>41094</v>
      </c>
      <c r="C403" s="4" t="s">
        <v>12</v>
      </c>
      <c r="D403" s="1">
        <v>10.3</v>
      </c>
    </row>
    <row r="404" spans="1:4" x14ac:dyDescent="0.25">
      <c r="A404" s="1">
        <v>21</v>
      </c>
      <c r="B404" s="2">
        <v>41108</v>
      </c>
      <c r="C404" s="4" t="s">
        <v>12</v>
      </c>
      <c r="D404" s="1">
        <v>9.3000000000000007</v>
      </c>
    </row>
    <row r="405" spans="1:4" x14ac:dyDescent="0.25">
      <c r="A405" s="1">
        <v>21</v>
      </c>
      <c r="B405" s="2">
        <v>41122</v>
      </c>
      <c r="C405" s="4" t="s">
        <v>12</v>
      </c>
      <c r="D405" s="1">
        <v>10</v>
      </c>
    </row>
    <row r="406" spans="1:4" x14ac:dyDescent="0.25">
      <c r="A406" s="1">
        <v>21</v>
      </c>
      <c r="B406" s="2">
        <v>41136</v>
      </c>
      <c r="C406" s="4" t="s">
        <v>12</v>
      </c>
      <c r="D406" s="1">
        <v>9.9</v>
      </c>
    </row>
    <row r="407" spans="1:4" x14ac:dyDescent="0.25">
      <c r="A407" s="1">
        <v>21</v>
      </c>
      <c r="B407" s="2">
        <v>41157</v>
      </c>
      <c r="C407" s="4" t="s">
        <v>12</v>
      </c>
      <c r="D407" s="1">
        <v>10.5</v>
      </c>
    </row>
    <row r="408" spans="1:4" x14ac:dyDescent="0.25">
      <c r="A408" s="1">
        <v>21</v>
      </c>
      <c r="B408" s="2">
        <v>41171</v>
      </c>
      <c r="C408" s="4" t="s">
        <v>12</v>
      </c>
      <c r="D408" s="1">
        <v>10.3</v>
      </c>
    </row>
    <row r="409" spans="1:4" x14ac:dyDescent="0.25">
      <c r="A409" s="1">
        <v>21</v>
      </c>
      <c r="B409" s="2">
        <v>41185</v>
      </c>
      <c r="C409" s="4" t="s">
        <v>12</v>
      </c>
      <c r="D409" s="1">
        <v>10.5</v>
      </c>
    </row>
    <row r="410" spans="1:4" x14ac:dyDescent="0.25">
      <c r="A410" s="1">
        <v>21</v>
      </c>
      <c r="B410" s="2">
        <v>41199</v>
      </c>
      <c r="C410" s="4" t="s">
        <v>12</v>
      </c>
      <c r="D410" s="1">
        <v>11.8</v>
      </c>
    </row>
    <row r="411" spans="1:4" x14ac:dyDescent="0.25">
      <c r="A411" s="1">
        <v>21</v>
      </c>
      <c r="B411" s="2">
        <v>41220</v>
      </c>
      <c r="C411" s="4" t="s">
        <v>12</v>
      </c>
      <c r="D411" s="1">
        <v>11.7</v>
      </c>
    </row>
    <row r="412" spans="1:4" x14ac:dyDescent="0.25">
      <c r="A412" s="1">
        <v>21</v>
      </c>
      <c r="B412" s="2">
        <v>41233</v>
      </c>
      <c r="C412" s="4" t="s">
        <v>12</v>
      </c>
      <c r="D412" s="1">
        <v>10.3</v>
      </c>
    </row>
    <row r="413" spans="1:4" x14ac:dyDescent="0.25">
      <c r="A413" s="1">
        <v>21</v>
      </c>
      <c r="B413" s="2">
        <v>41248</v>
      </c>
      <c r="C413" s="4" t="s">
        <v>12</v>
      </c>
      <c r="D413" s="1">
        <v>9.8000000000000007</v>
      </c>
    </row>
    <row r="414" spans="1:4" x14ac:dyDescent="0.25">
      <c r="A414" s="1">
        <v>21</v>
      </c>
      <c r="B414" s="2">
        <v>41094</v>
      </c>
      <c r="C414" s="4" t="s">
        <v>13</v>
      </c>
      <c r="D414" s="1">
        <v>24</v>
      </c>
    </row>
    <row r="415" spans="1:4" x14ac:dyDescent="0.25">
      <c r="A415" s="1">
        <v>21</v>
      </c>
      <c r="B415" s="2">
        <v>41122</v>
      </c>
      <c r="C415" s="4" t="s">
        <v>13</v>
      </c>
      <c r="D415" s="1">
        <v>26</v>
      </c>
    </row>
    <row r="416" spans="1:4" x14ac:dyDescent="0.25">
      <c r="A416" s="1">
        <v>21</v>
      </c>
      <c r="B416" s="2">
        <v>41157</v>
      </c>
      <c r="C416" s="4" t="s">
        <v>13</v>
      </c>
      <c r="D416" s="1">
        <v>29</v>
      </c>
    </row>
    <row r="417" spans="1:4" x14ac:dyDescent="0.25">
      <c r="A417" s="1">
        <v>21</v>
      </c>
      <c r="B417" s="2">
        <v>41185</v>
      </c>
      <c r="C417" s="4" t="s">
        <v>13</v>
      </c>
      <c r="D417" s="1">
        <v>38</v>
      </c>
    </row>
    <row r="418" spans="1:4" x14ac:dyDescent="0.25">
      <c r="A418" s="1">
        <v>21</v>
      </c>
      <c r="B418" s="2">
        <v>41220</v>
      </c>
      <c r="C418" s="4" t="s">
        <v>13</v>
      </c>
      <c r="D418" s="1">
        <v>48</v>
      </c>
    </row>
    <row r="419" spans="1:4" x14ac:dyDescent="0.25">
      <c r="A419" s="1">
        <v>21</v>
      </c>
      <c r="B419" s="2">
        <v>41248</v>
      </c>
      <c r="C419" s="4" t="s">
        <v>13</v>
      </c>
      <c r="D419" s="1">
        <v>45</v>
      </c>
    </row>
    <row r="420" spans="1:4" x14ac:dyDescent="0.25">
      <c r="A420" s="1">
        <v>22</v>
      </c>
      <c r="B420" s="2">
        <v>41094</v>
      </c>
      <c r="C420" s="4" t="s">
        <v>11</v>
      </c>
      <c r="D420" s="1">
        <v>795</v>
      </c>
    </row>
    <row r="421" spans="1:4" x14ac:dyDescent="0.25">
      <c r="A421" s="1">
        <v>22</v>
      </c>
      <c r="B421" s="2">
        <v>41122</v>
      </c>
      <c r="C421" s="4" t="s">
        <v>11</v>
      </c>
      <c r="D421" s="1">
        <v>937</v>
      </c>
    </row>
    <row r="422" spans="1:4" x14ac:dyDescent="0.25">
      <c r="A422" s="1">
        <v>22</v>
      </c>
      <c r="B422" s="2">
        <v>41157</v>
      </c>
      <c r="C422" s="4" t="s">
        <v>11</v>
      </c>
      <c r="D422" s="1">
        <v>665</v>
      </c>
    </row>
    <row r="423" spans="1:4" x14ac:dyDescent="0.25">
      <c r="A423" s="1">
        <v>22</v>
      </c>
      <c r="B423" s="2">
        <v>41185</v>
      </c>
      <c r="C423" s="4" t="s">
        <v>11</v>
      </c>
      <c r="D423" s="1">
        <v>812</v>
      </c>
    </row>
    <row r="424" spans="1:4" x14ac:dyDescent="0.25">
      <c r="A424" s="1">
        <v>22</v>
      </c>
      <c r="B424" s="2">
        <v>41220</v>
      </c>
      <c r="C424" s="4" t="s">
        <v>11</v>
      </c>
      <c r="D424" s="1">
        <v>1208</v>
      </c>
    </row>
    <row r="425" spans="1:4" x14ac:dyDescent="0.25">
      <c r="A425" s="1">
        <v>22</v>
      </c>
      <c r="B425" s="2">
        <v>41248</v>
      </c>
      <c r="C425" s="4" t="s">
        <v>11</v>
      </c>
      <c r="D425" s="1">
        <v>946</v>
      </c>
    </row>
    <row r="426" spans="1:4" x14ac:dyDescent="0.25">
      <c r="A426" s="1">
        <v>22</v>
      </c>
      <c r="B426" s="2">
        <v>41094</v>
      </c>
      <c r="C426" s="4" t="s">
        <v>12</v>
      </c>
      <c r="D426" s="1">
        <v>11.7</v>
      </c>
    </row>
    <row r="427" spans="1:4" x14ac:dyDescent="0.25">
      <c r="A427" s="1">
        <v>22</v>
      </c>
      <c r="B427" s="2">
        <v>41101</v>
      </c>
      <c r="C427" s="4" t="s">
        <v>12</v>
      </c>
      <c r="D427" s="1">
        <v>11.4</v>
      </c>
    </row>
    <row r="428" spans="1:4" x14ac:dyDescent="0.25">
      <c r="A428" s="1">
        <v>22</v>
      </c>
      <c r="B428" s="2">
        <v>41108</v>
      </c>
      <c r="C428" s="4" t="s">
        <v>12</v>
      </c>
      <c r="D428" s="1">
        <v>11.1</v>
      </c>
    </row>
    <row r="429" spans="1:4" x14ac:dyDescent="0.25">
      <c r="A429" s="1">
        <v>22</v>
      </c>
      <c r="B429" s="2">
        <v>41122</v>
      </c>
      <c r="C429" s="4" t="s">
        <v>12</v>
      </c>
      <c r="D429" s="1">
        <v>9.6</v>
      </c>
    </row>
    <row r="430" spans="1:4" x14ac:dyDescent="0.25">
      <c r="A430" s="1">
        <v>22</v>
      </c>
      <c r="B430" s="2">
        <v>41136</v>
      </c>
      <c r="C430" s="4" t="s">
        <v>12</v>
      </c>
      <c r="D430" s="1">
        <v>11</v>
      </c>
    </row>
    <row r="431" spans="1:4" x14ac:dyDescent="0.25">
      <c r="A431" s="1">
        <v>22</v>
      </c>
      <c r="B431" s="2">
        <v>41157</v>
      </c>
      <c r="C431" s="4" t="s">
        <v>12</v>
      </c>
      <c r="D431" s="1">
        <v>12.2</v>
      </c>
    </row>
    <row r="432" spans="1:4" x14ac:dyDescent="0.25">
      <c r="A432" s="1">
        <v>22</v>
      </c>
      <c r="B432" s="2">
        <v>41171</v>
      </c>
      <c r="C432" s="4" t="s">
        <v>12</v>
      </c>
      <c r="D432" s="1">
        <v>11.9</v>
      </c>
    </row>
    <row r="433" spans="1:4" x14ac:dyDescent="0.25">
      <c r="A433" s="1">
        <v>22</v>
      </c>
      <c r="B433" s="2">
        <v>41185</v>
      </c>
      <c r="C433" s="4" t="s">
        <v>12</v>
      </c>
      <c r="D433" s="1">
        <v>10.6</v>
      </c>
    </row>
    <row r="434" spans="1:4" x14ac:dyDescent="0.25">
      <c r="A434" s="1">
        <v>22</v>
      </c>
      <c r="B434" s="2">
        <v>41199</v>
      </c>
      <c r="C434" s="4" t="s">
        <v>12</v>
      </c>
      <c r="D434" s="1">
        <v>10.4</v>
      </c>
    </row>
    <row r="435" spans="1:4" x14ac:dyDescent="0.25">
      <c r="A435" s="1">
        <v>22</v>
      </c>
      <c r="B435" s="2">
        <v>41220</v>
      </c>
      <c r="C435" s="4" t="s">
        <v>12</v>
      </c>
      <c r="D435" s="1">
        <v>8.9</v>
      </c>
    </row>
    <row r="436" spans="1:4" x14ac:dyDescent="0.25">
      <c r="A436" s="1">
        <v>22</v>
      </c>
      <c r="B436" s="2">
        <v>41233</v>
      </c>
      <c r="C436" s="4" t="s">
        <v>12</v>
      </c>
      <c r="D436" s="1">
        <v>8.1</v>
      </c>
    </row>
    <row r="437" spans="1:4" x14ac:dyDescent="0.25">
      <c r="A437" s="1">
        <v>22</v>
      </c>
      <c r="B437" s="2">
        <v>41248</v>
      </c>
      <c r="C437" s="4" t="s">
        <v>12</v>
      </c>
      <c r="D437" s="1">
        <v>8.8000000000000007</v>
      </c>
    </row>
    <row r="438" spans="1:4" x14ac:dyDescent="0.25">
      <c r="A438" s="1">
        <v>22</v>
      </c>
      <c r="B438" s="2">
        <v>41094</v>
      </c>
      <c r="C438" s="4" t="s">
        <v>13</v>
      </c>
      <c r="D438" s="1">
        <v>21</v>
      </c>
    </row>
    <row r="439" spans="1:4" x14ac:dyDescent="0.25">
      <c r="A439" s="1">
        <v>22</v>
      </c>
      <c r="B439" s="2">
        <v>41122</v>
      </c>
      <c r="C439" s="4" t="s">
        <v>13</v>
      </c>
      <c r="D439" s="1">
        <v>17</v>
      </c>
    </row>
    <row r="440" spans="1:4" x14ac:dyDescent="0.25">
      <c r="A440" s="1">
        <v>22</v>
      </c>
      <c r="B440" s="2">
        <v>41157</v>
      </c>
      <c r="C440" s="4" t="s">
        <v>13</v>
      </c>
      <c r="D440" s="1">
        <v>16</v>
      </c>
    </row>
    <row r="441" spans="1:4" x14ac:dyDescent="0.25">
      <c r="A441" s="1">
        <v>22</v>
      </c>
      <c r="B441" s="2">
        <v>41185</v>
      </c>
      <c r="C441" s="4" t="s">
        <v>13</v>
      </c>
      <c r="D441" s="1">
        <v>54</v>
      </c>
    </row>
    <row r="442" spans="1:4" x14ac:dyDescent="0.25">
      <c r="A442" s="1">
        <v>22</v>
      </c>
      <c r="B442" s="2">
        <v>41220</v>
      </c>
      <c r="C442" s="4" t="s">
        <v>13</v>
      </c>
      <c r="D442" s="1">
        <v>60</v>
      </c>
    </row>
    <row r="443" spans="1:4" x14ac:dyDescent="0.25">
      <c r="A443" s="1">
        <v>22</v>
      </c>
      <c r="B443" s="2">
        <v>41248</v>
      </c>
      <c r="C443" s="4" t="s">
        <v>13</v>
      </c>
      <c r="D443" s="1">
        <v>39</v>
      </c>
    </row>
    <row r="444" spans="1:4" x14ac:dyDescent="0.25">
      <c r="A444" s="1">
        <v>23</v>
      </c>
      <c r="B444" s="2">
        <v>41095</v>
      </c>
      <c r="C444" s="4" t="s">
        <v>11</v>
      </c>
      <c r="D444" s="1">
        <v>1666</v>
      </c>
    </row>
    <row r="445" spans="1:4" x14ac:dyDescent="0.25">
      <c r="A445" s="1">
        <v>23</v>
      </c>
      <c r="B445" s="2">
        <v>41127</v>
      </c>
      <c r="C445" s="4" t="s">
        <v>11</v>
      </c>
      <c r="D445" s="1">
        <v>1322</v>
      </c>
    </row>
    <row r="446" spans="1:4" x14ac:dyDescent="0.25">
      <c r="A446" s="1">
        <v>23</v>
      </c>
      <c r="B446" s="2">
        <v>41095</v>
      </c>
      <c r="C446" s="4" t="s">
        <v>12</v>
      </c>
      <c r="D446" s="1">
        <v>9</v>
      </c>
    </row>
    <row r="447" spans="1:4" x14ac:dyDescent="0.25">
      <c r="A447" s="1">
        <v>23</v>
      </c>
      <c r="B447" s="2">
        <v>41097</v>
      </c>
      <c r="C447" s="4" t="s">
        <v>12</v>
      </c>
      <c r="D447" s="1">
        <v>9.3000000000000007</v>
      </c>
    </row>
    <row r="448" spans="1:4" x14ac:dyDescent="0.25">
      <c r="A448" s="1">
        <v>23</v>
      </c>
      <c r="B448" s="2">
        <v>41109</v>
      </c>
      <c r="C448" s="4" t="s">
        <v>12</v>
      </c>
      <c r="D448" s="1">
        <v>8</v>
      </c>
    </row>
    <row r="449" spans="1:4" x14ac:dyDescent="0.25">
      <c r="A449" s="1">
        <v>23</v>
      </c>
      <c r="B449" s="2">
        <v>41127</v>
      </c>
      <c r="C449" s="4" t="s">
        <v>12</v>
      </c>
      <c r="D449" s="1">
        <v>7.4</v>
      </c>
    </row>
    <row r="450" spans="1:4" x14ac:dyDescent="0.25">
      <c r="A450" s="1">
        <v>23</v>
      </c>
      <c r="B450" s="2">
        <v>41142</v>
      </c>
      <c r="C450" s="4" t="s">
        <v>12</v>
      </c>
      <c r="D450" s="1">
        <v>7.9</v>
      </c>
    </row>
    <row r="451" spans="1:4" x14ac:dyDescent="0.25">
      <c r="A451" s="1">
        <v>23</v>
      </c>
      <c r="B451" s="2">
        <v>41095</v>
      </c>
      <c r="C451" s="4" t="s">
        <v>13</v>
      </c>
      <c r="D451" s="1">
        <v>54</v>
      </c>
    </row>
    <row r="452" spans="1:4" x14ac:dyDescent="0.25">
      <c r="A452" s="1">
        <v>23</v>
      </c>
      <c r="B452" s="2">
        <v>41127</v>
      </c>
      <c r="C452" s="4" t="s">
        <v>13</v>
      </c>
      <c r="D452" s="1">
        <v>20</v>
      </c>
    </row>
    <row r="453" spans="1:4" x14ac:dyDescent="0.25">
      <c r="A453" s="1">
        <v>24</v>
      </c>
      <c r="B453" s="2">
        <v>41184</v>
      </c>
      <c r="C453" s="4" t="s">
        <v>11</v>
      </c>
      <c r="D453" s="1">
        <v>1055</v>
      </c>
    </row>
    <row r="454" spans="1:4" x14ac:dyDescent="0.25">
      <c r="A454" s="1">
        <v>24</v>
      </c>
      <c r="B454" s="2">
        <v>41184</v>
      </c>
      <c r="C454" s="4" t="s">
        <v>12</v>
      </c>
      <c r="D454" s="1">
        <v>7.9</v>
      </c>
    </row>
    <row r="455" spans="1:4" x14ac:dyDescent="0.25">
      <c r="A455" s="1">
        <v>24</v>
      </c>
      <c r="B455" s="2">
        <v>41202</v>
      </c>
      <c r="C455" s="4" t="s">
        <v>12</v>
      </c>
      <c r="D455" s="1">
        <v>6.8</v>
      </c>
    </row>
    <row r="456" spans="1:4" x14ac:dyDescent="0.25">
      <c r="A456" s="1">
        <v>24</v>
      </c>
      <c r="B456" s="2">
        <v>41184</v>
      </c>
      <c r="C456" s="4" t="s">
        <v>13</v>
      </c>
      <c r="D456" s="1">
        <v>15</v>
      </c>
    </row>
    <row r="457" spans="1:4" x14ac:dyDescent="0.25">
      <c r="A457" s="1">
        <v>25</v>
      </c>
      <c r="B457" s="2">
        <v>41142</v>
      </c>
      <c r="C457" s="4" t="s">
        <v>11</v>
      </c>
      <c r="D457" s="1">
        <v>591</v>
      </c>
    </row>
    <row r="458" spans="1:4" x14ac:dyDescent="0.25">
      <c r="A458" s="1">
        <v>25</v>
      </c>
      <c r="B458" s="2">
        <v>41157</v>
      </c>
      <c r="C458" s="4" t="s">
        <v>11</v>
      </c>
      <c r="D458" s="1">
        <v>472</v>
      </c>
    </row>
    <row r="459" spans="1:4" x14ac:dyDescent="0.25">
      <c r="A459" s="1">
        <v>25</v>
      </c>
      <c r="B459" s="2">
        <v>41185</v>
      </c>
      <c r="C459" s="4" t="s">
        <v>11</v>
      </c>
      <c r="D459" s="1">
        <v>479</v>
      </c>
    </row>
    <row r="460" spans="1:4" x14ac:dyDescent="0.25">
      <c r="A460" s="1">
        <v>25</v>
      </c>
      <c r="B460" s="2">
        <v>41220</v>
      </c>
      <c r="C460" s="4" t="s">
        <v>11</v>
      </c>
      <c r="D460" s="1">
        <v>507</v>
      </c>
    </row>
    <row r="461" spans="1:4" x14ac:dyDescent="0.25">
      <c r="A461" s="1">
        <v>25</v>
      </c>
      <c r="B461" s="2">
        <v>41248</v>
      </c>
      <c r="C461" s="4" t="s">
        <v>11</v>
      </c>
      <c r="D461" s="1">
        <v>337</v>
      </c>
    </row>
    <row r="462" spans="1:4" x14ac:dyDescent="0.25">
      <c r="A462" s="1">
        <v>25</v>
      </c>
      <c r="B462" s="2">
        <v>41142</v>
      </c>
      <c r="C462" s="4" t="s">
        <v>12</v>
      </c>
      <c r="D462" s="1">
        <v>8.8000000000000007</v>
      </c>
    </row>
    <row r="463" spans="1:4" x14ac:dyDescent="0.25">
      <c r="A463" s="1">
        <v>25</v>
      </c>
      <c r="B463" s="2">
        <v>41157</v>
      </c>
      <c r="C463" s="4" t="s">
        <v>12</v>
      </c>
      <c r="D463" s="1">
        <v>10.1</v>
      </c>
    </row>
    <row r="464" spans="1:4" x14ac:dyDescent="0.25">
      <c r="A464" s="1">
        <v>25</v>
      </c>
      <c r="B464" s="2">
        <v>41171</v>
      </c>
      <c r="C464" s="4" t="s">
        <v>12</v>
      </c>
      <c r="D464" s="1">
        <v>11.4</v>
      </c>
    </row>
    <row r="465" spans="1:4" x14ac:dyDescent="0.25">
      <c r="A465" s="1">
        <v>25</v>
      </c>
      <c r="B465" s="2">
        <v>41185</v>
      </c>
      <c r="C465" s="4" t="s">
        <v>12</v>
      </c>
      <c r="D465" s="1">
        <v>10.9</v>
      </c>
    </row>
    <row r="466" spans="1:4" x14ac:dyDescent="0.25">
      <c r="A466" s="1">
        <v>25</v>
      </c>
      <c r="B466" s="2">
        <v>41199</v>
      </c>
      <c r="C466" s="4" t="s">
        <v>12</v>
      </c>
      <c r="D466" s="1">
        <v>9.6</v>
      </c>
    </row>
    <row r="467" spans="1:4" x14ac:dyDescent="0.25">
      <c r="A467" s="1">
        <v>25</v>
      </c>
      <c r="B467" s="2">
        <v>41220</v>
      </c>
      <c r="C467" s="4" t="s">
        <v>12</v>
      </c>
      <c r="D467" s="1">
        <v>9.6</v>
      </c>
    </row>
    <row r="468" spans="1:4" x14ac:dyDescent="0.25">
      <c r="A468" s="1">
        <v>25</v>
      </c>
      <c r="B468" s="2">
        <v>41233</v>
      </c>
      <c r="C468" s="4" t="s">
        <v>12</v>
      </c>
      <c r="D468" s="1">
        <v>9.4</v>
      </c>
    </row>
    <row r="469" spans="1:4" x14ac:dyDescent="0.25">
      <c r="A469" s="1">
        <v>25</v>
      </c>
      <c r="B469" s="2">
        <v>41248</v>
      </c>
      <c r="C469" s="4" t="s">
        <v>12</v>
      </c>
      <c r="D469" s="1">
        <v>10.4</v>
      </c>
    </row>
    <row r="470" spans="1:4" x14ac:dyDescent="0.25">
      <c r="A470" s="1">
        <v>25</v>
      </c>
      <c r="B470" s="2">
        <v>41142</v>
      </c>
      <c r="C470" s="4" t="s">
        <v>13</v>
      </c>
      <c r="D470" s="1">
        <v>40</v>
      </c>
    </row>
    <row r="471" spans="1:4" x14ac:dyDescent="0.25">
      <c r="A471" s="1">
        <v>25</v>
      </c>
      <c r="B471" s="2">
        <v>41157</v>
      </c>
      <c r="C471" s="4" t="s">
        <v>13</v>
      </c>
      <c r="D471" s="1">
        <v>51</v>
      </c>
    </row>
    <row r="472" spans="1:4" x14ac:dyDescent="0.25">
      <c r="A472" s="1">
        <v>25</v>
      </c>
      <c r="B472" s="2">
        <v>41185</v>
      </c>
      <c r="C472" s="4" t="s">
        <v>13</v>
      </c>
      <c r="D472" s="1">
        <v>57</v>
      </c>
    </row>
    <row r="473" spans="1:4" x14ac:dyDescent="0.25">
      <c r="A473" s="1">
        <v>25</v>
      </c>
      <c r="B473" s="2">
        <v>41220</v>
      </c>
      <c r="C473" s="4" t="s">
        <v>13</v>
      </c>
      <c r="D473" s="1">
        <v>59</v>
      </c>
    </row>
    <row r="474" spans="1:4" x14ac:dyDescent="0.25">
      <c r="A474" s="1">
        <v>25</v>
      </c>
      <c r="B474" s="2">
        <v>41248</v>
      </c>
      <c r="C474" s="4" t="s">
        <v>13</v>
      </c>
      <c r="D474" s="1">
        <v>66</v>
      </c>
    </row>
    <row r="475" spans="1:4" x14ac:dyDescent="0.25">
      <c r="A475" s="1">
        <v>28</v>
      </c>
      <c r="B475" s="2">
        <v>41099</v>
      </c>
      <c r="C475" s="4" t="s">
        <v>11</v>
      </c>
      <c r="D475" s="1">
        <v>1884</v>
      </c>
    </row>
    <row r="476" spans="1:4" x14ac:dyDescent="0.25">
      <c r="A476" s="1">
        <v>28</v>
      </c>
      <c r="B476" s="2">
        <v>41122</v>
      </c>
      <c r="C476" s="4" t="s">
        <v>11</v>
      </c>
      <c r="D476" s="1">
        <v>1551</v>
      </c>
    </row>
    <row r="477" spans="1:4" x14ac:dyDescent="0.25">
      <c r="A477" s="1">
        <v>28</v>
      </c>
      <c r="B477" s="2">
        <v>41157</v>
      </c>
      <c r="C477" s="4" t="s">
        <v>11</v>
      </c>
      <c r="D477" s="1">
        <v>1503</v>
      </c>
    </row>
    <row r="478" spans="1:4" x14ac:dyDescent="0.25">
      <c r="A478" s="1">
        <v>28</v>
      </c>
      <c r="B478" s="2">
        <v>41185</v>
      </c>
      <c r="C478" s="4" t="s">
        <v>11</v>
      </c>
      <c r="D478" s="1">
        <v>1293</v>
      </c>
    </row>
    <row r="479" spans="1:4" x14ac:dyDescent="0.25">
      <c r="A479" s="1">
        <v>28</v>
      </c>
      <c r="B479" s="2">
        <v>41220</v>
      </c>
      <c r="C479" s="4" t="s">
        <v>11</v>
      </c>
      <c r="D479" s="1">
        <v>1317</v>
      </c>
    </row>
    <row r="480" spans="1:4" x14ac:dyDescent="0.25">
      <c r="A480" s="1">
        <v>28</v>
      </c>
      <c r="B480" s="2">
        <v>41248</v>
      </c>
      <c r="C480" s="4" t="s">
        <v>11</v>
      </c>
      <c r="D480" s="1">
        <v>1463</v>
      </c>
    </row>
    <row r="481" spans="1:4" x14ac:dyDescent="0.25">
      <c r="A481" s="1">
        <v>28</v>
      </c>
      <c r="B481" s="2">
        <v>41099</v>
      </c>
      <c r="C481" s="4" t="s">
        <v>12</v>
      </c>
      <c r="D481" s="1">
        <v>10.6</v>
      </c>
    </row>
    <row r="482" spans="1:4" x14ac:dyDescent="0.25">
      <c r="A482" s="1">
        <v>28</v>
      </c>
      <c r="B482" s="2">
        <v>41108</v>
      </c>
      <c r="C482" s="4" t="s">
        <v>12</v>
      </c>
      <c r="D482" s="1">
        <v>10.7</v>
      </c>
    </row>
    <row r="483" spans="1:4" x14ac:dyDescent="0.25">
      <c r="A483" s="1">
        <v>28</v>
      </c>
      <c r="B483" s="2">
        <v>41122</v>
      </c>
      <c r="C483" s="4" t="s">
        <v>12</v>
      </c>
      <c r="D483" s="1">
        <v>11.4</v>
      </c>
    </row>
    <row r="484" spans="1:4" x14ac:dyDescent="0.25">
      <c r="A484" s="1">
        <v>28</v>
      </c>
      <c r="B484" s="2">
        <v>41136</v>
      </c>
      <c r="C484" s="4" t="s">
        <v>12</v>
      </c>
      <c r="D484" s="1">
        <v>11.9</v>
      </c>
    </row>
    <row r="485" spans="1:4" x14ac:dyDescent="0.25">
      <c r="A485" s="1">
        <v>28</v>
      </c>
      <c r="B485" s="2">
        <v>41143</v>
      </c>
      <c r="C485" s="4" t="s">
        <v>12</v>
      </c>
      <c r="D485" s="1">
        <v>11.6</v>
      </c>
    </row>
    <row r="486" spans="1:4" x14ac:dyDescent="0.25">
      <c r="A486" s="1">
        <v>28</v>
      </c>
      <c r="B486" s="2">
        <v>41157</v>
      </c>
      <c r="C486" s="4" t="s">
        <v>12</v>
      </c>
      <c r="D486" s="1">
        <v>11.5</v>
      </c>
    </row>
    <row r="487" spans="1:4" x14ac:dyDescent="0.25">
      <c r="A487" s="1">
        <v>28</v>
      </c>
      <c r="B487" s="2">
        <v>41171</v>
      </c>
      <c r="C487" s="4" t="s">
        <v>12</v>
      </c>
      <c r="D487" s="1">
        <v>11.8</v>
      </c>
    </row>
    <row r="488" spans="1:4" x14ac:dyDescent="0.25">
      <c r="A488" s="1">
        <v>28</v>
      </c>
      <c r="B488" s="2">
        <v>41185</v>
      </c>
      <c r="C488" s="4" t="s">
        <v>12</v>
      </c>
      <c r="D488" s="1">
        <v>11.8</v>
      </c>
    </row>
    <row r="489" spans="1:4" x14ac:dyDescent="0.25">
      <c r="A489" s="1">
        <v>28</v>
      </c>
      <c r="B489" s="2">
        <v>41199</v>
      </c>
      <c r="C489" s="4" t="s">
        <v>12</v>
      </c>
      <c r="D489" s="1">
        <v>11.1</v>
      </c>
    </row>
    <row r="490" spans="1:4" x14ac:dyDescent="0.25">
      <c r="A490" s="1">
        <v>28</v>
      </c>
      <c r="B490" s="2">
        <v>41220</v>
      </c>
      <c r="C490" s="4" t="s">
        <v>12</v>
      </c>
      <c r="D490" s="1">
        <v>9.6999999999999993</v>
      </c>
    </row>
    <row r="491" spans="1:4" x14ac:dyDescent="0.25">
      <c r="A491" s="1">
        <v>28</v>
      </c>
      <c r="B491" s="2">
        <v>41233</v>
      </c>
      <c r="C491" s="4" t="s">
        <v>12</v>
      </c>
      <c r="D491" s="1">
        <v>9.9</v>
      </c>
    </row>
    <row r="492" spans="1:4" x14ac:dyDescent="0.25">
      <c r="A492" s="1">
        <v>28</v>
      </c>
      <c r="B492" s="2">
        <v>41248</v>
      </c>
      <c r="C492" s="4" t="s">
        <v>12</v>
      </c>
      <c r="D492" s="1">
        <v>9.6</v>
      </c>
    </row>
    <row r="493" spans="1:4" x14ac:dyDescent="0.25">
      <c r="A493" s="1">
        <v>28</v>
      </c>
      <c r="B493" s="2">
        <v>41099</v>
      </c>
      <c r="C493" s="4" t="s">
        <v>13</v>
      </c>
      <c r="D493" s="1">
        <v>33</v>
      </c>
    </row>
    <row r="494" spans="1:4" x14ac:dyDescent="0.25">
      <c r="A494" s="1">
        <v>28</v>
      </c>
      <c r="B494" s="2">
        <v>41122</v>
      </c>
      <c r="C494" s="4" t="s">
        <v>13</v>
      </c>
      <c r="D494" s="1">
        <v>22</v>
      </c>
    </row>
    <row r="495" spans="1:4" x14ac:dyDescent="0.25">
      <c r="A495" s="1">
        <v>28</v>
      </c>
      <c r="B495" s="2">
        <v>41157</v>
      </c>
      <c r="C495" s="4" t="s">
        <v>13</v>
      </c>
      <c r="D495" s="1">
        <v>41</v>
      </c>
    </row>
    <row r="496" spans="1:4" x14ac:dyDescent="0.25">
      <c r="A496" s="1">
        <v>28</v>
      </c>
      <c r="B496" s="2">
        <v>41185</v>
      </c>
      <c r="C496" s="4" t="s">
        <v>13</v>
      </c>
      <c r="D496" s="1">
        <v>31</v>
      </c>
    </row>
    <row r="497" spans="1:4" x14ac:dyDescent="0.25">
      <c r="A497" s="1">
        <v>28</v>
      </c>
      <c r="B497" s="2">
        <v>41220</v>
      </c>
      <c r="C497" s="4" t="s">
        <v>13</v>
      </c>
      <c r="D497" s="1">
        <v>23</v>
      </c>
    </row>
    <row r="498" spans="1:4" x14ac:dyDescent="0.25">
      <c r="A498" s="1">
        <v>28</v>
      </c>
      <c r="B498" s="2">
        <v>41248</v>
      </c>
      <c r="C498" s="4" t="s">
        <v>13</v>
      </c>
      <c r="D498" s="1">
        <v>33</v>
      </c>
    </row>
    <row r="499" spans="1:4" x14ac:dyDescent="0.25">
      <c r="A499" s="1">
        <v>29</v>
      </c>
      <c r="B499" s="2">
        <v>41095</v>
      </c>
      <c r="C499" s="4" t="s">
        <v>11</v>
      </c>
      <c r="D499" s="1">
        <v>523</v>
      </c>
    </row>
    <row r="500" spans="1:4" x14ac:dyDescent="0.25">
      <c r="A500" s="1">
        <v>29</v>
      </c>
      <c r="B500" s="2">
        <v>41123</v>
      </c>
      <c r="C500" s="4" t="s">
        <v>11</v>
      </c>
      <c r="D500" s="1">
        <v>568</v>
      </c>
    </row>
    <row r="501" spans="1:4" x14ac:dyDescent="0.25">
      <c r="A501" s="1">
        <v>29</v>
      </c>
      <c r="B501" s="2">
        <v>41186</v>
      </c>
      <c r="C501" s="4" t="s">
        <v>11</v>
      </c>
      <c r="D501" s="1">
        <v>475</v>
      </c>
    </row>
    <row r="502" spans="1:4" x14ac:dyDescent="0.25">
      <c r="A502" s="1">
        <v>29</v>
      </c>
      <c r="B502" s="2">
        <v>41223</v>
      </c>
      <c r="C502" s="4" t="s">
        <v>11</v>
      </c>
      <c r="D502" s="1">
        <v>746</v>
      </c>
    </row>
    <row r="503" spans="1:4" x14ac:dyDescent="0.25">
      <c r="A503" s="1">
        <v>29</v>
      </c>
      <c r="B503" s="2">
        <v>41095</v>
      </c>
      <c r="C503" s="4" t="s">
        <v>12</v>
      </c>
      <c r="D503" s="1">
        <v>11.6</v>
      </c>
    </row>
    <row r="504" spans="1:4" x14ac:dyDescent="0.25">
      <c r="A504" s="1">
        <v>29</v>
      </c>
      <c r="B504" s="2">
        <v>41102</v>
      </c>
      <c r="C504" s="4" t="s">
        <v>12</v>
      </c>
      <c r="D504" s="1">
        <v>12</v>
      </c>
    </row>
    <row r="505" spans="1:4" x14ac:dyDescent="0.25">
      <c r="A505" s="1">
        <v>29</v>
      </c>
      <c r="B505" s="2">
        <v>41109</v>
      </c>
      <c r="C505" s="4" t="s">
        <v>12</v>
      </c>
      <c r="D505" s="1">
        <v>10.8</v>
      </c>
    </row>
    <row r="506" spans="1:4" x14ac:dyDescent="0.25">
      <c r="A506" s="1">
        <v>29</v>
      </c>
      <c r="B506" s="2">
        <v>41123</v>
      </c>
      <c r="C506" s="4" t="s">
        <v>12</v>
      </c>
      <c r="D506" s="1">
        <v>12.2</v>
      </c>
    </row>
    <row r="507" spans="1:4" x14ac:dyDescent="0.25">
      <c r="A507" s="1">
        <v>29</v>
      </c>
      <c r="B507" s="2">
        <v>41137</v>
      </c>
      <c r="C507" s="4" t="s">
        <v>12</v>
      </c>
      <c r="D507" s="1">
        <v>10.6</v>
      </c>
    </row>
    <row r="508" spans="1:4" x14ac:dyDescent="0.25">
      <c r="A508" s="1">
        <v>29</v>
      </c>
      <c r="B508" s="2">
        <v>41153</v>
      </c>
      <c r="C508" s="4" t="s">
        <v>12</v>
      </c>
      <c r="D508" s="1">
        <v>10.1</v>
      </c>
    </row>
    <row r="509" spans="1:4" x14ac:dyDescent="0.25">
      <c r="A509" s="1">
        <v>29</v>
      </c>
      <c r="B509" s="2">
        <v>41156</v>
      </c>
      <c r="C509" s="4" t="s">
        <v>12</v>
      </c>
      <c r="D509" s="1">
        <v>9.6</v>
      </c>
    </row>
    <row r="510" spans="1:4" x14ac:dyDescent="0.25">
      <c r="A510" s="1">
        <v>29</v>
      </c>
      <c r="B510" s="2">
        <v>41174</v>
      </c>
      <c r="C510" s="4" t="s">
        <v>12</v>
      </c>
      <c r="D510" s="1">
        <v>11.7</v>
      </c>
    </row>
    <row r="511" spans="1:4" x14ac:dyDescent="0.25">
      <c r="A511" s="1">
        <v>29</v>
      </c>
      <c r="B511" s="2">
        <v>41186</v>
      </c>
      <c r="C511" s="4" t="s">
        <v>12</v>
      </c>
      <c r="D511" s="1">
        <v>12.3</v>
      </c>
    </row>
    <row r="512" spans="1:4" x14ac:dyDescent="0.25">
      <c r="A512" s="1">
        <v>29</v>
      </c>
      <c r="B512" s="2">
        <v>41200</v>
      </c>
      <c r="C512" s="4" t="s">
        <v>12</v>
      </c>
      <c r="D512" s="1">
        <v>11.3</v>
      </c>
    </row>
    <row r="513" spans="1:4" x14ac:dyDescent="0.25">
      <c r="A513" s="1">
        <v>29</v>
      </c>
      <c r="B513" s="2">
        <v>41223</v>
      </c>
      <c r="C513" s="4" t="s">
        <v>12</v>
      </c>
      <c r="D513" s="1">
        <v>8.8000000000000007</v>
      </c>
    </row>
    <row r="514" spans="1:4" x14ac:dyDescent="0.25">
      <c r="A514" s="1">
        <v>29</v>
      </c>
      <c r="B514" s="2">
        <v>41230</v>
      </c>
      <c r="C514" s="4" t="s">
        <v>12</v>
      </c>
      <c r="D514" s="1">
        <v>9</v>
      </c>
    </row>
    <row r="515" spans="1:4" x14ac:dyDescent="0.25">
      <c r="A515" s="1">
        <v>29</v>
      </c>
      <c r="B515" s="2">
        <v>41232</v>
      </c>
      <c r="C515" s="4" t="s">
        <v>12</v>
      </c>
      <c r="D515" s="1">
        <v>9.4</v>
      </c>
    </row>
    <row r="516" spans="1:4" x14ac:dyDescent="0.25">
      <c r="A516" s="1">
        <v>29</v>
      </c>
      <c r="B516" s="2">
        <v>41095</v>
      </c>
      <c r="C516" s="4" t="s">
        <v>13</v>
      </c>
      <c r="D516" s="1">
        <v>24</v>
      </c>
    </row>
    <row r="517" spans="1:4" x14ac:dyDescent="0.25">
      <c r="A517" s="1">
        <v>29</v>
      </c>
      <c r="B517" s="2">
        <v>41123</v>
      </c>
      <c r="C517" s="4" t="s">
        <v>13</v>
      </c>
      <c r="D517" s="1">
        <v>25</v>
      </c>
    </row>
    <row r="518" spans="1:4" x14ac:dyDescent="0.25">
      <c r="A518" s="1">
        <v>29</v>
      </c>
      <c r="B518" s="2">
        <v>41186</v>
      </c>
      <c r="C518" s="4" t="s">
        <v>13</v>
      </c>
      <c r="D518" s="1">
        <v>31</v>
      </c>
    </row>
    <row r="519" spans="1:4" x14ac:dyDescent="0.25">
      <c r="A519" s="1">
        <v>29</v>
      </c>
      <c r="B519" s="2">
        <v>41223</v>
      </c>
      <c r="C519" s="4" t="s">
        <v>13</v>
      </c>
      <c r="D519" s="1">
        <v>34</v>
      </c>
    </row>
    <row r="520" spans="1:4" x14ac:dyDescent="0.25">
      <c r="A520" s="1" t="e">
        <v>#N/A</v>
      </c>
      <c r="B520" s="2">
        <v>41211</v>
      </c>
      <c r="C520" s="4" t="s">
        <v>11</v>
      </c>
      <c r="D520" s="1">
        <v>1007</v>
      </c>
    </row>
    <row r="521" spans="1:4" x14ac:dyDescent="0.25">
      <c r="A521" s="1" t="e">
        <v>#N/A</v>
      </c>
      <c r="B521" s="2">
        <v>41222</v>
      </c>
      <c r="C521" s="4" t="s">
        <v>11</v>
      </c>
      <c r="D521" s="1">
        <v>1162</v>
      </c>
    </row>
    <row r="522" spans="1:4" x14ac:dyDescent="0.25">
      <c r="A522" s="1" t="e">
        <v>#N/A</v>
      </c>
      <c r="B522" s="2">
        <v>41248</v>
      </c>
      <c r="C522" s="4" t="s">
        <v>11</v>
      </c>
      <c r="D522" s="1">
        <v>1587</v>
      </c>
    </row>
    <row r="523" spans="1:4" x14ac:dyDescent="0.25">
      <c r="A523" s="1" t="e">
        <v>#N/A</v>
      </c>
      <c r="B523" s="2">
        <v>41211</v>
      </c>
      <c r="C523" s="4" t="s">
        <v>12</v>
      </c>
      <c r="D523" s="1">
        <v>10.8</v>
      </c>
    </row>
    <row r="524" spans="1:4" x14ac:dyDescent="0.25">
      <c r="A524" s="1" t="e">
        <v>#N/A</v>
      </c>
      <c r="B524" s="2">
        <v>41222</v>
      </c>
      <c r="C524" s="4" t="s">
        <v>12</v>
      </c>
      <c r="D524" s="1">
        <v>11.8</v>
      </c>
    </row>
    <row r="525" spans="1:4" x14ac:dyDescent="0.25">
      <c r="A525" s="1" t="e">
        <v>#N/A</v>
      </c>
      <c r="B525" s="2">
        <v>41233</v>
      </c>
      <c r="C525" s="4" t="s">
        <v>12</v>
      </c>
      <c r="D525" s="1">
        <v>11.9</v>
      </c>
    </row>
    <row r="526" spans="1:4" x14ac:dyDescent="0.25">
      <c r="A526" s="1" t="e">
        <v>#N/A</v>
      </c>
      <c r="B526" s="2">
        <v>41248</v>
      </c>
      <c r="C526" s="4" t="s">
        <v>12</v>
      </c>
      <c r="D526" s="1">
        <v>11.9</v>
      </c>
    </row>
    <row r="527" spans="1:4" x14ac:dyDescent="0.25">
      <c r="A527" s="1" t="e">
        <v>#N/A</v>
      </c>
      <c r="B527" s="2">
        <v>41211</v>
      </c>
      <c r="C527" s="4" t="s">
        <v>13</v>
      </c>
      <c r="D527" s="1">
        <v>13</v>
      </c>
    </row>
    <row r="528" spans="1:4" x14ac:dyDescent="0.25">
      <c r="A528" s="1" t="e">
        <v>#N/A</v>
      </c>
      <c r="B528" s="2">
        <v>41222</v>
      </c>
      <c r="C528" s="4" t="s">
        <v>13</v>
      </c>
      <c r="D528" s="1">
        <v>19</v>
      </c>
    </row>
    <row r="529" spans="1:4" x14ac:dyDescent="0.25">
      <c r="A529" s="1" t="e">
        <v>#N/A</v>
      </c>
      <c r="B529" s="2">
        <v>41248</v>
      </c>
      <c r="C529" s="4" t="s">
        <v>13</v>
      </c>
      <c r="D529" s="1">
        <v>30</v>
      </c>
    </row>
    <row r="530" spans="1:4" x14ac:dyDescent="0.25">
      <c r="A530" s="1">
        <v>30</v>
      </c>
      <c r="B530" s="2">
        <v>41094</v>
      </c>
      <c r="C530" s="4" t="s">
        <v>11</v>
      </c>
      <c r="D530" s="1">
        <v>1053</v>
      </c>
    </row>
    <row r="531" spans="1:4" x14ac:dyDescent="0.25">
      <c r="A531" s="1">
        <v>30</v>
      </c>
      <c r="B531" s="2">
        <v>41122</v>
      </c>
      <c r="C531" s="4" t="s">
        <v>11</v>
      </c>
      <c r="D531" s="1">
        <v>1515</v>
      </c>
    </row>
    <row r="532" spans="1:4" x14ac:dyDescent="0.25">
      <c r="A532" s="1">
        <v>30</v>
      </c>
      <c r="B532" s="2">
        <v>41156</v>
      </c>
      <c r="C532" s="4" t="s">
        <v>11</v>
      </c>
      <c r="D532" s="1">
        <v>1039</v>
      </c>
    </row>
    <row r="533" spans="1:4" x14ac:dyDescent="0.25">
      <c r="A533" s="1">
        <v>30</v>
      </c>
      <c r="B533" s="2">
        <v>41186</v>
      </c>
      <c r="C533" s="4" t="s">
        <v>11</v>
      </c>
      <c r="D533" s="1">
        <v>753</v>
      </c>
    </row>
    <row r="534" spans="1:4" x14ac:dyDescent="0.25">
      <c r="A534" s="1">
        <v>30</v>
      </c>
      <c r="B534" s="2">
        <v>41221</v>
      </c>
      <c r="C534" s="4" t="s">
        <v>11</v>
      </c>
      <c r="D534" s="1">
        <v>1244</v>
      </c>
    </row>
    <row r="535" spans="1:4" x14ac:dyDescent="0.25">
      <c r="A535" s="1">
        <v>30</v>
      </c>
      <c r="B535" s="2">
        <v>41094</v>
      </c>
      <c r="C535" s="4" t="s">
        <v>12</v>
      </c>
      <c r="D535" s="1">
        <v>10.8</v>
      </c>
    </row>
    <row r="536" spans="1:4" x14ac:dyDescent="0.25">
      <c r="A536" s="1">
        <v>30</v>
      </c>
      <c r="B536" s="2">
        <v>41108</v>
      </c>
      <c r="C536" s="4" t="s">
        <v>12</v>
      </c>
      <c r="D536" s="1">
        <v>11.9</v>
      </c>
    </row>
    <row r="537" spans="1:4" x14ac:dyDescent="0.25">
      <c r="A537" s="1">
        <v>30</v>
      </c>
      <c r="B537" s="2">
        <v>41115</v>
      </c>
      <c r="C537" s="4" t="s">
        <v>12</v>
      </c>
      <c r="D537" s="1">
        <v>11</v>
      </c>
    </row>
    <row r="538" spans="1:4" x14ac:dyDescent="0.25">
      <c r="A538" s="1">
        <v>30</v>
      </c>
      <c r="B538" s="2">
        <v>41122</v>
      </c>
      <c r="C538" s="4" t="s">
        <v>12</v>
      </c>
      <c r="D538" s="1">
        <v>10.6</v>
      </c>
    </row>
    <row r="539" spans="1:4" x14ac:dyDescent="0.25">
      <c r="A539" s="1">
        <v>30</v>
      </c>
      <c r="B539" s="2">
        <v>41136</v>
      </c>
      <c r="C539" s="4" t="s">
        <v>12</v>
      </c>
      <c r="D539" s="1">
        <v>10.4</v>
      </c>
    </row>
    <row r="540" spans="1:4" x14ac:dyDescent="0.25">
      <c r="A540" s="1">
        <v>30</v>
      </c>
      <c r="B540" s="2">
        <v>41156</v>
      </c>
      <c r="C540" s="4" t="s">
        <v>12</v>
      </c>
      <c r="D540" s="1">
        <v>10.8</v>
      </c>
    </row>
    <row r="541" spans="1:4" x14ac:dyDescent="0.25">
      <c r="A541" s="1">
        <v>30</v>
      </c>
      <c r="B541" s="2">
        <v>41172</v>
      </c>
      <c r="C541" s="4" t="s">
        <v>12</v>
      </c>
      <c r="D541" s="1">
        <v>11.1</v>
      </c>
    </row>
    <row r="542" spans="1:4" x14ac:dyDescent="0.25">
      <c r="A542" s="1">
        <v>30</v>
      </c>
      <c r="B542" s="2">
        <v>41186</v>
      </c>
      <c r="C542" s="4" t="s">
        <v>12</v>
      </c>
      <c r="D542" s="1">
        <v>10.199999999999999</v>
      </c>
    </row>
    <row r="543" spans="1:4" x14ac:dyDescent="0.25">
      <c r="A543" s="1">
        <v>30</v>
      </c>
      <c r="B543" s="2">
        <v>41200</v>
      </c>
      <c r="C543" s="4" t="s">
        <v>12</v>
      </c>
      <c r="D543" s="1">
        <v>10.5</v>
      </c>
    </row>
    <row r="544" spans="1:4" x14ac:dyDescent="0.25">
      <c r="A544" s="1">
        <v>30</v>
      </c>
      <c r="B544" s="2">
        <v>41221</v>
      </c>
      <c r="C544" s="4" t="s">
        <v>12</v>
      </c>
      <c r="D544" s="1">
        <v>12.4</v>
      </c>
    </row>
    <row r="545" spans="1:4" x14ac:dyDescent="0.25">
      <c r="A545" s="1">
        <v>30</v>
      </c>
      <c r="B545" s="2">
        <v>41232</v>
      </c>
      <c r="C545" s="4" t="s">
        <v>12</v>
      </c>
      <c r="D545" s="1">
        <v>12.3</v>
      </c>
    </row>
    <row r="546" spans="1:4" x14ac:dyDescent="0.25">
      <c r="A546" s="1">
        <v>30</v>
      </c>
      <c r="B546" s="2">
        <v>41094</v>
      </c>
      <c r="C546" s="4" t="s">
        <v>13</v>
      </c>
      <c r="D546" s="1">
        <v>26</v>
      </c>
    </row>
    <row r="547" spans="1:4" x14ac:dyDescent="0.25">
      <c r="A547" s="1">
        <v>30</v>
      </c>
      <c r="B547" s="2">
        <v>41122</v>
      </c>
      <c r="C547" s="4" t="s">
        <v>13</v>
      </c>
      <c r="D547" s="1">
        <v>23</v>
      </c>
    </row>
    <row r="548" spans="1:4" x14ac:dyDescent="0.25">
      <c r="A548" s="1">
        <v>30</v>
      </c>
      <c r="B548" s="2">
        <v>41156</v>
      </c>
      <c r="C548" s="4" t="s">
        <v>13</v>
      </c>
      <c r="D548" s="1">
        <v>25</v>
      </c>
    </row>
    <row r="549" spans="1:4" x14ac:dyDescent="0.25">
      <c r="A549" s="1">
        <v>30</v>
      </c>
      <c r="B549" s="2">
        <v>41186</v>
      </c>
      <c r="C549" s="4" t="s">
        <v>13</v>
      </c>
      <c r="D549" s="1">
        <v>12</v>
      </c>
    </row>
    <row r="550" spans="1:4" x14ac:dyDescent="0.25">
      <c r="A550" s="1">
        <v>30</v>
      </c>
      <c r="B550" s="2">
        <v>41221</v>
      </c>
      <c r="C550" s="4" t="s">
        <v>13</v>
      </c>
      <c r="D550" s="1">
        <v>37</v>
      </c>
    </row>
    <row r="551" spans="1:4" x14ac:dyDescent="0.25">
      <c r="A551" s="1">
        <v>31</v>
      </c>
      <c r="B551" s="2">
        <v>41097</v>
      </c>
      <c r="C551" s="4" t="s">
        <v>11</v>
      </c>
      <c r="D551" s="1">
        <v>426</v>
      </c>
    </row>
    <row r="552" spans="1:4" x14ac:dyDescent="0.25">
      <c r="A552" s="1">
        <v>31</v>
      </c>
      <c r="B552" s="2">
        <v>41124</v>
      </c>
      <c r="C552" s="4" t="s">
        <v>11</v>
      </c>
      <c r="D552" s="1">
        <v>232</v>
      </c>
    </row>
    <row r="553" spans="1:4" x14ac:dyDescent="0.25">
      <c r="A553" s="1">
        <v>31</v>
      </c>
      <c r="B553" s="2">
        <v>41158</v>
      </c>
      <c r="C553" s="4" t="s">
        <v>11</v>
      </c>
      <c r="D553" s="1">
        <v>486</v>
      </c>
    </row>
    <row r="554" spans="1:4" x14ac:dyDescent="0.25">
      <c r="A554" s="1">
        <v>31</v>
      </c>
      <c r="B554" s="2">
        <v>41186</v>
      </c>
      <c r="C554" s="4" t="s">
        <v>11</v>
      </c>
      <c r="D554" s="1">
        <v>333</v>
      </c>
    </row>
    <row r="555" spans="1:4" x14ac:dyDescent="0.25">
      <c r="A555" s="1">
        <v>31</v>
      </c>
      <c r="B555" s="2">
        <v>41223</v>
      </c>
      <c r="C555" s="4" t="s">
        <v>11</v>
      </c>
      <c r="D555" s="1">
        <v>588</v>
      </c>
    </row>
    <row r="556" spans="1:4" x14ac:dyDescent="0.25">
      <c r="A556" s="1">
        <v>31</v>
      </c>
      <c r="B556" s="2">
        <v>41097</v>
      </c>
      <c r="C556" s="4" t="s">
        <v>12</v>
      </c>
      <c r="D556" s="1">
        <v>9.9</v>
      </c>
    </row>
    <row r="557" spans="1:4" x14ac:dyDescent="0.25">
      <c r="A557" s="1">
        <v>31</v>
      </c>
      <c r="B557" s="2">
        <v>41109</v>
      </c>
      <c r="C557" s="4" t="s">
        <v>12</v>
      </c>
      <c r="D557" s="1">
        <v>10.8</v>
      </c>
    </row>
    <row r="558" spans="1:4" x14ac:dyDescent="0.25">
      <c r="A558" s="1">
        <v>31</v>
      </c>
      <c r="B558" s="2">
        <v>41124</v>
      </c>
      <c r="C558" s="4" t="s">
        <v>12</v>
      </c>
      <c r="D558" s="1">
        <v>11.6</v>
      </c>
    </row>
    <row r="559" spans="1:4" x14ac:dyDescent="0.25">
      <c r="A559" s="1">
        <v>31</v>
      </c>
      <c r="B559" s="2">
        <v>41139</v>
      </c>
      <c r="C559" s="4" t="s">
        <v>12</v>
      </c>
      <c r="D559" s="1">
        <v>11.6</v>
      </c>
    </row>
    <row r="560" spans="1:4" x14ac:dyDescent="0.25">
      <c r="A560" s="1">
        <v>31</v>
      </c>
      <c r="B560" s="2">
        <v>41158</v>
      </c>
      <c r="C560" s="4" t="s">
        <v>12</v>
      </c>
      <c r="D560" s="1">
        <v>9.6</v>
      </c>
    </row>
    <row r="561" spans="1:4" x14ac:dyDescent="0.25">
      <c r="A561" s="1">
        <v>31</v>
      </c>
      <c r="B561" s="2">
        <v>41174</v>
      </c>
      <c r="C561" s="4" t="s">
        <v>12</v>
      </c>
      <c r="D561" s="1">
        <v>9.4</v>
      </c>
    </row>
    <row r="562" spans="1:4" x14ac:dyDescent="0.25">
      <c r="A562" s="1">
        <v>31</v>
      </c>
      <c r="B562" s="2">
        <v>41186</v>
      </c>
      <c r="C562" s="4" t="s">
        <v>12</v>
      </c>
      <c r="D562" s="1">
        <v>9.6999999999999993</v>
      </c>
    </row>
    <row r="563" spans="1:4" x14ac:dyDescent="0.25">
      <c r="A563" s="1">
        <v>31</v>
      </c>
      <c r="B563" s="2">
        <v>41200</v>
      </c>
      <c r="C563" s="4" t="s">
        <v>12</v>
      </c>
      <c r="D563" s="1">
        <v>11.1</v>
      </c>
    </row>
    <row r="564" spans="1:4" x14ac:dyDescent="0.25">
      <c r="A564" s="1">
        <v>31</v>
      </c>
      <c r="B564" s="2">
        <v>41223</v>
      </c>
      <c r="C564" s="4" t="s">
        <v>12</v>
      </c>
      <c r="D564" s="1">
        <v>11.1</v>
      </c>
    </row>
    <row r="565" spans="1:4" x14ac:dyDescent="0.25">
      <c r="A565" s="1">
        <v>31</v>
      </c>
      <c r="B565" s="2">
        <v>41232</v>
      </c>
      <c r="C565" s="4" t="s">
        <v>12</v>
      </c>
      <c r="D565" s="1">
        <v>11.3</v>
      </c>
    </row>
    <row r="566" spans="1:4" x14ac:dyDescent="0.25">
      <c r="A566" s="1">
        <v>31</v>
      </c>
      <c r="B566" s="2">
        <v>41097</v>
      </c>
      <c r="C566" s="4" t="s">
        <v>13</v>
      </c>
      <c r="D566" s="1">
        <v>46</v>
      </c>
    </row>
    <row r="567" spans="1:4" x14ac:dyDescent="0.25">
      <c r="A567" s="1">
        <v>31</v>
      </c>
      <c r="B567" s="2">
        <v>41124</v>
      </c>
      <c r="C567" s="4" t="s">
        <v>13</v>
      </c>
      <c r="D567" s="1">
        <v>19</v>
      </c>
    </row>
    <row r="568" spans="1:4" x14ac:dyDescent="0.25">
      <c r="A568" s="1">
        <v>31</v>
      </c>
      <c r="B568" s="2">
        <v>41158</v>
      </c>
      <c r="C568" s="4" t="s">
        <v>13</v>
      </c>
      <c r="D568" s="1">
        <v>52</v>
      </c>
    </row>
    <row r="569" spans="1:4" x14ac:dyDescent="0.25">
      <c r="A569" s="1">
        <v>31</v>
      </c>
      <c r="B569" s="2">
        <v>41186</v>
      </c>
      <c r="C569" s="4" t="s">
        <v>13</v>
      </c>
      <c r="D569" s="1">
        <v>28</v>
      </c>
    </row>
    <row r="570" spans="1:4" x14ac:dyDescent="0.25">
      <c r="A570" s="1">
        <v>31</v>
      </c>
      <c r="B570" s="2">
        <v>41223</v>
      </c>
      <c r="C570" s="4" t="s">
        <v>13</v>
      </c>
      <c r="D570" s="1">
        <v>29</v>
      </c>
    </row>
    <row r="571" spans="1:4" x14ac:dyDescent="0.25">
      <c r="A571" s="1">
        <v>33</v>
      </c>
      <c r="B571" s="2">
        <v>41095</v>
      </c>
      <c r="C571" s="4" t="s">
        <v>11</v>
      </c>
      <c r="D571" s="1">
        <v>666</v>
      </c>
    </row>
    <row r="572" spans="1:4" x14ac:dyDescent="0.25">
      <c r="A572" s="1">
        <v>33</v>
      </c>
      <c r="B572" s="2">
        <v>41123</v>
      </c>
      <c r="C572" s="4" t="s">
        <v>11</v>
      </c>
      <c r="D572" s="1">
        <v>869</v>
      </c>
    </row>
    <row r="573" spans="1:4" x14ac:dyDescent="0.25">
      <c r="A573" s="1">
        <v>33</v>
      </c>
      <c r="B573" s="2">
        <v>41156</v>
      </c>
      <c r="C573" s="4" t="s">
        <v>11</v>
      </c>
      <c r="D573" s="1">
        <v>474</v>
      </c>
    </row>
    <row r="574" spans="1:4" x14ac:dyDescent="0.25">
      <c r="A574" s="1">
        <v>33</v>
      </c>
      <c r="B574" s="2">
        <v>41188</v>
      </c>
      <c r="C574" s="4" t="s">
        <v>11</v>
      </c>
      <c r="D574" s="1">
        <v>924</v>
      </c>
    </row>
    <row r="575" spans="1:4" x14ac:dyDescent="0.25">
      <c r="A575" s="1">
        <v>33</v>
      </c>
      <c r="B575" s="2">
        <v>41221</v>
      </c>
      <c r="C575" s="4" t="s">
        <v>11</v>
      </c>
      <c r="D575" s="1">
        <v>462</v>
      </c>
    </row>
    <row r="576" spans="1:4" x14ac:dyDescent="0.25">
      <c r="A576" s="1">
        <v>33</v>
      </c>
      <c r="B576" s="2">
        <v>41095</v>
      </c>
      <c r="C576" s="4" t="s">
        <v>12</v>
      </c>
      <c r="D576" s="1">
        <v>11.3</v>
      </c>
    </row>
    <row r="577" spans="1:4" x14ac:dyDescent="0.25">
      <c r="A577" s="1">
        <v>33</v>
      </c>
      <c r="B577" s="2">
        <v>41109</v>
      </c>
      <c r="C577" s="4" t="s">
        <v>12</v>
      </c>
      <c r="D577" s="1">
        <v>12.7</v>
      </c>
    </row>
    <row r="578" spans="1:4" x14ac:dyDescent="0.25">
      <c r="A578" s="1">
        <v>33</v>
      </c>
      <c r="B578" s="2">
        <v>41116</v>
      </c>
      <c r="C578" s="4" t="s">
        <v>12</v>
      </c>
      <c r="D578" s="1">
        <v>12.6</v>
      </c>
    </row>
    <row r="579" spans="1:4" x14ac:dyDescent="0.25">
      <c r="A579" s="1">
        <v>33</v>
      </c>
      <c r="B579" s="2">
        <v>41123</v>
      </c>
      <c r="C579" s="4" t="s">
        <v>12</v>
      </c>
      <c r="D579" s="1">
        <v>12.7</v>
      </c>
    </row>
    <row r="580" spans="1:4" x14ac:dyDescent="0.25">
      <c r="A580" s="1">
        <v>33</v>
      </c>
      <c r="B580" s="2">
        <v>41137</v>
      </c>
      <c r="C580" s="4" t="s">
        <v>12</v>
      </c>
      <c r="D580" s="1">
        <v>10.9</v>
      </c>
    </row>
    <row r="581" spans="1:4" x14ac:dyDescent="0.25">
      <c r="A581" s="1">
        <v>33</v>
      </c>
      <c r="B581" s="2">
        <v>41156</v>
      </c>
      <c r="C581" s="4" t="s">
        <v>12</v>
      </c>
      <c r="D581" s="1">
        <v>10.4</v>
      </c>
    </row>
    <row r="582" spans="1:4" x14ac:dyDescent="0.25">
      <c r="A582" s="1">
        <v>33</v>
      </c>
      <c r="B582" s="2">
        <v>41172</v>
      </c>
      <c r="C582" s="4" t="s">
        <v>12</v>
      </c>
      <c r="D582" s="1">
        <v>9.8000000000000007</v>
      </c>
    </row>
    <row r="583" spans="1:4" x14ac:dyDescent="0.25">
      <c r="A583" s="1">
        <v>33</v>
      </c>
      <c r="B583" s="2">
        <v>41188</v>
      </c>
      <c r="C583" s="4" t="s">
        <v>12</v>
      </c>
      <c r="D583" s="1">
        <v>7</v>
      </c>
    </row>
    <row r="584" spans="1:4" x14ac:dyDescent="0.25">
      <c r="A584" s="1">
        <v>33</v>
      </c>
      <c r="B584" s="2">
        <v>41191</v>
      </c>
      <c r="C584" s="4" t="s">
        <v>12</v>
      </c>
      <c r="D584" s="1">
        <v>7.1</v>
      </c>
    </row>
    <row r="585" spans="1:4" x14ac:dyDescent="0.25">
      <c r="A585" s="1">
        <v>33</v>
      </c>
      <c r="B585" s="2">
        <v>41195</v>
      </c>
      <c r="C585" s="4" t="s">
        <v>12</v>
      </c>
      <c r="D585" s="1">
        <v>6.5</v>
      </c>
    </row>
    <row r="586" spans="1:4" x14ac:dyDescent="0.25">
      <c r="A586" s="1">
        <v>33</v>
      </c>
      <c r="B586" s="2">
        <v>41205</v>
      </c>
      <c r="C586" s="4" t="s">
        <v>12</v>
      </c>
      <c r="D586" s="1">
        <v>6.4</v>
      </c>
    </row>
    <row r="587" spans="1:4" x14ac:dyDescent="0.25">
      <c r="A587" s="1">
        <v>33</v>
      </c>
      <c r="B587" s="2">
        <v>41209</v>
      </c>
      <c r="C587" s="4" t="s">
        <v>12</v>
      </c>
      <c r="D587" s="1">
        <v>9.3000000000000007</v>
      </c>
    </row>
    <row r="588" spans="1:4" x14ac:dyDescent="0.25">
      <c r="A588" s="1">
        <v>33</v>
      </c>
      <c r="B588" s="2">
        <v>41221</v>
      </c>
      <c r="C588" s="4" t="s">
        <v>12</v>
      </c>
      <c r="D588" s="1">
        <v>11.8</v>
      </c>
    </row>
    <row r="589" spans="1:4" x14ac:dyDescent="0.25">
      <c r="A589" s="1">
        <v>33</v>
      </c>
      <c r="B589" s="2">
        <v>41226</v>
      </c>
      <c r="C589" s="4" t="s">
        <v>12</v>
      </c>
      <c r="D589" s="1">
        <v>10.7</v>
      </c>
    </row>
    <row r="590" spans="1:4" x14ac:dyDescent="0.25">
      <c r="A590" s="1">
        <v>33</v>
      </c>
      <c r="B590" s="2">
        <v>41232</v>
      </c>
      <c r="C590" s="4" t="s">
        <v>12</v>
      </c>
      <c r="D590" s="1">
        <v>9.1999999999999993</v>
      </c>
    </row>
    <row r="591" spans="1:4" x14ac:dyDescent="0.25">
      <c r="A591" s="1">
        <v>33</v>
      </c>
      <c r="B591" s="2">
        <v>41095</v>
      </c>
      <c r="C591" s="4" t="s">
        <v>13</v>
      </c>
      <c r="D591" s="1">
        <v>90</v>
      </c>
    </row>
    <row r="592" spans="1:4" x14ac:dyDescent="0.25">
      <c r="A592" s="1">
        <v>33</v>
      </c>
      <c r="B592" s="2">
        <v>41123</v>
      </c>
      <c r="C592" s="4" t="s">
        <v>13</v>
      </c>
      <c r="D592" s="1">
        <v>91</v>
      </c>
    </row>
    <row r="593" spans="1:4" x14ac:dyDescent="0.25">
      <c r="A593" s="1">
        <v>33</v>
      </c>
      <c r="B593" s="2">
        <v>41156</v>
      </c>
      <c r="C593" s="4" t="s">
        <v>13</v>
      </c>
      <c r="D593" s="1">
        <v>38</v>
      </c>
    </row>
    <row r="594" spans="1:4" x14ac:dyDescent="0.25">
      <c r="A594" s="1">
        <v>33</v>
      </c>
      <c r="B594" s="2">
        <v>41188</v>
      </c>
      <c r="C594" s="4" t="s">
        <v>13</v>
      </c>
      <c r="D594" s="1">
        <v>34</v>
      </c>
    </row>
    <row r="595" spans="1:4" x14ac:dyDescent="0.25">
      <c r="A595" s="1">
        <v>33</v>
      </c>
      <c r="B595" s="2">
        <v>41221</v>
      </c>
      <c r="C595" s="4" t="s">
        <v>13</v>
      </c>
      <c r="D595" s="1">
        <v>19</v>
      </c>
    </row>
    <row r="596" spans="1:4" x14ac:dyDescent="0.25">
      <c r="A596" s="1">
        <v>34</v>
      </c>
      <c r="B596" s="2">
        <v>41099</v>
      </c>
      <c r="C596" s="4" t="s">
        <v>11</v>
      </c>
      <c r="D596" s="1">
        <v>119</v>
      </c>
    </row>
    <row r="597" spans="1:4" x14ac:dyDescent="0.25">
      <c r="A597" s="1">
        <v>34</v>
      </c>
      <c r="B597" s="2">
        <v>41122</v>
      </c>
      <c r="C597" s="4" t="s">
        <v>11</v>
      </c>
      <c r="D597" s="1">
        <v>340</v>
      </c>
    </row>
    <row r="598" spans="1:4" x14ac:dyDescent="0.25">
      <c r="A598" s="1">
        <v>34</v>
      </c>
      <c r="B598" s="2">
        <v>41157</v>
      </c>
      <c r="C598" s="4" t="s">
        <v>11</v>
      </c>
      <c r="D598" s="1">
        <v>426</v>
      </c>
    </row>
    <row r="599" spans="1:4" x14ac:dyDescent="0.25">
      <c r="A599" s="1">
        <v>34</v>
      </c>
      <c r="B599" s="2">
        <v>41185</v>
      </c>
      <c r="C599" s="4" t="s">
        <v>11</v>
      </c>
      <c r="D599" s="1">
        <v>512</v>
      </c>
    </row>
    <row r="600" spans="1:4" x14ac:dyDescent="0.25">
      <c r="A600" s="1">
        <v>34</v>
      </c>
      <c r="B600" s="2">
        <v>41220</v>
      </c>
      <c r="C600" s="4" t="s">
        <v>11</v>
      </c>
      <c r="D600" s="1">
        <v>511</v>
      </c>
    </row>
    <row r="601" spans="1:4" x14ac:dyDescent="0.25">
      <c r="A601" s="1">
        <v>34</v>
      </c>
      <c r="B601" s="2">
        <v>41248</v>
      </c>
      <c r="C601" s="4" t="s">
        <v>11</v>
      </c>
      <c r="D601" s="1">
        <v>415</v>
      </c>
    </row>
    <row r="602" spans="1:4" x14ac:dyDescent="0.25">
      <c r="A602" s="1">
        <v>34</v>
      </c>
      <c r="B602" s="2">
        <v>41099</v>
      </c>
      <c r="C602" s="4" t="s">
        <v>12</v>
      </c>
      <c r="D602" s="1">
        <v>9.5</v>
      </c>
    </row>
    <row r="603" spans="1:4" x14ac:dyDescent="0.25">
      <c r="A603" s="1">
        <v>34</v>
      </c>
      <c r="B603" s="2">
        <v>41117</v>
      </c>
      <c r="C603" s="4" t="s">
        <v>12</v>
      </c>
      <c r="D603" s="1">
        <v>10.4</v>
      </c>
    </row>
    <row r="604" spans="1:4" x14ac:dyDescent="0.25">
      <c r="A604" s="1">
        <v>34</v>
      </c>
      <c r="B604" s="2">
        <v>41122</v>
      </c>
      <c r="C604" s="4" t="s">
        <v>12</v>
      </c>
      <c r="D604" s="1">
        <v>10.5</v>
      </c>
    </row>
    <row r="605" spans="1:4" x14ac:dyDescent="0.25">
      <c r="A605" s="1">
        <v>34</v>
      </c>
      <c r="B605" s="2">
        <v>41136</v>
      </c>
      <c r="C605" s="4" t="s">
        <v>12</v>
      </c>
      <c r="D605" s="1">
        <v>10.3</v>
      </c>
    </row>
    <row r="606" spans="1:4" x14ac:dyDescent="0.25">
      <c r="A606" s="1">
        <v>34</v>
      </c>
      <c r="B606" s="2">
        <v>41157</v>
      </c>
      <c r="C606" s="4" t="s">
        <v>12</v>
      </c>
      <c r="D606" s="1">
        <v>10</v>
      </c>
    </row>
    <row r="607" spans="1:4" x14ac:dyDescent="0.25">
      <c r="A607" s="1">
        <v>34</v>
      </c>
      <c r="B607" s="2">
        <v>41171</v>
      </c>
      <c r="C607" s="4" t="s">
        <v>12</v>
      </c>
      <c r="D607" s="1">
        <v>10</v>
      </c>
    </row>
    <row r="608" spans="1:4" x14ac:dyDescent="0.25">
      <c r="A608" s="1">
        <v>34</v>
      </c>
      <c r="B608" s="2">
        <v>41185</v>
      </c>
      <c r="C608" s="4" t="s">
        <v>12</v>
      </c>
      <c r="D608" s="1">
        <v>10</v>
      </c>
    </row>
    <row r="609" spans="1:4" x14ac:dyDescent="0.25">
      <c r="A609" s="1">
        <v>34</v>
      </c>
      <c r="B609" s="2">
        <v>41199</v>
      </c>
      <c r="C609" s="4" t="s">
        <v>12</v>
      </c>
      <c r="D609" s="1">
        <v>10.1</v>
      </c>
    </row>
    <row r="610" spans="1:4" x14ac:dyDescent="0.25">
      <c r="A610" s="1">
        <v>34</v>
      </c>
      <c r="B610" s="2">
        <v>41220</v>
      </c>
      <c r="C610" s="4" t="s">
        <v>12</v>
      </c>
      <c r="D610" s="1">
        <v>11</v>
      </c>
    </row>
    <row r="611" spans="1:4" x14ac:dyDescent="0.25">
      <c r="A611" s="1">
        <v>34</v>
      </c>
      <c r="B611" s="2">
        <v>41233</v>
      </c>
      <c r="C611" s="4" t="s">
        <v>12</v>
      </c>
      <c r="D611" s="1">
        <v>10.7</v>
      </c>
    </row>
    <row r="612" spans="1:4" x14ac:dyDescent="0.25">
      <c r="A612" s="1">
        <v>34</v>
      </c>
      <c r="B612" s="2">
        <v>41248</v>
      </c>
      <c r="C612" s="4" t="s">
        <v>12</v>
      </c>
      <c r="D612" s="1">
        <v>11.5</v>
      </c>
    </row>
    <row r="613" spans="1:4" x14ac:dyDescent="0.25">
      <c r="A613" s="1">
        <v>34</v>
      </c>
      <c r="B613" s="2">
        <v>41099</v>
      </c>
      <c r="C613" s="4" t="s">
        <v>13</v>
      </c>
      <c r="D613" s="1">
        <v>16</v>
      </c>
    </row>
    <row r="614" spans="1:4" x14ac:dyDescent="0.25">
      <c r="A614" s="1">
        <v>34</v>
      </c>
      <c r="B614" s="2">
        <v>41122</v>
      </c>
      <c r="C614" s="4" t="s">
        <v>13</v>
      </c>
      <c r="D614" s="1">
        <v>29</v>
      </c>
    </row>
    <row r="615" spans="1:4" x14ac:dyDescent="0.25">
      <c r="A615" s="1">
        <v>34</v>
      </c>
      <c r="B615" s="2">
        <v>41157</v>
      </c>
      <c r="C615" s="4" t="s">
        <v>13</v>
      </c>
      <c r="D615" s="1">
        <v>30</v>
      </c>
    </row>
    <row r="616" spans="1:4" x14ac:dyDescent="0.25">
      <c r="A616" s="1">
        <v>34</v>
      </c>
      <c r="B616" s="2">
        <v>41185</v>
      </c>
      <c r="C616" s="4" t="s">
        <v>13</v>
      </c>
      <c r="D616" s="1">
        <v>32</v>
      </c>
    </row>
    <row r="617" spans="1:4" x14ac:dyDescent="0.25">
      <c r="A617" s="1">
        <v>34</v>
      </c>
      <c r="B617" s="2">
        <v>41220</v>
      </c>
      <c r="C617" s="4" t="s">
        <v>13</v>
      </c>
      <c r="D617" s="1">
        <v>28</v>
      </c>
    </row>
    <row r="618" spans="1:4" x14ac:dyDescent="0.25">
      <c r="A618" s="1">
        <v>34</v>
      </c>
      <c r="B618" s="2">
        <v>41248</v>
      </c>
      <c r="C618" s="4" t="s">
        <v>13</v>
      </c>
      <c r="D618" s="1">
        <v>32</v>
      </c>
    </row>
    <row r="619" spans="1:4" x14ac:dyDescent="0.25">
      <c r="A619" s="1">
        <v>35</v>
      </c>
      <c r="B619" s="2">
        <v>41104</v>
      </c>
      <c r="C619" s="4" t="s">
        <v>11</v>
      </c>
      <c r="D619" s="1">
        <v>1358</v>
      </c>
    </row>
    <row r="620" spans="1:4" x14ac:dyDescent="0.25">
      <c r="A620" s="1">
        <v>35</v>
      </c>
      <c r="B620" s="2">
        <v>41123</v>
      </c>
      <c r="C620" s="4" t="s">
        <v>11</v>
      </c>
      <c r="D620" s="1">
        <v>861</v>
      </c>
    </row>
    <row r="621" spans="1:4" x14ac:dyDescent="0.25">
      <c r="A621" s="1">
        <v>35</v>
      </c>
      <c r="B621" s="2">
        <v>41163</v>
      </c>
      <c r="C621" s="4" t="s">
        <v>11</v>
      </c>
      <c r="D621" s="1">
        <v>785</v>
      </c>
    </row>
    <row r="622" spans="1:4" x14ac:dyDescent="0.25">
      <c r="A622" s="1">
        <v>35</v>
      </c>
      <c r="B622" s="2">
        <v>41191</v>
      </c>
      <c r="C622" s="4" t="s">
        <v>11</v>
      </c>
      <c r="D622" s="1">
        <v>922</v>
      </c>
    </row>
    <row r="623" spans="1:4" x14ac:dyDescent="0.25">
      <c r="A623" s="1">
        <v>35</v>
      </c>
      <c r="B623" s="2">
        <v>41221</v>
      </c>
      <c r="C623" s="4" t="s">
        <v>11</v>
      </c>
      <c r="D623" s="1">
        <v>1127</v>
      </c>
    </row>
    <row r="624" spans="1:4" x14ac:dyDescent="0.25">
      <c r="A624" s="1">
        <v>35</v>
      </c>
      <c r="B624" s="2">
        <v>41104</v>
      </c>
      <c r="C624" s="4" t="s">
        <v>12</v>
      </c>
      <c r="D624" s="1">
        <v>8.6999999999999993</v>
      </c>
    </row>
    <row r="625" spans="1:4" x14ac:dyDescent="0.25">
      <c r="A625" s="1">
        <v>35</v>
      </c>
      <c r="B625" s="2">
        <v>41109</v>
      </c>
      <c r="C625" s="4" t="s">
        <v>12</v>
      </c>
      <c r="D625" s="1">
        <v>7.9</v>
      </c>
    </row>
    <row r="626" spans="1:4" x14ac:dyDescent="0.25">
      <c r="A626" s="1">
        <v>35</v>
      </c>
      <c r="B626" s="2">
        <v>41116</v>
      </c>
      <c r="C626" s="4" t="s">
        <v>12</v>
      </c>
      <c r="D626" s="1">
        <v>7.8</v>
      </c>
    </row>
    <row r="627" spans="1:4" x14ac:dyDescent="0.25">
      <c r="A627" s="1">
        <v>35</v>
      </c>
      <c r="B627" s="2">
        <v>41121</v>
      </c>
      <c r="C627" s="4" t="s">
        <v>12</v>
      </c>
      <c r="D627" s="1">
        <v>9.1999999999999993</v>
      </c>
    </row>
    <row r="628" spans="1:4" x14ac:dyDescent="0.25">
      <c r="A628" s="1">
        <v>35</v>
      </c>
      <c r="B628" s="2">
        <v>41123</v>
      </c>
      <c r="C628" s="4" t="s">
        <v>12</v>
      </c>
      <c r="D628" s="1">
        <v>9.1999999999999993</v>
      </c>
    </row>
    <row r="629" spans="1:4" x14ac:dyDescent="0.25">
      <c r="A629" s="1">
        <v>35</v>
      </c>
      <c r="B629" s="2">
        <v>41137</v>
      </c>
      <c r="C629" s="4" t="s">
        <v>12</v>
      </c>
      <c r="D629" s="1">
        <v>9.1</v>
      </c>
    </row>
    <row r="630" spans="1:4" x14ac:dyDescent="0.25">
      <c r="A630" s="1">
        <v>35</v>
      </c>
      <c r="B630" s="2">
        <v>41163</v>
      </c>
      <c r="C630" s="4" t="s">
        <v>12</v>
      </c>
      <c r="D630" s="1">
        <v>10.5</v>
      </c>
    </row>
    <row r="631" spans="1:4" x14ac:dyDescent="0.25">
      <c r="A631" s="1">
        <v>35</v>
      </c>
      <c r="B631" s="2">
        <v>41172</v>
      </c>
      <c r="C631" s="4" t="s">
        <v>12</v>
      </c>
      <c r="D631" s="1">
        <v>9.1999999999999993</v>
      </c>
    </row>
    <row r="632" spans="1:4" x14ac:dyDescent="0.25">
      <c r="A632" s="1">
        <v>35</v>
      </c>
      <c r="B632" s="2">
        <v>41191</v>
      </c>
      <c r="C632" s="4" t="s">
        <v>12</v>
      </c>
      <c r="D632" s="1">
        <v>7.2</v>
      </c>
    </row>
    <row r="633" spans="1:4" x14ac:dyDescent="0.25">
      <c r="A633" s="1">
        <v>35</v>
      </c>
      <c r="B633" s="2">
        <v>41193</v>
      </c>
      <c r="C633" s="4" t="s">
        <v>12</v>
      </c>
      <c r="D633" s="1">
        <v>7.4</v>
      </c>
    </row>
    <row r="634" spans="1:4" x14ac:dyDescent="0.25">
      <c r="A634" s="1">
        <v>35</v>
      </c>
      <c r="B634" s="2">
        <v>41200</v>
      </c>
      <c r="C634" s="4" t="s">
        <v>12</v>
      </c>
      <c r="D634" s="1">
        <v>9.3000000000000007</v>
      </c>
    </row>
    <row r="635" spans="1:4" x14ac:dyDescent="0.25">
      <c r="A635" s="1">
        <v>35</v>
      </c>
      <c r="B635" s="2">
        <v>41221</v>
      </c>
      <c r="C635" s="4" t="s">
        <v>12</v>
      </c>
      <c r="D635" s="1">
        <v>7.8</v>
      </c>
    </row>
    <row r="636" spans="1:4" x14ac:dyDescent="0.25">
      <c r="A636" s="1">
        <v>35</v>
      </c>
      <c r="B636" s="2">
        <v>41228</v>
      </c>
      <c r="C636" s="4" t="s">
        <v>12</v>
      </c>
      <c r="D636" s="1">
        <v>7.2</v>
      </c>
    </row>
    <row r="637" spans="1:4" x14ac:dyDescent="0.25">
      <c r="A637" s="1">
        <v>35</v>
      </c>
      <c r="B637" s="2">
        <v>41232</v>
      </c>
      <c r="C637" s="4" t="s">
        <v>12</v>
      </c>
      <c r="D637" s="1">
        <v>9</v>
      </c>
    </row>
    <row r="638" spans="1:4" x14ac:dyDescent="0.25">
      <c r="A638" s="1">
        <v>35</v>
      </c>
      <c r="B638" s="2">
        <v>41104</v>
      </c>
      <c r="C638" s="4" t="s">
        <v>13</v>
      </c>
      <c r="D638" s="1">
        <v>17</v>
      </c>
    </row>
    <row r="639" spans="1:4" x14ac:dyDescent="0.25">
      <c r="A639" s="1">
        <v>35</v>
      </c>
      <c r="B639" s="2">
        <v>41123</v>
      </c>
      <c r="C639" s="4" t="s">
        <v>13</v>
      </c>
      <c r="D639" s="1">
        <v>19</v>
      </c>
    </row>
    <row r="640" spans="1:4" x14ac:dyDescent="0.25">
      <c r="A640" s="1">
        <v>35</v>
      </c>
      <c r="B640" s="2">
        <v>41191</v>
      </c>
      <c r="C640" s="4" t="s">
        <v>13</v>
      </c>
      <c r="D640" s="1">
        <v>43</v>
      </c>
    </row>
    <row r="641" spans="1:4" x14ac:dyDescent="0.25">
      <c r="A641" s="1">
        <v>35</v>
      </c>
      <c r="B641" s="2">
        <v>41221</v>
      </c>
      <c r="C641" s="4" t="s">
        <v>13</v>
      </c>
      <c r="D641" s="1">
        <v>27</v>
      </c>
    </row>
    <row r="642" spans="1:4" x14ac:dyDescent="0.25">
      <c r="A642" s="1">
        <v>36</v>
      </c>
      <c r="B642" s="2">
        <v>41094</v>
      </c>
      <c r="C642" s="4" t="s">
        <v>11</v>
      </c>
      <c r="D642" s="1">
        <v>292</v>
      </c>
    </row>
    <row r="643" spans="1:4" x14ac:dyDescent="0.25">
      <c r="A643" s="1">
        <v>36</v>
      </c>
      <c r="B643" s="2">
        <v>41127</v>
      </c>
      <c r="C643" s="4" t="s">
        <v>11</v>
      </c>
      <c r="D643" s="1">
        <v>264</v>
      </c>
    </row>
    <row r="644" spans="1:4" x14ac:dyDescent="0.25">
      <c r="A644" s="1">
        <v>36</v>
      </c>
      <c r="B644" s="2">
        <v>41157</v>
      </c>
      <c r="C644" s="4" t="s">
        <v>11</v>
      </c>
      <c r="D644" s="1">
        <v>483</v>
      </c>
    </row>
    <row r="645" spans="1:4" x14ac:dyDescent="0.25">
      <c r="A645" s="1">
        <v>36</v>
      </c>
      <c r="B645" s="2">
        <v>41185</v>
      </c>
      <c r="C645" s="4" t="s">
        <v>11</v>
      </c>
      <c r="D645" s="1">
        <v>439</v>
      </c>
    </row>
    <row r="646" spans="1:4" x14ac:dyDescent="0.25">
      <c r="A646" s="1">
        <v>36</v>
      </c>
      <c r="B646" s="2">
        <v>41220</v>
      </c>
      <c r="C646" s="4" t="s">
        <v>11</v>
      </c>
      <c r="D646" s="1">
        <v>483</v>
      </c>
    </row>
    <row r="647" spans="1:4" x14ac:dyDescent="0.25">
      <c r="A647" s="1">
        <v>36</v>
      </c>
      <c r="B647" s="2">
        <v>41248</v>
      </c>
      <c r="C647" s="4" t="s">
        <v>11</v>
      </c>
      <c r="D647" s="1">
        <v>417</v>
      </c>
    </row>
    <row r="648" spans="1:4" x14ac:dyDescent="0.25">
      <c r="A648" s="1">
        <v>36</v>
      </c>
      <c r="B648" s="2">
        <v>41094</v>
      </c>
      <c r="C648" s="4" t="s">
        <v>12</v>
      </c>
      <c r="D648" s="1">
        <v>10.9</v>
      </c>
    </row>
    <row r="649" spans="1:4" x14ac:dyDescent="0.25">
      <c r="A649" s="1">
        <v>36</v>
      </c>
      <c r="B649" s="2">
        <v>41108</v>
      </c>
      <c r="C649" s="4" t="s">
        <v>12</v>
      </c>
      <c r="D649" s="1">
        <v>11.4</v>
      </c>
    </row>
    <row r="650" spans="1:4" x14ac:dyDescent="0.25">
      <c r="A650" s="1">
        <v>36</v>
      </c>
      <c r="B650" s="2">
        <v>41127</v>
      </c>
      <c r="C650" s="4" t="s">
        <v>12</v>
      </c>
      <c r="D650" s="1">
        <v>11.4</v>
      </c>
    </row>
    <row r="651" spans="1:4" x14ac:dyDescent="0.25">
      <c r="A651" s="1">
        <v>36</v>
      </c>
      <c r="B651" s="2">
        <v>41136</v>
      </c>
      <c r="C651" s="4" t="s">
        <v>12</v>
      </c>
      <c r="D651" s="1">
        <v>12</v>
      </c>
    </row>
    <row r="652" spans="1:4" x14ac:dyDescent="0.25">
      <c r="A652" s="1">
        <v>36</v>
      </c>
      <c r="B652" s="2">
        <v>41143</v>
      </c>
      <c r="C652" s="4" t="s">
        <v>12</v>
      </c>
      <c r="D652" s="1">
        <v>12.1</v>
      </c>
    </row>
    <row r="653" spans="1:4" x14ac:dyDescent="0.25">
      <c r="A653" s="1">
        <v>36</v>
      </c>
      <c r="B653" s="2">
        <v>41157</v>
      </c>
      <c r="C653" s="4" t="s">
        <v>12</v>
      </c>
      <c r="D653" s="1">
        <v>11.5</v>
      </c>
    </row>
    <row r="654" spans="1:4" x14ac:dyDescent="0.25">
      <c r="A654" s="1">
        <v>36</v>
      </c>
      <c r="B654" s="2">
        <v>41171</v>
      </c>
      <c r="C654" s="4" t="s">
        <v>12</v>
      </c>
      <c r="D654" s="1">
        <v>11.4</v>
      </c>
    </row>
    <row r="655" spans="1:4" x14ac:dyDescent="0.25">
      <c r="A655" s="1">
        <v>36</v>
      </c>
      <c r="B655" s="2">
        <v>41185</v>
      </c>
      <c r="C655" s="4" t="s">
        <v>12</v>
      </c>
      <c r="D655" s="1">
        <v>11.5</v>
      </c>
    </row>
    <row r="656" spans="1:4" x14ac:dyDescent="0.25">
      <c r="A656" s="1">
        <v>36</v>
      </c>
      <c r="B656" s="2">
        <v>41199</v>
      </c>
      <c r="C656" s="4" t="s">
        <v>12</v>
      </c>
      <c r="D656" s="1">
        <v>10.8</v>
      </c>
    </row>
    <row r="657" spans="1:4" x14ac:dyDescent="0.25">
      <c r="A657" s="1">
        <v>36</v>
      </c>
      <c r="B657" s="2">
        <v>41220</v>
      </c>
      <c r="C657" s="4" t="s">
        <v>12</v>
      </c>
      <c r="D657" s="1">
        <v>11.1</v>
      </c>
    </row>
    <row r="658" spans="1:4" x14ac:dyDescent="0.25">
      <c r="A658" s="1">
        <v>36</v>
      </c>
      <c r="B658" s="2">
        <v>41233</v>
      </c>
      <c r="C658" s="4" t="s">
        <v>12</v>
      </c>
      <c r="D658" s="1">
        <v>11.6</v>
      </c>
    </row>
    <row r="659" spans="1:4" x14ac:dyDescent="0.25">
      <c r="A659" s="1">
        <v>36</v>
      </c>
      <c r="B659" s="2">
        <v>41248</v>
      </c>
      <c r="C659" s="4" t="s">
        <v>12</v>
      </c>
      <c r="D659" s="1">
        <v>11.1</v>
      </c>
    </row>
    <row r="660" spans="1:4" x14ac:dyDescent="0.25">
      <c r="A660" s="1">
        <v>36</v>
      </c>
      <c r="B660" s="2">
        <v>41094</v>
      </c>
      <c r="C660" s="4" t="s">
        <v>13</v>
      </c>
      <c r="D660" s="1">
        <v>29</v>
      </c>
    </row>
    <row r="661" spans="1:4" x14ac:dyDescent="0.25">
      <c r="A661" s="1">
        <v>36</v>
      </c>
      <c r="B661" s="2">
        <v>41127</v>
      </c>
      <c r="C661" s="4" t="s">
        <v>13</v>
      </c>
      <c r="D661" s="1">
        <v>21</v>
      </c>
    </row>
    <row r="662" spans="1:4" x14ac:dyDescent="0.25">
      <c r="A662" s="1">
        <v>36</v>
      </c>
      <c r="B662" s="2">
        <v>41157</v>
      </c>
      <c r="C662" s="4" t="s">
        <v>13</v>
      </c>
      <c r="D662" s="1">
        <v>51</v>
      </c>
    </row>
    <row r="663" spans="1:4" x14ac:dyDescent="0.25">
      <c r="A663" s="1">
        <v>36</v>
      </c>
      <c r="B663" s="2">
        <v>41185</v>
      </c>
      <c r="C663" s="4" t="s">
        <v>13</v>
      </c>
      <c r="D663" s="1">
        <v>64</v>
      </c>
    </row>
    <row r="664" spans="1:4" x14ac:dyDescent="0.25">
      <c r="A664" s="1">
        <v>36</v>
      </c>
      <c r="B664" s="2">
        <v>41220</v>
      </c>
      <c r="C664" s="4" t="s">
        <v>13</v>
      </c>
      <c r="D664" s="1">
        <v>71</v>
      </c>
    </row>
    <row r="665" spans="1:4" x14ac:dyDescent="0.25">
      <c r="A665" s="1">
        <v>36</v>
      </c>
      <c r="B665" s="2">
        <v>41248</v>
      </c>
      <c r="C665" s="4" t="s">
        <v>13</v>
      </c>
      <c r="D665" s="1">
        <v>63</v>
      </c>
    </row>
    <row r="666" spans="1:4" x14ac:dyDescent="0.25">
      <c r="A666" s="1" t="e">
        <v>#N/A</v>
      </c>
      <c r="B666" s="2">
        <v>41116</v>
      </c>
      <c r="C666" s="4" t="s">
        <v>11</v>
      </c>
      <c r="D666" s="1">
        <v>666</v>
      </c>
    </row>
    <row r="667" spans="1:4" x14ac:dyDescent="0.25">
      <c r="A667" s="1" t="e">
        <v>#N/A</v>
      </c>
      <c r="B667" s="2">
        <v>41116</v>
      </c>
      <c r="C667" s="4" t="s">
        <v>12</v>
      </c>
      <c r="D667" s="1">
        <v>9</v>
      </c>
    </row>
    <row r="668" spans="1:4" x14ac:dyDescent="0.25">
      <c r="A668" s="1" t="e">
        <v>#N/A</v>
      </c>
      <c r="B668" s="2">
        <v>41116</v>
      </c>
      <c r="C668" s="4" t="s">
        <v>13</v>
      </c>
      <c r="D668" s="1">
        <v>83</v>
      </c>
    </row>
    <row r="669" spans="1:4" x14ac:dyDescent="0.25">
      <c r="A669" s="1">
        <v>37</v>
      </c>
      <c r="B669" s="2">
        <v>41170</v>
      </c>
      <c r="C669" s="4" t="s">
        <v>11</v>
      </c>
      <c r="D669" s="1">
        <v>497</v>
      </c>
    </row>
    <row r="670" spans="1:4" x14ac:dyDescent="0.25">
      <c r="A670" s="1">
        <v>37</v>
      </c>
      <c r="B670" s="2">
        <v>41186</v>
      </c>
      <c r="C670" s="4" t="s">
        <v>11</v>
      </c>
      <c r="D670" s="1">
        <v>381</v>
      </c>
    </row>
    <row r="671" spans="1:4" x14ac:dyDescent="0.25">
      <c r="A671" s="1">
        <v>37</v>
      </c>
      <c r="B671" s="2">
        <v>41221</v>
      </c>
      <c r="C671" s="4" t="s">
        <v>11</v>
      </c>
      <c r="D671" s="1">
        <v>615</v>
      </c>
    </row>
    <row r="672" spans="1:4" x14ac:dyDescent="0.25">
      <c r="A672" s="1">
        <v>37</v>
      </c>
      <c r="B672" s="2">
        <v>41170</v>
      </c>
      <c r="C672" s="4" t="s">
        <v>12</v>
      </c>
      <c r="D672" s="1">
        <v>10.199999999999999</v>
      </c>
    </row>
    <row r="673" spans="1:4" x14ac:dyDescent="0.25">
      <c r="A673" s="1">
        <v>37</v>
      </c>
      <c r="B673" s="2">
        <v>41172</v>
      </c>
      <c r="C673" s="4" t="s">
        <v>12</v>
      </c>
      <c r="D673" s="1">
        <v>10.4</v>
      </c>
    </row>
    <row r="674" spans="1:4" x14ac:dyDescent="0.25">
      <c r="A674" s="1">
        <v>37</v>
      </c>
      <c r="B674" s="2">
        <v>41186</v>
      </c>
      <c r="C674" s="4" t="s">
        <v>12</v>
      </c>
      <c r="D674" s="1">
        <v>10.3</v>
      </c>
    </row>
    <row r="675" spans="1:4" x14ac:dyDescent="0.25">
      <c r="A675" s="1">
        <v>37</v>
      </c>
      <c r="B675" s="2">
        <v>41200</v>
      </c>
      <c r="C675" s="4" t="s">
        <v>12</v>
      </c>
      <c r="D675" s="1">
        <v>10.9</v>
      </c>
    </row>
    <row r="676" spans="1:4" x14ac:dyDescent="0.25">
      <c r="A676" s="1">
        <v>37</v>
      </c>
      <c r="B676" s="2">
        <v>41221</v>
      </c>
      <c r="C676" s="4" t="s">
        <v>12</v>
      </c>
      <c r="D676" s="1">
        <v>11.2</v>
      </c>
    </row>
    <row r="677" spans="1:4" x14ac:dyDescent="0.25">
      <c r="A677" s="1">
        <v>37</v>
      </c>
      <c r="B677" s="2">
        <v>41232</v>
      </c>
      <c r="C677" s="4" t="s">
        <v>12</v>
      </c>
      <c r="D677" s="1">
        <v>11.6</v>
      </c>
    </row>
    <row r="678" spans="1:4" x14ac:dyDescent="0.25">
      <c r="A678" s="1">
        <v>37</v>
      </c>
      <c r="B678" s="2">
        <v>41170</v>
      </c>
      <c r="C678" s="4" t="s">
        <v>13</v>
      </c>
      <c r="D678" s="1">
        <v>25</v>
      </c>
    </row>
    <row r="679" spans="1:4" x14ac:dyDescent="0.25">
      <c r="A679" s="1">
        <v>37</v>
      </c>
      <c r="B679" s="2">
        <v>41186</v>
      </c>
      <c r="C679" s="4" t="s">
        <v>13</v>
      </c>
      <c r="D679" s="1">
        <v>36</v>
      </c>
    </row>
    <row r="680" spans="1:4" x14ac:dyDescent="0.25">
      <c r="A680" s="1">
        <v>37</v>
      </c>
      <c r="B680" s="2">
        <v>41221</v>
      </c>
      <c r="C680" s="4" t="s">
        <v>13</v>
      </c>
      <c r="D680" s="1">
        <v>39</v>
      </c>
    </row>
    <row r="681" spans="1:4" x14ac:dyDescent="0.25">
      <c r="A681" s="1">
        <v>38</v>
      </c>
      <c r="B681" s="2">
        <v>41153</v>
      </c>
      <c r="C681" s="4" t="s">
        <v>11</v>
      </c>
      <c r="D681" s="1">
        <v>1620</v>
      </c>
    </row>
    <row r="682" spans="1:4" x14ac:dyDescent="0.25">
      <c r="A682" s="1">
        <v>38</v>
      </c>
      <c r="B682" s="2">
        <v>41188</v>
      </c>
      <c r="C682" s="4" t="s">
        <v>11</v>
      </c>
      <c r="D682" s="1">
        <v>2750</v>
      </c>
    </row>
    <row r="683" spans="1:4" x14ac:dyDescent="0.25">
      <c r="A683" s="1">
        <v>38</v>
      </c>
      <c r="B683" s="2">
        <v>41153</v>
      </c>
      <c r="C683" s="4" t="s">
        <v>12</v>
      </c>
      <c r="D683" s="1">
        <v>8.6</v>
      </c>
    </row>
    <row r="684" spans="1:4" x14ac:dyDescent="0.25">
      <c r="A684" s="1">
        <v>38</v>
      </c>
      <c r="B684" s="2">
        <v>41172</v>
      </c>
      <c r="C684" s="4" t="s">
        <v>12</v>
      </c>
      <c r="D684" s="1">
        <v>9.5</v>
      </c>
    </row>
    <row r="685" spans="1:4" x14ac:dyDescent="0.25">
      <c r="A685" s="1">
        <v>38</v>
      </c>
      <c r="B685" s="2">
        <v>41188</v>
      </c>
      <c r="C685" s="4" t="s">
        <v>12</v>
      </c>
      <c r="D685" s="1">
        <v>8.1999999999999993</v>
      </c>
    </row>
    <row r="686" spans="1:4" x14ac:dyDescent="0.25">
      <c r="A686" s="1">
        <v>38</v>
      </c>
      <c r="B686" s="2">
        <v>41153</v>
      </c>
      <c r="C686" s="4" t="s">
        <v>13</v>
      </c>
      <c r="D686" s="1">
        <v>29</v>
      </c>
    </row>
    <row r="687" spans="1:4" x14ac:dyDescent="0.25">
      <c r="A687" s="1">
        <v>38</v>
      </c>
      <c r="B687" s="2">
        <v>41188</v>
      </c>
      <c r="C687" s="4" t="s">
        <v>13</v>
      </c>
      <c r="D687" s="1">
        <v>49</v>
      </c>
    </row>
    <row r="688" spans="1:4" x14ac:dyDescent="0.25">
      <c r="A688" s="1">
        <v>39</v>
      </c>
      <c r="B688" s="2">
        <v>41100</v>
      </c>
      <c r="C688" s="4" t="s">
        <v>11</v>
      </c>
      <c r="D688" s="1">
        <v>1118</v>
      </c>
    </row>
    <row r="689" spans="1:4" x14ac:dyDescent="0.25">
      <c r="A689" s="1">
        <v>39</v>
      </c>
      <c r="B689" s="2">
        <v>41123</v>
      </c>
      <c r="C689" s="4" t="s">
        <v>11</v>
      </c>
      <c r="D689" s="1">
        <v>816</v>
      </c>
    </row>
    <row r="690" spans="1:4" x14ac:dyDescent="0.25">
      <c r="A690" s="1">
        <v>39</v>
      </c>
      <c r="B690" s="2">
        <v>41157</v>
      </c>
      <c r="C690" s="4" t="s">
        <v>11</v>
      </c>
      <c r="D690" s="1">
        <v>968</v>
      </c>
    </row>
    <row r="691" spans="1:4" x14ac:dyDescent="0.25">
      <c r="A691" s="1">
        <v>39</v>
      </c>
      <c r="B691" s="2">
        <v>41186</v>
      </c>
      <c r="C691" s="4" t="s">
        <v>11</v>
      </c>
      <c r="D691" s="1">
        <v>671</v>
      </c>
    </row>
    <row r="692" spans="1:4" x14ac:dyDescent="0.25">
      <c r="A692" s="1">
        <v>39</v>
      </c>
      <c r="B692" s="2">
        <v>41225</v>
      </c>
      <c r="C692" s="4" t="s">
        <v>11</v>
      </c>
      <c r="D692" s="1">
        <v>1299</v>
      </c>
    </row>
    <row r="693" spans="1:4" x14ac:dyDescent="0.25">
      <c r="A693" s="1">
        <v>39</v>
      </c>
      <c r="B693" s="2">
        <v>41100</v>
      </c>
      <c r="C693" s="4" t="s">
        <v>12</v>
      </c>
      <c r="D693" s="1">
        <v>11.3</v>
      </c>
    </row>
    <row r="694" spans="1:4" x14ac:dyDescent="0.25">
      <c r="A694" s="1">
        <v>39</v>
      </c>
      <c r="B694" s="2">
        <v>41111</v>
      </c>
      <c r="C694" s="4" t="s">
        <v>12</v>
      </c>
      <c r="D694" s="1">
        <v>11.2</v>
      </c>
    </row>
    <row r="695" spans="1:4" x14ac:dyDescent="0.25">
      <c r="A695" s="1">
        <v>39</v>
      </c>
      <c r="B695" s="2">
        <v>41123</v>
      </c>
      <c r="C695" s="4" t="s">
        <v>12</v>
      </c>
      <c r="D695" s="1">
        <v>10.6</v>
      </c>
    </row>
    <row r="696" spans="1:4" x14ac:dyDescent="0.25">
      <c r="A696" s="1">
        <v>39</v>
      </c>
      <c r="B696" s="2">
        <v>41137</v>
      </c>
      <c r="C696" s="4" t="s">
        <v>12</v>
      </c>
      <c r="D696" s="1">
        <v>11.1</v>
      </c>
    </row>
    <row r="697" spans="1:4" x14ac:dyDescent="0.25">
      <c r="A697" s="1">
        <v>39</v>
      </c>
      <c r="B697" s="2">
        <v>41157</v>
      </c>
      <c r="C697" s="4" t="s">
        <v>12</v>
      </c>
      <c r="D697" s="1">
        <v>10.5</v>
      </c>
    </row>
    <row r="698" spans="1:4" x14ac:dyDescent="0.25">
      <c r="A698" s="1">
        <v>39</v>
      </c>
      <c r="B698" s="2">
        <v>41176</v>
      </c>
      <c r="C698" s="4" t="s">
        <v>12</v>
      </c>
      <c r="D698" s="1">
        <v>11.1</v>
      </c>
    </row>
    <row r="699" spans="1:4" x14ac:dyDescent="0.25">
      <c r="A699" s="1">
        <v>39</v>
      </c>
      <c r="B699" s="2">
        <v>41186</v>
      </c>
      <c r="C699" s="4" t="s">
        <v>12</v>
      </c>
      <c r="D699" s="1">
        <v>11.9</v>
      </c>
    </row>
    <row r="700" spans="1:4" x14ac:dyDescent="0.25">
      <c r="A700" s="1">
        <v>39</v>
      </c>
      <c r="B700" s="2">
        <v>41209</v>
      </c>
      <c r="C700" s="4" t="s">
        <v>12</v>
      </c>
      <c r="D700" s="1">
        <v>10.4</v>
      </c>
    </row>
    <row r="701" spans="1:4" x14ac:dyDescent="0.25">
      <c r="A701" s="1">
        <v>39</v>
      </c>
      <c r="B701" s="2">
        <v>41225</v>
      </c>
      <c r="C701" s="4" t="s">
        <v>12</v>
      </c>
      <c r="D701" s="1">
        <v>10.1</v>
      </c>
    </row>
    <row r="702" spans="1:4" x14ac:dyDescent="0.25">
      <c r="A702" s="1">
        <v>39</v>
      </c>
      <c r="B702" s="2">
        <v>41232</v>
      </c>
      <c r="C702" s="4" t="s">
        <v>12</v>
      </c>
      <c r="D702" s="1">
        <v>9.8000000000000007</v>
      </c>
    </row>
    <row r="703" spans="1:4" x14ac:dyDescent="0.25">
      <c r="A703" s="1">
        <v>39</v>
      </c>
      <c r="B703" s="2">
        <v>41100</v>
      </c>
      <c r="C703" s="4" t="s">
        <v>13</v>
      </c>
      <c r="D703" s="1">
        <v>32</v>
      </c>
    </row>
    <row r="704" spans="1:4" x14ac:dyDescent="0.25">
      <c r="A704" s="1">
        <v>39</v>
      </c>
      <c r="B704" s="2">
        <v>41123</v>
      </c>
      <c r="C704" s="4" t="s">
        <v>13</v>
      </c>
      <c r="D704" s="1">
        <v>18</v>
      </c>
    </row>
    <row r="705" spans="1:4" x14ac:dyDescent="0.25">
      <c r="A705" s="1">
        <v>39</v>
      </c>
      <c r="B705" s="2">
        <v>41157</v>
      </c>
      <c r="C705" s="4" t="s">
        <v>13</v>
      </c>
      <c r="D705" s="1">
        <v>24</v>
      </c>
    </row>
    <row r="706" spans="1:4" x14ac:dyDescent="0.25">
      <c r="A706" s="1">
        <v>39</v>
      </c>
      <c r="B706" s="2">
        <v>41186</v>
      </c>
      <c r="C706" s="4" t="s">
        <v>13</v>
      </c>
      <c r="D706" s="1">
        <v>25</v>
      </c>
    </row>
    <row r="707" spans="1:4" x14ac:dyDescent="0.25">
      <c r="A707" s="1">
        <v>39</v>
      </c>
      <c r="B707" s="2">
        <v>41225</v>
      </c>
      <c r="C707" s="4" t="s">
        <v>13</v>
      </c>
      <c r="D707" s="1">
        <v>69</v>
      </c>
    </row>
    <row r="708" spans="1:4" x14ac:dyDescent="0.25">
      <c r="A708" s="1">
        <v>40</v>
      </c>
      <c r="B708" s="2">
        <v>41095</v>
      </c>
      <c r="C708" s="4" t="s">
        <v>11</v>
      </c>
      <c r="D708" s="1">
        <v>682</v>
      </c>
    </row>
    <row r="709" spans="1:4" x14ac:dyDescent="0.25">
      <c r="A709" s="1">
        <v>40</v>
      </c>
      <c r="B709" s="2">
        <v>41123</v>
      </c>
      <c r="C709" s="4" t="s">
        <v>11</v>
      </c>
      <c r="D709" s="1">
        <v>485</v>
      </c>
    </row>
    <row r="710" spans="1:4" x14ac:dyDescent="0.25">
      <c r="A710" s="1">
        <v>40</v>
      </c>
      <c r="B710" s="2">
        <v>41156</v>
      </c>
      <c r="C710" s="4" t="s">
        <v>11</v>
      </c>
      <c r="D710" s="1">
        <v>697</v>
      </c>
    </row>
    <row r="711" spans="1:4" x14ac:dyDescent="0.25">
      <c r="A711" s="1">
        <v>40</v>
      </c>
      <c r="B711" s="2">
        <v>41186</v>
      </c>
      <c r="C711" s="4" t="s">
        <v>11</v>
      </c>
      <c r="D711" s="1">
        <v>723</v>
      </c>
    </row>
    <row r="712" spans="1:4" x14ac:dyDescent="0.25">
      <c r="A712" s="1">
        <v>40</v>
      </c>
      <c r="B712" s="2">
        <v>41221</v>
      </c>
      <c r="C712" s="4" t="s">
        <v>11</v>
      </c>
      <c r="D712" s="1">
        <v>1069</v>
      </c>
    </row>
    <row r="713" spans="1:4" x14ac:dyDescent="0.25">
      <c r="A713" s="1">
        <v>40</v>
      </c>
      <c r="B713" s="2">
        <v>41095</v>
      </c>
      <c r="C713" s="4" t="s">
        <v>12</v>
      </c>
      <c r="D713" s="1">
        <v>11.2</v>
      </c>
    </row>
    <row r="714" spans="1:4" x14ac:dyDescent="0.25">
      <c r="A714" s="1">
        <v>40</v>
      </c>
      <c r="B714" s="2">
        <v>41109</v>
      </c>
      <c r="C714" s="4" t="s">
        <v>12</v>
      </c>
      <c r="D714" s="1">
        <v>10.8</v>
      </c>
    </row>
    <row r="715" spans="1:4" x14ac:dyDescent="0.25">
      <c r="A715" s="1">
        <v>40</v>
      </c>
      <c r="B715" s="2">
        <v>41123</v>
      </c>
      <c r="C715" s="4" t="s">
        <v>12</v>
      </c>
      <c r="D715" s="1">
        <v>11</v>
      </c>
    </row>
    <row r="716" spans="1:4" x14ac:dyDescent="0.25">
      <c r="A716" s="1">
        <v>40</v>
      </c>
      <c r="B716" s="2">
        <v>41137</v>
      </c>
      <c r="C716" s="4" t="s">
        <v>12</v>
      </c>
      <c r="D716" s="1">
        <v>11.7</v>
      </c>
    </row>
    <row r="717" spans="1:4" x14ac:dyDescent="0.25">
      <c r="A717" s="1">
        <v>40</v>
      </c>
      <c r="B717" s="2">
        <v>41156</v>
      </c>
      <c r="C717" s="4" t="s">
        <v>12</v>
      </c>
      <c r="D717" s="1">
        <v>12.2</v>
      </c>
    </row>
    <row r="718" spans="1:4" x14ac:dyDescent="0.25">
      <c r="A718" s="1">
        <v>40</v>
      </c>
      <c r="B718" s="2">
        <v>41165</v>
      </c>
      <c r="C718" s="4" t="s">
        <v>12</v>
      </c>
      <c r="D718" s="1">
        <v>12</v>
      </c>
    </row>
    <row r="719" spans="1:4" x14ac:dyDescent="0.25">
      <c r="A719" s="1">
        <v>40</v>
      </c>
      <c r="B719" s="2">
        <v>41172</v>
      </c>
      <c r="C719" s="4" t="s">
        <v>12</v>
      </c>
      <c r="D719" s="1">
        <v>12.7</v>
      </c>
    </row>
    <row r="720" spans="1:4" x14ac:dyDescent="0.25">
      <c r="A720" s="1">
        <v>40</v>
      </c>
      <c r="B720" s="2">
        <v>41186</v>
      </c>
      <c r="C720" s="4" t="s">
        <v>12</v>
      </c>
      <c r="D720" s="1">
        <v>11.7</v>
      </c>
    </row>
    <row r="721" spans="1:4" x14ac:dyDescent="0.25">
      <c r="A721" s="1">
        <v>40</v>
      </c>
      <c r="B721" s="2">
        <v>41200</v>
      </c>
      <c r="C721" s="4" t="s">
        <v>12</v>
      </c>
      <c r="D721" s="1">
        <v>11</v>
      </c>
    </row>
    <row r="722" spans="1:4" x14ac:dyDescent="0.25">
      <c r="A722" s="1">
        <v>40</v>
      </c>
      <c r="B722" s="2">
        <v>41221</v>
      </c>
      <c r="C722" s="4" t="s">
        <v>12</v>
      </c>
      <c r="D722" s="1">
        <v>11.3</v>
      </c>
    </row>
    <row r="723" spans="1:4" x14ac:dyDescent="0.25">
      <c r="A723" s="1">
        <v>40</v>
      </c>
      <c r="B723" s="2">
        <v>41232</v>
      </c>
      <c r="C723" s="4" t="s">
        <v>12</v>
      </c>
      <c r="D723" s="1">
        <v>11.3</v>
      </c>
    </row>
    <row r="724" spans="1:4" x14ac:dyDescent="0.25">
      <c r="A724" s="1">
        <v>40</v>
      </c>
      <c r="B724" s="2">
        <v>41095</v>
      </c>
      <c r="C724" s="4" t="s">
        <v>13</v>
      </c>
      <c r="D724" s="1">
        <v>25</v>
      </c>
    </row>
    <row r="725" spans="1:4" x14ac:dyDescent="0.25">
      <c r="A725" s="1">
        <v>40</v>
      </c>
      <c r="B725" s="2">
        <v>41123</v>
      </c>
      <c r="C725" s="4" t="s">
        <v>13</v>
      </c>
      <c r="D725" s="1">
        <v>19</v>
      </c>
    </row>
    <row r="726" spans="1:4" x14ac:dyDescent="0.25">
      <c r="A726" s="1">
        <v>40</v>
      </c>
      <c r="B726" s="2">
        <v>41156</v>
      </c>
      <c r="C726" s="4" t="s">
        <v>13</v>
      </c>
      <c r="D726" s="1">
        <v>30</v>
      </c>
    </row>
    <row r="727" spans="1:4" x14ac:dyDescent="0.25">
      <c r="A727" s="1">
        <v>40</v>
      </c>
      <c r="B727" s="2">
        <v>41186</v>
      </c>
      <c r="C727" s="4" t="s">
        <v>13</v>
      </c>
      <c r="D727" s="1">
        <v>23</v>
      </c>
    </row>
    <row r="728" spans="1:4" x14ac:dyDescent="0.25">
      <c r="A728" s="1">
        <v>40</v>
      </c>
      <c r="B728" s="2">
        <v>41221</v>
      </c>
      <c r="C728" s="4" t="s">
        <v>13</v>
      </c>
      <c r="D728" s="1">
        <v>30</v>
      </c>
    </row>
    <row r="729" spans="1:4" x14ac:dyDescent="0.25">
      <c r="A729" s="1">
        <v>41</v>
      </c>
      <c r="B729" s="2">
        <v>41186</v>
      </c>
      <c r="C729" s="4" t="s">
        <v>11</v>
      </c>
      <c r="D729" s="1">
        <v>404</v>
      </c>
    </row>
    <row r="730" spans="1:4" x14ac:dyDescent="0.25">
      <c r="A730" s="1">
        <v>41</v>
      </c>
      <c r="B730" s="2">
        <v>41172</v>
      </c>
      <c r="C730" s="4" t="s">
        <v>12</v>
      </c>
      <c r="D730" s="1">
        <v>9.1</v>
      </c>
    </row>
    <row r="731" spans="1:4" x14ac:dyDescent="0.25">
      <c r="A731" s="1">
        <v>41</v>
      </c>
      <c r="B731" s="2">
        <v>41186</v>
      </c>
      <c r="C731" s="4" t="s">
        <v>12</v>
      </c>
      <c r="D731" s="1">
        <v>9.3000000000000007</v>
      </c>
    </row>
    <row r="732" spans="1:4" x14ac:dyDescent="0.25">
      <c r="A732" s="1">
        <v>41</v>
      </c>
      <c r="B732" s="2">
        <v>41156</v>
      </c>
      <c r="C732" s="4" t="s">
        <v>13</v>
      </c>
      <c r="D732" s="1">
        <v>18</v>
      </c>
    </row>
    <row r="733" spans="1:4" x14ac:dyDescent="0.25">
      <c r="A733" s="1">
        <v>41</v>
      </c>
      <c r="B733" s="2">
        <v>41186</v>
      </c>
      <c r="C733" s="4" t="s">
        <v>13</v>
      </c>
      <c r="D733" s="1">
        <v>16</v>
      </c>
    </row>
    <row r="734" spans="1:4" x14ac:dyDescent="0.25">
      <c r="A734" s="1">
        <v>42</v>
      </c>
      <c r="B734" s="2">
        <v>41103</v>
      </c>
      <c r="C734" s="4" t="s">
        <v>11</v>
      </c>
      <c r="D734" s="1">
        <v>485</v>
      </c>
    </row>
    <row r="735" spans="1:4" x14ac:dyDescent="0.25">
      <c r="A735" s="1">
        <v>42</v>
      </c>
      <c r="B735" s="2">
        <v>41122</v>
      </c>
      <c r="C735" s="4" t="s">
        <v>11</v>
      </c>
      <c r="D735" s="1">
        <v>413</v>
      </c>
    </row>
    <row r="736" spans="1:4" x14ac:dyDescent="0.25">
      <c r="A736" s="1">
        <v>42</v>
      </c>
      <c r="B736" s="2">
        <v>41157</v>
      </c>
      <c r="C736" s="4" t="s">
        <v>11</v>
      </c>
      <c r="D736" s="1">
        <v>754</v>
      </c>
    </row>
    <row r="737" spans="1:4" x14ac:dyDescent="0.25">
      <c r="A737" s="1">
        <v>42</v>
      </c>
      <c r="B737" s="2">
        <v>41185</v>
      </c>
      <c r="C737" s="4" t="s">
        <v>11</v>
      </c>
      <c r="D737" s="1">
        <v>271</v>
      </c>
    </row>
    <row r="738" spans="1:4" x14ac:dyDescent="0.25">
      <c r="A738" s="1">
        <v>42</v>
      </c>
      <c r="B738" s="2">
        <v>41220</v>
      </c>
      <c r="C738" s="4" t="s">
        <v>11</v>
      </c>
      <c r="D738" s="1">
        <v>287</v>
      </c>
    </row>
    <row r="739" spans="1:4" x14ac:dyDescent="0.25">
      <c r="A739" s="1">
        <v>42</v>
      </c>
      <c r="B739" s="2">
        <v>41248</v>
      </c>
      <c r="C739" s="4" t="s">
        <v>11</v>
      </c>
      <c r="D739" s="1">
        <v>1033</v>
      </c>
    </row>
    <row r="740" spans="1:4" x14ac:dyDescent="0.25">
      <c r="A740" s="1">
        <v>42</v>
      </c>
      <c r="B740" s="2">
        <v>41103</v>
      </c>
      <c r="C740" s="4" t="s">
        <v>12</v>
      </c>
      <c r="D740" s="1">
        <v>11.5</v>
      </c>
    </row>
    <row r="741" spans="1:4" x14ac:dyDescent="0.25">
      <c r="A741" s="1">
        <v>42</v>
      </c>
      <c r="B741" s="2">
        <v>41108</v>
      </c>
      <c r="C741" s="4" t="s">
        <v>12</v>
      </c>
      <c r="D741" s="1">
        <v>11.9</v>
      </c>
    </row>
    <row r="742" spans="1:4" x14ac:dyDescent="0.25">
      <c r="A742" s="1">
        <v>42</v>
      </c>
      <c r="B742" s="2">
        <v>41115</v>
      </c>
      <c r="C742" s="4" t="s">
        <v>12</v>
      </c>
      <c r="D742" s="1">
        <v>12.9</v>
      </c>
    </row>
    <row r="743" spans="1:4" x14ac:dyDescent="0.25">
      <c r="A743" s="1">
        <v>42</v>
      </c>
      <c r="B743" s="2">
        <v>41122</v>
      </c>
      <c r="C743" s="4" t="s">
        <v>12</v>
      </c>
      <c r="D743" s="1">
        <v>10.8</v>
      </c>
    </row>
    <row r="744" spans="1:4" x14ac:dyDescent="0.25">
      <c r="A744" s="1">
        <v>42</v>
      </c>
      <c r="B744" s="2">
        <v>41124</v>
      </c>
      <c r="C744" s="4" t="s">
        <v>12</v>
      </c>
      <c r="D744" s="1">
        <v>12.7</v>
      </c>
    </row>
    <row r="745" spans="1:4" x14ac:dyDescent="0.25">
      <c r="A745" s="1">
        <v>42</v>
      </c>
      <c r="B745" s="2">
        <v>41136</v>
      </c>
      <c r="C745" s="4" t="s">
        <v>12</v>
      </c>
      <c r="D745" s="1">
        <v>15.6</v>
      </c>
    </row>
    <row r="746" spans="1:4" x14ac:dyDescent="0.25">
      <c r="A746" s="1">
        <v>42</v>
      </c>
      <c r="B746" s="2">
        <v>41143</v>
      </c>
      <c r="C746" s="4" t="s">
        <v>12</v>
      </c>
      <c r="D746" s="1">
        <v>11.6</v>
      </c>
    </row>
    <row r="747" spans="1:4" x14ac:dyDescent="0.25">
      <c r="A747" s="1">
        <v>42</v>
      </c>
      <c r="B747" s="2">
        <v>41157</v>
      </c>
      <c r="C747" s="4" t="s">
        <v>12</v>
      </c>
      <c r="D747" s="1">
        <v>11.9</v>
      </c>
    </row>
    <row r="748" spans="1:4" x14ac:dyDescent="0.25">
      <c r="A748" s="1">
        <v>42</v>
      </c>
      <c r="B748" s="2">
        <v>41171</v>
      </c>
      <c r="C748" s="4" t="s">
        <v>12</v>
      </c>
      <c r="D748" s="1">
        <v>11.8</v>
      </c>
    </row>
    <row r="749" spans="1:4" x14ac:dyDescent="0.25">
      <c r="A749" s="1">
        <v>42</v>
      </c>
      <c r="B749" s="2">
        <v>41185</v>
      </c>
      <c r="C749" s="4" t="s">
        <v>12</v>
      </c>
      <c r="D749" s="1">
        <v>10.9</v>
      </c>
    </row>
    <row r="750" spans="1:4" x14ac:dyDescent="0.25">
      <c r="A750" s="1">
        <v>42</v>
      </c>
      <c r="B750" s="2">
        <v>41199</v>
      </c>
      <c r="C750" s="4" t="s">
        <v>12</v>
      </c>
      <c r="D750" s="1">
        <v>10.8</v>
      </c>
    </row>
    <row r="751" spans="1:4" x14ac:dyDescent="0.25">
      <c r="A751" s="1">
        <v>42</v>
      </c>
      <c r="B751" s="2">
        <v>41220</v>
      </c>
      <c r="C751" s="4" t="s">
        <v>12</v>
      </c>
      <c r="D751" s="1">
        <v>9.6</v>
      </c>
    </row>
    <row r="752" spans="1:4" x14ac:dyDescent="0.25">
      <c r="A752" s="1">
        <v>42</v>
      </c>
      <c r="B752" s="2">
        <v>41233</v>
      </c>
      <c r="C752" s="4" t="s">
        <v>12</v>
      </c>
      <c r="D752" s="1">
        <v>13.1</v>
      </c>
    </row>
    <row r="753" spans="1:4" x14ac:dyDescent="0.25">
      <c r="A753" s="1">
        <v>42</v>
      </c>
      <c r="B753" s="2">
        <v>41248</v>
      </c>
      <c r="C753" s="4" t="s">
        <v>12</v>
      </c>
      <c r="D753" s="1">
        <v>13.1</v>
      </c>
    </row>
    <row r="754" spans="1:4" x14ac:dyDescent="0.25">
      <c r="A754" s="1">
        <v>42</v>
      </c>
      <c r="B754" s="2">
        <v>41103</v>
      </c>
      <c r="C754" s="4" t="s">
        <v>13</v>
      </c>
      <c r="D754" s="1">
        <v>30</v>
      </c>
    </row>
    <row r="755" spans="1:4" x14ac:dyDescent="0.25">
      <c r="A755" s="1">
        <v>42</v>
      </c>
      <c r="B755" s="2">
        <v>41122</v>
      </c>
      <c r="C755" s="4" t="s">
        <v>13</v>
      </c>
      <c r="D755" s="1">
        <v>24</v>
      </c>
    </row>
    <row r="756" spans="1:4" x14ac:dyDescent="0.25">
      <c r="A756" s="1">
        <v>42</v>
      </c>
      <c r="B756" s="2">
        <v>41157</v>
      </c>
      <c r="C756" s="4" t="s">
        <v>13</v>
      </c>
      <c r="D756" s="1">
        <v>21</v>
      </c>
    </row>
    <row r="757" spans="1:4" x14ac:dyDescent="0.25">
      <c r="A757" s="1">
        <v>42</v>
      </c>
      <c r="B757" s="2">
        <v>41185</v>
      </c>
      <c r="C757" s="4" t="s">
        <v>13</v>
      </c>
      <c r="D757" s="1">
        <v>29</v>
      </c>
    </row>
    <row r="758" spans="1:4" x14ac:dyDescent="0.25">
      <c r="A758" s="1">
        <v>42</v>
      </c>
      <c r="B758" s="2">
        <v>41220</v>
      </c>
      <c r="C758" s="4" t="s">
        <v>13</v>
      </c>
      <c r="D758" s="1">
        <v>15</v>
      </c>
    </row>
    <row r="759" spans="1:4" x14ac:dyDescent="0.25">
      <c r="A759" s="1">
        <v>42</v>
      </c>
      <c r="B759" s="2">
        <v>41248</v>
      </c>
      <c r="C759" s="4" t="s">
        <v>13</v>
      </c>
      <c r="D759" s="1">
        <v>25</v>
      </c>
    </row>
    <row r="760" spans="1:4" x14ac:dyDescent="0.25">
      <c r="A760" s="1" t="e">
        <v>#N/A</v>
      </c>
      <c r="B760" s="2">
        <v>41094</v>
      </c>
      <c r="C760" s="4" t="s">
        <v>11</v>
      </c>
      <c r="D760" s="1">
        <v>794</v>
      </c>
    </row>
    <row r="761" spans="1:4" x14ac:dyDescent="0.25">
      <c r="A761" s="1" t="e">
        <v>#N/A</v>
      </c>
      <c r="B761" s="2">
        <v>41122</v>
      </c>
      <c r="C761" s="4" t="s">
        <v>11</v>
      </c>
      <c r="D761" s="1">
        <v>638</v>
      </c>
    </row>
    <row r="762" spans="1:4" x14ac:dyDescent="0.25">
      <c r="A762" s="1" t="e">
        <v>#N/A</v>
      </c>
      <c r="B762" s="2">
        <v>41157</v>
      </c>
      <c r="C762" s="4" t="s">
        <v>11</v>
      </c>
      <c r="D762" s="1">
        <v>617</v>
      </c>
    </row>
    <row r="763" spans="1:4" x14ac:dyDescent="0.25">
      <c r="A763" s="1" t="e">
        <v>#N/A</v>
      </c>
      <c r="B763" s="2">
        <v>41094</v>
      </c>
      <c r="C763" s="4" t="s">
        <v>12</v>
      </c>
      <c r="D763" s="1">
        <v>13.5</v>
      </c>
    </row>
    <row r="764" spans="1:4" x14ac:dyDescent="0.25">
      <c r="A764" s="1" t="e">
        <v>#N/A</v>
      </c>
      <c r="B764" s="2">
        <v>41101</v>
      </c>
      <c r="C764" s="4" t="s">
        <v>12</v>
      </c>
      <c r="D764" s="1">
        <v>15.1</v>
      </c>
    </row>
    <row r="765" spans="1:4" x14ac:dyDescent="0.25">
      <c r="A765" s="1" t="e">
        <v>#N/A</v>
      </c>
      <c r="B765" s="2">
        <v>41108</v>
      </c>
      <c r="C765" s="4" t="s">
        <v>12</v>
      </c>
      <c r="D765" s="1">
        <v>13.4</v>
      </c>
    </row>
    <row r="766" spans="1:4" x14ac:dyDescent="0.25">
      <c r="A766" s="1" t="e">
        <v>#N/A</v>
      </c>
      <c r="B766" s="2">
        <v>41115</v>
      </c>
      <c r="C766" s="4" t="s">
        <v>12</v>
      </c>
      <c r="D766" s="1">
        <v>13.7</v>
      </c>
    </row>
    <row r="767" spans="1:4" x14ac:dyDescent="0.25">
      <c r="A767" s="1" t="e">
        <v>#N/A</v>
      </c>
      <c r="B767" s="2">
        <v>41122</v>
      </c>
      <c r="C767" s="4" t="s">
        <v>12</v>
      </c>
      <c r="D767" s="1">
        <v>13.4</v>
      </c>
    </row>
    <row r="768" spans="1:4" x14ac:dyDescent="0.25">
      <c r="A768" s="1" t="e">
        <v>#N/A</v>
      </c>
      <c r="B768" s="2">
        <v>41136</v>
      </c>
      <c r="C768" s="4" t="s">
        <v>12</v>
      </c>
      <c r="D768" s="1">
        <v>13.5</v>
      </c>
    </row>
    <row r="769" spans="1:4" x14ac:dyDescent="0.25">
      <c r="A769" s="1" t="e">
        <v>#N/A</v>
      </c>
      <c r="B769" s="2">
        <v>41143</v>
      </c>
      <c r="C769" s="4" t="s">
        <v>12</v>
      </c>
      <c r="D769" s="1">
        <v>13.2</v>
      </c>
    </row>
    <row r="770" spans="1:4" x14ac:dyDescent="0.25">
      <c r="A770" s="1" t="e">
        <v>#N/A</v>
      </c>
      <c r="B770" s="2">
        <v>41157</v>
      </c>
      <c r="C770" s="4" t="s">
        <v>12</v>
      </c>
      <c r="D770" s="1">
        <v>13.6</v>
      </c>
    </row>
    <row r="771" spans="1:4" x14ac:dyDescent="0.25">
      <c r="A771" s="1" t="e">
        <v>#N/A</v>
      </c>
      <c r="B771" s="2">
        <v>41171</v>
      </c>
      <c r="C771" s="4" t="s">
        <v>12</v>
      </c>
      <c r="D771" s="1">
        <v>13</v>
      </c>
    </row>
    <row r="772" spans="1:4" x14ac:dyDescent="0.25">
      <c r="A772" s="1" t="e">
        <v>#N/A</v>
      </c>
      <c r="B772" s="2">
        <v>41094</v>
      </c>
      <c r="C772" s="4" t="s">
        <v>13</v>
      </c>
      <c r="D772" s="1">
        <v>33</v>
      </c>
    </row>
    <row r="773" spans="1:4" x14ac:dyDescent="0.25">
      <c r="A773" s="1" t="e">
        <v>#N/A</v>
      </c>
      <c r="B773" s="2">
        <v>41122</v>
      </c>
      <c r="C773" s="4" t="s">
        <v>13</v>
      </c>
      <c r="D773" s="1">
        <v>45</v>
      </c>
    </row>
    <row r="774" spans="1:4" x14ac:dyDescent="0.25">
      <c r="A774" s="1" t="e">
        <v>#N/A</v>
      </c>
      <c r="B774" s="2">
        <v>41157</v>
      </c>
      <c r="C774" s="4" t="s">
        <v>13</v>
      </c>
      <c r="D774" s="1">
        <v>39</v>
      </c>
    </row>
    <row r="775" spans="1:4" x14ac:dyDescent="0.25">
      <c r="A775" s="1">
        <v>43</v>
      </c>
      <c r="B775" s="2">
        <v>41094</v>
      </c>
      <c r="C775" s="4" t="s">
        <v>11</v>
      </c>
      <c r="D775" s="1">
        <v>1638</v>
      </c>
    </row>
    <row r="776" spans="1:4" x14ac:dyDescent="0.25">
      <c r="A776" s="1">
        <v>43</v>
      </c>
      <c r="B776" s="2">
        <v>41094</v>
      </c>
      <c r="C776" s="4" t="s">
        <v>12</v>
      </c>
      <c r="D776" s="1">
        <v>6.9</v>
      </c>
    </row>
    <row r="777" spans="1:4" x14ac:dyDescent="0.25">
      <c r="A777" s="1">
        <v>43</v>
      </c>
      <c r="B777" s="2">
        <v>41099</v>
      </c>
      <c r="C777" s="4" t="s">
        <v>12</v>
      </c>
      <c r="D777" s="1">
        <v>9</v>
      </c>
    </row>
    <row r="778" spans="1:4" x14ac:dyDescent="0.25">
      <c r="A778" s="1">
        <v>43</v>
      </c>
      <c r="B778" s="2">
        <v>41094</v>
      </c>
      <c r="C778" s="4" t="s">
        <v>13</v>
      </c>
      <c r="D778" s="1">
        <v>8</v>
      </c>
    </row>
    <row r="779" spans="1:4" x14ac:dyDescent="0.25">
      <c r="A779" s="1">
        <v>44</v>
      </c>
      <c r="B779" s="2">
        <v>41103</v>
      </c>
      <c r="C779" s="4" t="s">
        <v>11</v>
      </c>
      <c r="D779" s="1">
        <v>255</v>
      </c>
    </row>
    <row r="780" spans="1:4" x14ac:dyDescent="0.25">
      <c r="A780" s="1">
        <v>44</v>
      </c>
      <c r="B780" s="2">
        <v>41138</v>
      </c>
      <c r="C780" s="4" t="s">
        <v>11</v>
      </c>
      <c r="D780" s="1">
        <v>351</v>
      </c>
    </row>
    <row r="781" spans="1:4" x14ac:dyDescent="0.25">
      <c r="A781" s="1">
        <v>44</v>
      </c>
      <c r="B781" s="2">
        <v>41162</v>
      </c>
      <c r="C781" s="4" t="s">
        <v>11</v>
      </c>
      <c r="D781" s="1">
        <v>345</v>
      </c>
    </row>
    <row r="782" spans="1:4" x14ac:dyDescent="0.25">
      <c r="A782" s="1">
        <v>44</v>
      </c>
      <c r="B782" s="2">
        <v>41185</v>
      </c>
      <c r="C782" s="4" t="s">
        <v>11</v>
      </c>
      <c r="D782" s="1">
        <v>496</v>
      </c>
    </row>
    <row r="783" spans="1:4" x14ac:dyDescent="0.25">
      <c r="A783" s="1">
        <v>44</v>
      </c>
      <c r="B783" s="2">
        <v>41103</v>
      </c>
      <c r="C783" s="4" t="s">
        <v>12</v>
      </c>
      <c r="D783" s="1">
        <v>11.1</v>
      </c>
    </row>
    <row r="784" spans="1:4" x14ac:dyDescent="0.25">
      <c r="A784" s="1">
        <v>44</v>
      </c>
      <c r="B784" s="2">
        <v>41115</v>
      </c>
      <c r="C784" s="4" t="s">
        <v>12</v>
      </c>
      <c r="D784" s="1">
        <v>12.5</v>
      </c>
    </row>
    <row r="785" spans="1:4" x14ac:dyDescent="0.25">
      <c r="A785" s="1">
        <v>44</v>
      </c>
      <c r="B785" s="2">
        <v>41138</v>
      </c>
      <c r="C785" s="4" t="s">
        <v>12</v>
      </c>
      <c r="D785" s="1">
        <v>10.8</v>
      </c>
    </row>
    <row r="786" spans="1:4" x14ac:dyDescent="0.25">
      <c r="A786" s="1">
        <v>44</v>
      </c>
      <c r="B786" s="2">
        <v>41141</v>
      </c>
      <c r="C786" s="4" t="s">
        <v>12</v>
      </c>
      <c r="D786" s="1">
        <v>11.1</v>
      </c>
    </row>
    <row r="787" spans="1:4" x14ac:dyDescent="0.25">
      <c r="A787" s="1">
        <v>44</v>
      </c>
      <c r="B787" s="2">
        <v>41162</v>
      </c>
      <c r="C787" s="4" t="s">
        <v>12</v>
      </c>
      <c r="D787" s="1">
        <v>12</v>
      </c>
    </row>
    <row r="788" spans="1:4" x14ac:dyDescent="0.25">
      <c r="A788" s="1">
        <v>44</v>
      </c>
      <c r="B788" s="2">
        <v>41185</v>
      </c>
      <c r="C788" s="4" t="s">
        <v>12</v>
      </c>
      <c r="D788" s="1">
        <v>10.6</v>
      </c>
    </row>
    <row r="789" spans="1:4" x14ac:dyDescent="0.25">
      <c r="A789" s="1">
        <v>44</v>
      </c>
      <c r="B789" s="2">
        <v>41103</v>
      </c>
      <c r="C789" s="4" t="s">
        <v>13</v>
      </c>
      <c r="D789" s="1">
        <v>17</v>
      </c>
    </row>
    <row r="790" spans="1:4" x14ac:dyDescent="0.25">
      <c r="A790" s="1">
        <v>44</v>
      </c>
      <c r="B790" s="2">
        <v>41138</v>
      </c>
      <c r="C790" s="4" t="s">
        <v>13</v>
      </c>
      <c r="D790" s="1">
        <v>32</v>
      </c>
    </row>
    <row r="791" spans="1:4" x14ac:dyDescent="0.25">
      <c r="A791" s="1">
        <v>44</v>
      </c>
      <c r="B791" s="2">
        <v>41162</v>
      </c>
      <c r="C791" s="4" t="s">
        <v>13</v>
      </c>
      <c r="D791" s="1">
        <v>22</v>
      </c>
    </row>
    <row r="792" spans="1:4" x14ac:dyDescent="0.25">
      <c r="A792" s="1">
        <v>44</v>
      </c>
      <c r="B792" s="2">
        <v>41185</v>
      </c>
      <c r="C792" s="4" t="s">
        <v>13</v>
      </c>
      <c r="D792" s="1">
        <v>31</v>
      </c>
    </row>
    <row r="793" spans="1:4" x14ac:dyDescent="0.25">
      <c r="A793" s="1" t="e">
        <v>#N/A</v>
      </c>
      <c r="B793" s="2">
        <v>41248</v>
      </c>
      <c r="C793" s="4" t="s">
        <v>11</v>
      </c>
      <c r="D793" s="1">
        <v>1604</v>
      </c>
    </row>
    <row r="794" spans="1:4" x14ac:dyDescent="0.25">
      <c r="A794" s="1" t="e">
        <v>#N/A</v>
      </c>
      <c r="B794" s="2">
        <v>41233</v>
      </c>
      <c r="C794" s="4" t="s">
        <v>12</v>
      </c>
      <c r="D794" s="1">
        <v>12.7</v>
      </c>
    </row>
    <row r="795" spans="1:4" x14ac:dyDescent="0.25">
      <c r="A795" s="1" t="e">
        <v>#N/A</v>
      </c>
      <c r="B795" s="2">
        <v>41248</v>
      </c>
      <c r="C795" s="4" t="s">
        <v>12</v>
      </c>
      <c r="D795" s="1">
        <v>11.7</v>
      </c>
    </row>
    <row r="796" spans="1:4" x14ac:dyDescent="0.25">
      <c r="A796" s="1" t="e">
        <v>#N/A</v>
      </c>
      <c r="B796" s="2">
        <v>41248</v>
      </c>
      <c r="C796" s="4" t="s">
        <v>13</v>
      </c>
      <c r="D796" s="1">
        <v>71</v>
      </c>
    </row>
    <row r="797" spans="1:4" x14ac:dyDescent="0.25">
      <c r="A797" s="1">
        <v>46</v>
      </c>
      <c r="B797" s="2">
        <v>41094</v>
      </c>
      <c r="C797" s="4" t="s">
        <v>11</v>
      </c>
      <c r="D797" s="1">
        <v>652</v>
      </c>
    </row>
    <row r="798" spans="1:4" x14ac:dyDescent="0.25">
      <c r="A798" s="1">
        <v>46</v>
      </c>
      <c r="B798" s="2">
        <v>41122</v>
      </c>
      <c r="C798" s="4" t="s">
        <v>11</v>
      </c>
      <c r="D798" s="1">
        <v>526</v>
      </c>
    </row>
    <row r="799" spans="1:4" x14ac:dyDescent="0.25">
      <c r="A799" s="1">
        <v>46</v>
      </c>
      <c r="B799" s="2">
        <v>41157</v>
      </c>
      <c r="C799" s="4" t="s">
        <v>11</v>
      </c>
      <c r="D799" s="1">
        <v>442</v>
      </c>
    </row>
    <row r="800" spans="1:4" x14ac:dyDescent="0.25">
      <c r="A800" s="1">
        <v>46</v>
      </c>
      <c r="B800" s="2">
        <v>41185</v>
      </c>
      <c r="C800" s="4" t="s">
        <v>11</v>
      </c>
      <c r="D800" s="1">
        <v>1101</v>
      </c>
    </row>
    <row r="801" spans="1:4" x14ac:dyDescent="0.25">
      <c r="A801" s="1">
        <v>46</v>
      </c>
      <c r="B801" s="2">
        <v>41220</v>
      </c>
      <c r="C801" s="4" t="s">
        <v>11</v>
      </c>
      <c r="D801" s="1">
        <v>906</v>
      </c>
    </row>
    <row r="802" spans="1:4" x14ac:dyDescent="0.25">
      <c r="A802" s="1">
        <v>46</v>
      </c>
      <c r="B802" s="2">
        <v>41248</v>
      </c>
      <c r="C802" s="4" t="s">
        <v>11</v>
      </c>
      <c r="D802" s="1">
        <v>737</v>
      </c>
    </row>
    <row r="803" spans="1:4" x14ac:dyDescent="0.25">
      <c r="A803" s="1">
        <v>46</v>
      </c>
      <c r="B803" s="2">
        <v>41094</v>
      </c>
      <c r="C803" s="4" t="s">
        <v>12</v>
      </c>
      <c r="D803" s="1">
        <v>10.3</v>
      </c>
    </row>
    <row r="804" spans="1:4" x14ac:dyDescent="0.25">
      <c r="A804" s="1">
        <v>46</v>
      </c>
      <c r="B804" s="2">
        <v>41108</v>
      </c>
      <c r="C804" s="4" t="s">
        <v>12</v>
      </c>
      <c r="D804" s="1">
        <v>10.4</v>
      </c>
    </row>
    <row r="805" spans="1:4" x14ac:dyDescent="0.25">
      <c r="A805" s="1">
        <v>46</v>
      </c>
      <c r="B805" s="2">
        <v>41122</v>
      </c>
      <c r="C805" s="4" t="s">
        <v>12</v>
      </c>
      <c r="D805" s="1">
        <v>10.3</v>
      </c>
    </row>
    <row r="806" spans="1:4" x14ac:dyDescent="0.25">
      <c r="A806" s="1">
        <v>46</v>
      </c>
      <c r="B806" s="2">
        <v>41136</v>
      </c>
      <c r="C806" s="4" t="s">
        <v>12</v>
      </c>
      <c r="D806" s="1">
        <v>10.4</v>
      </c>
    </row>
    <row r="807" spans="1:4" x14ac:dyDescent="0.25">
      <c r="A807" s="1">
        <v>46</v>
      </c>
      <c r="B807" s="2">
        <v>41157</v>
      </c>
      <c r="C807" s="4" t="s">
        <v>12</v>
      </c>
      <c r="D807" s="1">
        <v>10.9</v>
      </c>
    </row>
    <row r="808" spans="1:4" x14ac:dyDescent="0.25">
      <c r="A808" s="1">
        <v>46</v>
      </c>
      <c r="B808" s="2">
        <v>41171</v>
      </c>
      <c r="C808" s="4" t="s">
        <v>12</v>
      </c>
      <c r="D808" s="1">
        <v>10.1</v>
      </c>
    </row>
    <row r="809" spans="1:4" x14ac:dyDescent="0.25">
      <c r="A809" s="1">
        <v>46</v>
      </c>
      <c r="B809" s="2">
        <v>41185</v>
      </c>
      <c r="C809" s="4" t="s">
        <v>12</v>
      </c>
      <c r="D809" s="1">
        <v>11.2</v>
      </c>
    </row>
    <row r="810" spans="1:4" x14ac:dyDescent="0.25">
      <c r="A810" s="1">
        <v>46</v>
      </c>
      <c r="B810" s="2">
        <v>41199</v>
      </c>
      <c r="C810" s="4" t="s">
        <v>12</v>
      </c>
      <c r="D810" s="1">
        <v>9.6</v>
      </c>
    </row>
    <row r="811" spans="1:4" x14ac:dyDescent="0.25">
      <c r="A811" s="1">
        <v>46</v>
      </c>
      <c r="B811" s="2">
        <v>41220</v>
      </c>
      <c r="C811" s="4" t="s">
        <v>12</v>
      </c>
      <c r="D811" s="1">
        <v>9.3000000000000007</v>
      </c>
    </row>
    <row r="812" spans="1:4" x14ac:dyDescent="0.25">
      <c r="A812" s="1">
        <v>46</v>
      </c>
      <c r="B812" s="2">
        <v>41233</v>
      </c>
      <c r="C812" s="4" t="s">
        <v>12</v>
      </c>
      <c r="D812" s="1">
        <v>9.4</v>
      </c>
    </row>
    <row r="813" spans="1:4" x14ac:dyDescent="0.25">
      <c r="A813" s="1">
        <v>46</v>
      </c>
      <c r="B813" s="2">
        <v>41248</v>
      </c>
      <c r="C813" s="4" t="s">
        <v>12</v>
      </c>
      <c r="D813" s="1">
        <v>8.5</v>
      </c>
    </row>
    <row r="814" spans="1:4" x14ac:dyDescent="0.25">
      <c r="A814" s="1">
        <v>46</v>
      </c>
      <c r="B814" s="2">
        <v>41094</v>
      </c>
      <c r="C814" s="4" t="s">
        <v>13</v>
      </c>
      <c r="D814" s="1">
        <v>36</v>
      </c>
    </row>
    <row r="815" spans="1:4" x14ac:dyDescent="0.25">
      <c r="A815" s="1">
        <v>46</v>
      </c>
      <c r="B815" s="2">
        <v>41122</v>
      </c>
      <c r="C815" s="4" t="s">
        <v>13</v>
      </c>
      <c r="D815" s="1">
        <v>44</v>
      </c>
    </row>
    <row r="816" spans="1:4" x14ac:dyDescent="0.25">
      <c r="A816" s="1">
        <v>46</v>
      </c>
      <c r="B816" s="2">
        <v>41157</v>
      </c>
      <c r="C816" s="4" t="s">
        <v>13</v>
      </c>
      <c r="D816" s="1">
        <v>17</v>
      </c>
    </row>
    <row r="817" spans="1:4" x14ac:dyDescent="0.25">
      <c r="A817" s="1">
        <v>46</v>
      </c>
      <c r="B817" s="2">
        <v>41185</v>
      </c>
      <c r="C817" s="4" t="s">
        <v>13</v>
      </c>
      <c r="D817" s="1">
        <v>40</v>
      </c>
    </row>
    <row r="818" spans="1:4" x14ac:dyDescent="0.25">
      <c r="A818" s="1">
        <v>46</v>
      </c>
      <c r="B818" s="2">
        <v>41220</v>
      </c>
      <c r="C818" s="4" t="s">
        <v>13</v>
      </c>
      <c r="D818" s="1">
        <v>49</v>
      </c>
    </row>
    <row r="819" spans="1:4" x14ac:dyDescent="0.25">
      <c r="A819" s="1">
        <v>46</v>
      </c>
      <c r="B819" s="2">
        <v>41248</v>
      </c>
      <c r="C819" s="4" t="s">
        <v>13</v>
      </c>
      <c r="D819" s="1">
        <v>49</v>
      </c>
    </row>
    <row r="820" spans="1:4" x14ac:dyDescent="0.25">
      <c r="A820" s="1">
        <v>47</v>
      </c>
      <c r="B820" s="2">
        <v>41094</v>
      </c>
      <c r="C820" s="4" t="s">
        <v>11</v>
      </c>
      <c r="D820" s="1">
        <v>794</v>
      </c>
    </row>
    <row r="821" spans="1:4" x14ac:dyDescent="0.25">
      <c r="A821" s="1">
        <v>47</v>
      </c>
      <c r="B821" s="2">
        <v>41122</v>
      </c>
      <c r="C821" s="4" t="s">
        <v>11</v>
      </c>
      <c r="D821" s="1">
        <v>732</v>
      </c>
    </row>
    <row r="822" spans="1:4" x14ac:dyDescent="0.25">
      <c r="A822" s="1">
        <v>47</v>
      </c>
      <c r="B822" s="2">
        <v>41157</v>
      </c>
      <c r="C822" s="4" t="s">
        <v>11</v>
      </c>
      <c r="D822" s="1">
        <v>738</v>
      </c>
    </row>
    <row r="823" spans="1:4" x14ac:dyDescent="0.25">
      <c r="A823" s="1">
        <v>47</v>
      </c>
      <c r="B823" s="2">
        <v>41184</v>
      </c>
      <c r="C823" s="4" t="s">
        <v>11</v>
      </c>
      <c r="D823" s="1">
        <v>955</v>
      </c>
    </row>
    <row r="824" spans="1:4" x14ac:dyDescent="0.25">
      <c r="A824" s="1">
        <v>47</v>
      </c>
      <c r="B824" s="2">
        <v>41220</v>
      </c>
      <c r="C824" s="4" t="s">
        <v>11</v>
      </c>
      <c r="D824" s="1">
        <v>747</v>
      </c>
    </row>
    <row r="825" spans="1:4" x14ac:dyDescent="0.25">
      <c r="A825" s="1">
        <v>47</v>
      </c>
      <c r="B825" s="2">
        <v>41248</v>
      </c>
      <c r="C825" s="4" t="s">
        <v>11</v>
      </c>
      <c r="D825" s="1">
        <v>723</v>
      </c>
    </row>
    <row r="826" spans="1:4" x14ac:dyDescent="0.25">
      <c r="A826" s="1">
        <v>47</v>
      </c>
      <c r="B826" s="2">
        <v>41094</v>
      </c>
      <c r="C826" s="4" t="s">
        <v>12</v>
      </c>
      <c r="D826" s="1">
        <v>10.199999999999999</v>
      </c>
    </row>
    <row r="827" spans="1:4" x14ac:dyDescent="0.25">
      <c r="A827" s="1">
        <v>47</v>
      </c>
      <c r="B827" s="2">
        <v>41108</v>
      </c>
      <c r="C827" s="4" t="s">
        <v>12</v>
      </c>
      <c r="D827" s="1">
        <v>10.8</v>
      </c>
    </row>
    <row r="828" spans="1:4" x14ac:dyDescent="0.25">
      <c r="A828" s="1">
        <v>47</v>
      </c>
      <c r="B828" s="2">
        <v>41122</v>
      </c>
      <c r="C828" s="4" t="s">
        <v>12</v>
      </c>
      <c r="D828" s="1">
        <v>10.4</v>
      </c>
    </row>
    <row r="829" spans="1:4" x14ac:dyDescent="0.25">
      <c r="A829" s="1">
        <v>47</v>
      </c>
      <c r="B829" s="2">
        <v>41136</v>
      </c>
      <c r="C829" s="4" t="s">
        <v>12</v>
      </c>
      <c r="D829" s="1">
        <v>10.6</v>
      </c>
    </row>
    <row r="830" spans="1:4" x14ac:dyDescent="0.25">
      <c r="A830" s="1">
        <v>47</v>
      </c>
      <c r="B830" s="2">
        <v>41157</v>
      </c>
      <c r="C830" s="4" t="s">
        <v>12</v>
      </c>
      <c r="D830" s="1">
        <v>9.5</v>
      </c>
    </row>
    <row r="831" spans="1:4" x14ac:dyDescent="0.25">
      <c r="A831" s="1">
        <v>47</v>
      </c>
      <c r="B831" s="2">
        <v>41171</v>
      </c>
      <c r="C831" s="4" t="s">
        <v>12</v>
      </c>
      <c r="D831" s="1">
        <v>9.4</v>
      </c>
    </row>
    <row r="832" spans="1:4" x14ac:dyDescent="0.25">
      <c r="A832" s="1">
        <v>47</v>
      </c>
      <c r="B832" s="2">
        <v>41184</v>
      </c>
      <c r="C832" s="4" t="s">
        <v>12</v>
      </c>
      <c r="D832" s="1">
        <v>9.3000000000000007</v>
      </c>
    </row>
    <row r="833" spans="1:4" x14ac:dyDescent="0.25">
      <c r="A833" s="1">
        <v>47</v>
      </c>
      <c r="B833" s="2">
        <v>41199</v>
      </c>
      <c r="C833" s="4" t="s">
        <v>12</v>
      </c>
      <c r="D833" s="1">
        <v>8.4</v>
      </c>
    </row>
    <row r="834" spans="1:4" x14ac:dyDescent="0.25">
      <c r="A834" s="1">
        <v>47</v>
      </c>
      <c r="B834" s="2">
        <v>41220</v>
      </c>
      <c r="C834" s="4" t="s">
        <v>12</v>
      </c>
      <c r="D834" s="1">
        <v>8</v>
      </c>
    </row>
    <row r="835" spans="1:4" x14ac:dyDescent="0.25">
      <c r="A835" s="1">
        <v>47</v>
      </c>
      <c r="B835" s="2">
        <v>41233</v>
      </c>
      <c r="C835" s="4" t="s">
        <v>12</v>
      </c>
      <c r="D835" s="1">
        <v>6.6</v>
      </c>
    </row>
    <row r="836" spans="1:4" x14ac:dyDescent="0.25">
      <c r="A836" s="1">
        <v>47</v>
      </c>
      <c r="B836" s="2">
        <v>41239</v>
      </c>
      <c r="C836" s="4" t="s">
        <v>12</v>
      </c>
      <c r="D836" s="1">
        <v>9.1999999999999993</v>
      </c>
    </row>
    <row r="837" spans="1:4" x14ac:dyDescent="0.25">
      <c r="A837" s="1">
        <v>47</v>
      </c>
      <c r="B837" s="2">
        <v>41248</v>
      </c>
      <c r="C837" s="4" t="s">
        <v>12</v>
      </c>
      <c r="D837" s="1">
        <v>9.3000000000000007</v>
      </c>
    </row>
    <row r="838" spans="1:4" x14ac:dyDescent="0.25">
      <c r="A838" s="1">
        <v>47</v>
      </c>
      <c r="B838" s="2">
        <v>41094</v>
      </c>
      <c r="C838" s="4" t="s">
        <v>13</v>
      </c>
      <c r="D838" s="1">
        <v>25</v>
      </c>
    </row>
    <row r="839" spans="1:4" x14ac:dyDescent="0.25">
      <c r="A839" s="1">
        <v>47</v>
      </c>
      <c r="B839" s="2">
        <v>41122</v>
      </c>
      <c r="C839" s="4" t="s">
        <v>13</v>
      </c>
      <c r="D839" s="1">
        <v>30</v>
      </c>
    </row>
    <row r="840" spans="1:4" x14ac:dyDescent="0.25">
      <c r="A840" s="1">
        <v>48</v>
      </c>
      <c r="B840" s="2">
        <v>41094</v>
      </c>
      <c r="C840" s="4" t="s">
        <v>11</v>
      </c>
      <c r="D840" s="1">
        <v>904</v>
      </c>
    </row>
    <row r="841" spans="1:4" x14ac:dyDescent="0.25">
      <c r="A841" s="1">
        <v>48</v>
      </c>
      <c r="B841" s="2">
        <v>41122</v>
      </c>
      <c r="C841" s="4" t="s">
        <v>11</v>
      </c>
      <c r="D841" s="1">
        <v>810</v>
      </c>
    </row>
    <row r="842" spans="1:4" x14ac:dyDescent="0.25">
      <c r="A842" s="1">
        <v>48</v>
      </c>
      <c r="B842" s="2">
        <v>41157</v>
      </c>
      <c r="C842" s="4" t="s">
        <v>11</v>
      </c>
      <c r="D842" s="1">
        <v>909</v>
      </c>
    </row>
    <row r="843" spans="1:4" x14ac:dyDescent="0.25">
      <c r="A843" s="1">
        <v>48</v>
      </c>
      <c r="B843" s="2">
        <v>41185</v>
      </c>
      <c r="C843" s="4" t="s">
        <v>11</v>
      </c>
      <c r="D843" s="1">
        <v>959</v>
      </c>
    </row>
    <row r="844" spans="1:4" x14ac:dyDescent="0.25">
      <c r="A844" s="1">
        <v>48</v>
      </c>
      <c r="B844" s="2">
        <v>41220</v>
      </c>
      <c r="C844" s="4" t="s">
        <v>11</v>
      </c>
      <c r="D844" s="1">
        <v>930</v>
      </c>
    </row>
    <row r="845" spans="1:4" x14ac:dyDescent="0.25">
      <c r="A845" s="1">
        <v>48</v>
      </c>
      <c r="B845" s="2">
        <v>41248</v>
      </c>
      <c r="C845" s="4" t="s">
        <v>11</v>
      </c>
      <c r="D845" s="1">
        <v>785</v>
      </c>
    </row>
    <row r="846" spans="1:4" x14ac:dyDescent="0.25">
      <c r="A846" s="1">
        <v>48</v>
      </c>
      <c r="B846" s="2">
        <v>41092</v>
      </c>
      <c r="C846" s="4" t="s">
        <v>12</v>
      </c>
      <c r="D846" s="1">
        <v>10.8</v>
      </c>
    </row>
    <row r="847" spans="1:4" x14ac:dyDescent="0.25">
      <c r="A847" s="1">
        <v>48</v>
      </c>
      <c r="B847" s="2">
        <v>41094</v>
      </c>
      <c r="C847" s="4" t="s">
        <v>12</v>
      </c>
      <c r="D847" s="1">
        <v>10.3</v>
      </c>
    </row>
    <row r="848" spans="1:4" x14ac:dyDescent="0.25">
      <c r="A848" s="1">
        <v>48</v>
      </c>
      <c r="B848" s="2">
        <v>41108</v>
      </c>
      <c r="C848" s="4" t="s">
        <v>12</v>
      </c>
      <c r="D848" s="1">
        <v>11</v>
      </c>
    </row>
    <row r="849" spans="1:4" x14ac:dyDescent="0.25">
      <c r="A849" s="1">
        <v>48</v>
      </c>
      <c r="B849" s="2">
        <v>41122</v>
      </c>
      <c r="C849" s="4" t="s">
        <v>12</v>
      </c>
      <c r="D849" s="1">
        <v>11.3</v>
      </c>
    </row>
    <row r="850" spans="1:4" x14ac:dyDescent="0.25">
      <c r="A850" s="1">
        <v>48</v>
      </c>
      <c r="B850" s="2">
        <v>41136</v>
      </c>
      <c r="C850" s="4" t="s">
        <v>12</v>
      </c>
      <c r="D850" s="1">
        <v>11.8</v>
      </c>
    </row>
    <row r="851" spans="1:4" x14ac:dyDescent="0.25">
      <c r="A851" s="1">
        <v>48</v>
      </c>
      <c r="B851" s="2">
        <v>41143</v>
      </c>
      <c r="C851" s="4" t="s">
        <v>12</v>
      </c>
      <c r="D851" s="1">
        <v>11.4</v>
      </c>
    </row>
    <row r="852" spans="1:4" x14ac:dyDescent="0.25">
      <c r="A852" s="1">
        <v>48</v>
      </c>
      <c r="B852" s="2">
        <v>41157</v>
      </c>
      <c r="C852" s="4" t="s">
        <v>12</v>
      </c>
      <c r="D852" s="1">
        <v>10.4</v>
      </c>
    </row>
    <row r="853" spans="1:4" x14ac:dyDescent="0.25">
      <c r="A853" s="1">
        <v>48</v>
      </c>
      <c r="B853" s="2">
        <v>41171</v>
      </c>
      <c r="C853" s="4" t="s">
        <v>12</v>
      </c>
      <c r="D853" s="1">
        <v>11.1</v>
      </c>
    </row>
    <row r="854" spans="1:4" x14ac:dyDescent="0.25">
      <c r="A854" s="1">
        <v>48</v>
      </c>
      <c r="B854" s="2">
        <v>41185</v>
      </c>
      <c r="C854" s="4" t="s">
        <v>12</v>
      </c>
      <c r="D854" s="1">
        <v>11.3</v>
      </c>
    </row>
    <row r="855" spans="1:4" x14ac:dyDescent="0.25">
      <c r="A855" s="1">
        <v>48</v>
      </c>
      <c r="B855" s="2">
        <v>41199</v>
      </c>
      <c r="C855" s="4" t="s">
        <v>12</v>
      </c>
      <c r="D855" s="1">
        <v>11.5</v>
      </c>
    </row>
    <row r="856" spans="1:4" x14ac:dyDescent="0.25">
      <c r="A856" s="1">
        <v>48</v>
      </c>
      <c r="B856" s="2">
        <v>41220</v>
      </c>
      <c r="C856" s="4" t="s">
        <v>12</v>
      </c>
      <c r="D856" s="1">
        <v>9.6</v>
      </c>
    </row>
    <row r="857" spans="1:4" x14ac:dyDescent="0.25">
      <c r="A857" s="1">
        <v>48</v>
      </c>
      <c r="B857" s="2">
        <v>41233</v>
      </c>
      <c r="C857" s="4" t="s">
        <v>12</v>
      </c>
      <c r="D857" s="1">
        <v>7.6</v>
      </c>
    </row>
    <row r="858" spans="1:4" x14ac:dyDescent="0.25">
      <c r="A858" s="1">
        <v>48</v>
      </c>
      <c r="B858" s="2">
        <v>41234</v>
      </c>
      <c r="C858" s="4" t="s">
        <v>12</v>
      </c>
      <c r="D858" s="1">
        <v>8.8000000000000007</v>
      </c>
    </row>
    <row r="859" spans="1:4" x14ac:dyDescent="0.25">
      <c r="A859" s="1">
        <v>48</v>
      </c>
      <c r="B859" s="2">
        <v>41239</v>
      </c>
      <c r="C859" s="4" t="s">
        <v>12</v>
      </c>
      <c r="D859" s="1">
        <v>8.6999999999999993</v>
      </c>
    </row>
    <row r="860" spans="1:4" x14ac:dyDescent="0.25">
      <c r="A860" s="1">
        <v>48</v>
      </c>
      <c r="B860" s="2">
        <v>41248</v>
      </c>
      <c r="C860" s="4" t="s">
        <v>12</v>
      </c>
      <c r="D860" s="1">
        <v>9.6</v>
      </c>
    </row>
    <row r="861" spans="1:4" x14ac:dyDescent="0.25">
      <c r="A861" s="1">
        <v>48</v>
      </c>
      <c r="B861" s="2">
        <v>41094</v>
      </c>
      <c r="C861" s="4" t="s">
        <v>13</v>
      </c>
      <c r="D861" s="1">
        <v>28</v>
      </c>
    </row>
    <row r="862" spans="1:4" x14ac:dyDescent="0.25">
      <c r="A862" s="1">
        <v>48</v>
      </c>
      <c r="B862" s="2">
        <v>41122</v>
      </c>
      <c r="C862" s="4" t="s">
        <v>13</v>
      </c>
      <c r="D862" s="1">
        <v>24</v>
      </c>
    </row>
    <row r="863" spans="1:4" x14ac:dyDescent="0.25">
      <c r="A863" s="1">
        <v>48</v>
      </c>
      <c r="B863" s="2">
        <v>41157</v>
      </c>
      <c r="C863" s="4" t="s">
        <v>13</v>
      </c>
      <c r="D863" s="1">
        <v>61</v>
      </c>
    </row>
    <row r="864" spans="1:4" x14ac:dyDescent="0.25">
      <c r="A864" s="1">
        <v>48</v>
      </c>
      <c r="B864" s="2">
        <v>41185</v>
      </c>
      <c r="C864" s="4" t="s">
        <v>13</v>
      </c>
      <c r="D864" s="1">
        <v>71</v>
      </c>
    </row>
    <row r="865" spans="1:4" x14ac:dyDescent="0.25">
      <c r="A865" s="1">
        <v>48</v>
      </c>
      <c r="B865" s="2">
        <v>41220</v>
      </c>
      <c r="C865" s="4" t="s">
        <v>13</v>
      </c>
      <c r="D865" s="1">
        <v>42</v>
      </c>
    </row>
    <row r="866" spans="1:4" x14ac:dyDescent="0.25">
      <c r="A866" s="1">
        <v>48</v>
      </c>
      <c r="B866" s="2">
        <v>41248</v>
      </c>
      <c r="C866" s="4" t="s">
        <v>13</v>
      </c>
      <c r="D866" s="1">
        <v>45</v>
      </c>
    </row>
    <row r="867" spans="1:4" x14ac:dyDescent="0.25">
      <c r="A867" s="1">
        <v>49</v>
      </c>
      <c r="B867" s="2">
        <v>41095</v>
      </c>
      <c r="C867" s="4" t="s">
        <v>11</v>
      </c>
      <c r="D867" s="1">
        <v>882</v>
      </c>
    </row>
    <row r="868" spans="1:4" x14ac:dyDescent="0.25">
      <c r="A868" s="1">
        <v>49</v>
      </c>
      <c r="B868" s="2">
        <v>41123</v>
      </c>
      <c r="C868" s="4" t="s">
        <v>11</v>
      </c>
      <c r="D868" s="1">
        <v>941</v>
      </c>
    </row>
    <row r="869" spans="1:4" x14ac:dyDescent="0.25">
      <c r="A869" s="1">
        <v>49</v>
      </c>
      <c r="B869" s="2">
        <v>41156</v>
      </c>
      <c r="C869" s="4" t="s">
        <v>11</v>
      </c>
      <c r="D869" s="1">
        <v>1316</v>
      </c>
    </row>
    <row r="870" spans="1:4" x14ac:dyDescent="0.25">
      <c r="A870" s="1">
        <v>49</v>
      </c>
      <c r="B870" s="2">
        <v>41095</v>
      </c>
      <c r="C870" s="4" t="s">
        <v>12</v>
      </c>
      <c r="D870" s="1">
        <v>12.3</v>
      </c>
    </row>
    <row r="871" spans="1:4" x14ac:dyDescent="0.25">
      <c r="A871" s="1">
        <v>49</v>
      </c>
      <c r="B871" s="2">
        <v>41109</v>
      </c>
      <c r="C871" s="4" t="s">
        <v>12</v>
      </c>
      <c r="D871" s="1">
        <v>10.6</v>
      </c>
    </row>
    <row r="872" spans="1:4" x14ac:dyDescent="0.25">
      <c r="A872" s="1">
        <v>49</v>
      </c>
      <c r="B872" s="2">
        <v>41123</v>
      </c>
      <c r="C872" s="4" t="s">
        <v>12</v>
      </c>
      <c r="D872" s="1">
        <v>10.199999999999999</v>
      </c>
    </row>
    <row r="873" spans="1:4" x14ac:dyDescent="0.25">
      <c r="A873" s="1">
        <v>49</v>
      </c>
      <c r="B873" s="2">
        <v>41137</v>
      </c>
      <c r="C873" s="4" t="s">
        <v>12</v>
      </c>
      <c r="D873" s="1">
        <v>10.5</v>
      </c>
    </row>
    <row r="874" spans="1:4" x14ac:dyDescent="0.25">
      <c r="A874" s="1">
        <v>49</v>
      </c>
      <c r="B874" s="2">
        <v>41156</v>
      </c>
      <c r="C874" s="4" t="s">
        <v>12</v>
      </c>
      <c r="D874" s="1">
        <v>10.199999999999999</v>
      </c>
    </row>
    <row r="875" spans="1:4" x14ac:dyDescent="0.25">
      <c r="A875" s="1">
        <v>49</v>
      </c>
      <c r="B875" s="2">
        <v>41095</v>
      </c>
      <c r="C875" s="4" t="s">
        <v>13</v>
      </c>
      <c r="D875" s="1">
        <v>15</v>
      </c>
    </row>
    <row r="876" spans="1:4" x14ac:dyDescent="0.25">
      <c r="A876" s="1">
        <v>49</v>
      </c>
      <c r="B876" s="2">
        <v>41123</v>
      </c>
      <c r="C876" s="4" t="s">
        <v>13</v>
      </c>
      <c r="D876" s="1">
        <v>17</v>
      </c>
    </row>
    <row r="877" spans="1:4" x14ac:dyDescent="0.25">
      <c r="A877" s="1">
        <v>49</v>
      </c>
      <c r="B877" s="2">
        <v>41156</v>
      </c>
      <c r="C877" s="4" t="s">
        <v>13</v>
      </c>
      <c r="D877" s="1">
        <v>3</v>
      </c>
    </row>
    <row r="878" spans="1:4" x14ac:dyDescent="0.25">
      <c r="A878" s="1">
        <v>50</v>
      </c>
      <c r="B878" s="2">
        <v>41095</v>
      </c>
      <c r="C878" s="4" t="s">
        <v>11</v>
      </c>
      <c r="D878" s="1">
        <v>631</v>
      </c>
    </row>
    <row r="879" spans="1:4" x14ac:dyDescent="0.25">
      <c r="A879" s="1">
        <v>50</v>
      </c>
      <c r="B879" s="2">
        <v>41123</v>
      </c>
      <c r="C879" s="4" t="s">
        <v>11</v>
      </c>
      <c r="D879" s="1">
        <v>812</v>
      </c>
    </row>
    <row r="880" spans="1:4" x14ac:dyDescent="0.25">
      <c r="A880" s="1">
        <v>50</v>
      </c>
      <c r="B880" s="2">
        <v>41156</v>
      </c>
      <c r="C880" s="4" t="s">
        <v>11</v>
      </c>
      <c r="D880" s="1">
        <v>475</v>
      </c>
    </row>
    <row r="881" spans="1:4" x14ac:dyDescent="0.25">
      <c r="A881" s="1">
        <v>50</v>
      </c>
      <c r="B881" s="2">
        <v>41095</v>
      </c>
      <c r="C881" s="4" t="s">
        <v>12</v>
      </c>
      <c r="D881" s="1">
        <v>10.8</v>
      </c>
    </row>
    <row r="882" spans="1:4" x14ac:dyDescent="0.25">
      <c r="A882" s="1">
        <v>50</v>
      </c>
      <c r="B882" s="2">
        <v>41109</v>
      </c>
      <c r="C882" s="4" t="s">
        <v>12</v>
      </c>
      <c r="D882" s="1">
        <v>12.3</v>
      </c>
    </row>
    <row r="883" spans="1:4" x14ac:dyDescent="0.25">
      <c r="A883" s="1">
        <v>50</v>
      </c>
      <c r="B883" s="2">
        <v>41116</v>
      </c>
      <c r="C883" s="4" t="s">
        <v>12</v>
      </c>
      <c r="D883" s="1">
        <v>11</v>
      </c>
    </row>
    <row r="884" spans="1:4" x14ac:dyDescent="0.25">
      <c r="A884" s="1">
        <v>50</v>
      </c>
      <c r="B884" s="2">
        <v>41123</v>
      </c>
      <c r="C884" s="4" t="s">
        <v>12</v>
      </c>
      <c r="D884" s="1">
        <v>10.199999999999999</v>
      </c>
    </row>
    <row r="885" spans="1:4" x14ac:dyDescent="0.25">
      <c r="A885" s="1">
        <v>50</v>
      </c>
      <c r="B885" s="2">
        <v>41137</v>
      </c>
      <c r="C885" s="4" t="s">
        <v>12</v>
      </c>
      <c r="D885" s="1">
        <v>10.5</v>
      </c>
    </row>
    <row r="886" spans="1:4" x14ac:dyDescent="0.25">
      <c r="A886" s="1">
        <v>50</v>
      </c>
      <c r="B886" s="2">
        <v>41156</v>
      </c>
      <c r="C886" s="4" t="s">
        <v>12</v>
      </c>
      <c r="D886" s="1">
        <v>11.3</v>
      </c>
    </row>
    <row r="887" spans="1:4" x14ac:dyDescent="0.25">
      <c r="A887" s="1">
        <v>50</v>
      </c>
      <c r="B887" s="2">
        <v>41095</v>
      </c>
      <c r="C887" s="4" t="s">
        <v>13</v>
      </c>
      <c r="D887" s="1">
        <v>28</v>
      </c>
    </row>
    <row r="888" spans="1:4" x14ac:dyDescent="0.25">
      <c r="A888" s="1">
        <v>50</v>
      </c>
      <c r="B888" s="2">
        <v>41123</v>
      </c>
      <c r="C888" s="4" t="s">
        <v>13</v>
      </c>
      <c r="D888" s="1">
        <v>23</v>
      </c>
    </row>
    <row r="889" spans="1:4" x14ac:dyDescent="0.25">
      <c r="A889" s="1">
        <v>50</v>
      </c>
      <c r="B889" s="2">
        <v>41156</v>
      </c>
      <c r="C889" s="4" t="s">
        <v>13</v>
      </c>
      <c r="D889" s="1">
        <v>15</v>
      </c>
    </row>
    <row r="890" spans="1:4" x14ac:dyDescent="0.25">
      <c r="A890" s="1" t="e">
        <v>#N/A</v>
      </c>
      <c r="B890" s="2">
        <v>41095</v>
      </c>
      <c r="C890" s="4" t="s">
        <v>11</v>
      </c>
      <c r="D890" s="1">
        <v>1017</v>
      </c>
    </row>
    <row r="891" spans="1:4" x14ac:dyDescent="0.25">
      <c r="A891" s="1" t="e">
        <v>#N/A</v>
      </c>
      <c r="B891" s="2">
        <v>41125</v>
      </c>
      <c r="C891" s="4" t="s">
        <v>11</v>
      </c>
      <c r="D891" s="1">
        <v>828</v>
      </c>
    </row>
    <row r="892" spans="1:4" x14ac:dyDescent="0.25">
      <c r="A892" s="1" t="e">
        <v>#N/A</v>
      </c>
      <c r="B892" s="2">
        <v>41156</v>
      </c>
      <c r="C892" s="4" t="s">
        <v>11</v>
      </c>
      <c r="D892" s="1">
        <v>955</v>
      </c>
    </row>
    <row r="893" spans="1:4" x14ac:dyDescent="0.25">
      <c r="A893" s="1" t="e">
        <v>#N/A</v>
      </c>
      <c r="B893" s="2">
        <v>41095</v>
      </c>
      <c r="C893" s="4" t="s">
        <v>12</v>
      </c>
      <c r="D893" s="1">
        <v>10</v>
      </c>
    </row>
    <row r="894" spans="1:4" x14ac:dyDescent="0.25">
      <c r="A894" s="1" t="e">
        <v>#N/A</v>
      </c>
      <c r="B894" s="2">
        <v>41109</v>
      </c>
      <c r="C894" s="4" t="s">
        <v>12</v>
      </c>
      <c r="D894" s="1">
        <v>10.8</v>
      </c>
    </row>
    <row r="895" spans="1:4" x14ac:dyDescent="0.25">
      <c r="A895" s="1" t="e">
        <v>#N/A</v>
      </c>
      <c r="B895" s="2">
        <v>41125</v>
      </c>
      <c r="C895" s="4" t="s">
        <v>12</v>
      </c>
      <c r="D895" s="1">
        <v>9.8000000000000007</v>
      </c>
    </row>
    <row r="896" spans="1:4" x14ac:dyDescent="0.25">
      <c r="A896" s="1" t="e">
        <v>#N/A</v>
      </c>
      <c r="B896" s="2">
        <v>41137</v>
      </c>
      <c r="C896" s="4" t="s">
        <v>12</v>
      </c>
      <c r="D896" s="1">
        <v>10</v>
      </c>
    </row>
    <row r="897" spans="1:4" x14ac:dyDescent="0.25">
      <c r="A897" s="1" t="e">
        <v>#N/A</v>
      </c>
      <c r="B897" s="2">
        <v>41149</v>
      </c>
      <c r="C897" s="4" t="s">
        <v>12</v>
      </c>
      <c r="D897" s="1">
        <v>9.5</v>
      </c>
    </row>
    <row r="898" spans="1:4" x14ac:dyDescent="0.25">
      <c r="A898" s="1" t="e">
        <v>#N/A</v>
      </c>
      <c r="B898" s="2">
        <v>41156</v>
      </c>
      <c r="C898" s="4" t="s">
        <v>12</v>
      </c>
      <c r="D898" s="1">
        <v>9.1</v>
      </c>
    </row>
    <row r="899" spans="1:4" x14ac:dyDescent="0.25">
      <c r="A899" s="1" t="e">
        <v>#N/A</v>
      </c>
      <c r="B899" s="2">
        <v>41095</v>
      </c>
      <c r="C899" s="4" t="s">
        <v>13</v>
      </c>
      <c r="D899" s="1">
        <v>40</v>
      </c>
    </row>
    <row r="900" spans="1:4" x14ac:dyDescent="0.25">
      <c r="A900" s="1" t="e">
        <v>#N/A</v>
      </c>
      <c r="B900" s="2">
        <v>41125</v>
      </c>
      <c r="C900" s="4" t="s">
        <v>13</v>
      </c>
      <c r="D900" s="1">
        <v>25</v>
      </c>
    </row>
    <row r="901" spans="1:4" x14ac:dyDescent="0.25">
      <c r="A901" s="1" t="e">
        <v>#N/A</v>
      </c>
      <c r="B901" s="2">
        <v>41156</v>
      </c>
      <c r="C901" s="4" t="s">
        <v>13</v>
      </c>
      <c r="D901" s="1">
        <v>16</v>
      </c>
    </row>
    <row r="902" spans="1:4" x14ac:dyDescent="0.25">
      <c r="A902" s="1">
        <v>52</v>
      </c>
      <c r="B902" s="2">
        <v>41121</v>
      </c>
      <c r="C902" s="4" t="s">
        <v>11</v>
      </c>
      <c r="D902" s="1">
        <v>145</v>
      </c>
    </row>
    <row r="903" spans="1:4" x14ac:dyDescent="0.25">
      <c r="A903" s="1">
        <v>52</v>
      </c>
      <c r="B903" s="2">
        <v>41123</v>
      </c>
      <c r="C903" s="4" t="s">
        <v>11</v>
      </c>
      <c r="D903" s="1">
        <v>169</v>
      </c>
    </row>
    <row r="904" spans="1:4" x14ac:dyDescent="0.25">
      <c r="A904" s="1">
        <v>52</v>
      </c>
      <c r="B904" s="2">
        <v>41156</v>
      </c>
      <c r="C904" s="4" t="s">
        <v>11</v>
      </c>
      <c r="D904" s="1">
        <v>95</v>
      </c>
    </row>
    <row r="905" spans="1:4" x14ac:dyDescent="0.25">
      <c r="A905" s="1">
        <v>52</v>
      </c>
      <c r="B905" s="2">
        <v>41186</v>
      </c>
      <c r="C905" s="4" t="s">
        <v>11</v>
      </c>
      <c r="D905" s="1">
        <v>292</v>
      </c>
    </row>
    <row r="906" spans="1:4" x14ac:dyDescent="0.25">
      <c r="A906" s="1">
        <v>52</v>
      </c>
      <c r="B906" s="2">
        <v>41221</v>
      </c>
      <c r="C906" s="4" t="s">
        <v>11</v>
      </c>
      <c r="D906" s="1">
        <v>238</v>
      </c>
    </row>
    <row r="907" spans="1:4" x14ac:dyDescent="0.25">
      <c r="A907" s="1">
        <v>52</v>
      </c>
      <c r="B907" s="2">
        <v>41121</v>
      </c>
      <c r="C907" s="4" t="s">
        <v>12</v>
      </c>
      <c r="D907" s="1">
        <v>8.4</v>
      </c>
    </row>
    <row r="908" spans="1:4" x14ac:dyDescent="0.25">
      <c r="A908" s="1">
        <v>52</v>
      </c>
      <c r="B908" s="2">
        <v>41123</v>
      </c>
      <c r="C908" s="4" t="s">
        <v>12</v>
      </c>
      <c r="D908" s="1">
        <v>9.3000000000000007</v>
      </c>
    </row>
    <row r="909" spans="1:4" x14ac:dyDescent="0.25">
      <c r="A909" s="1">
        <v>52</v>
      </c>
      <c r="B909" s="2">
        <v>41137</v>
      </c>
      <c r="C909" s="4" t="s">
        <v>12</v>
      </c>
      <c r="D909" s="1">
        <v>9.4</v>
      </c>
    </row>
    <row r="910" spans="1:4" x14ac:dyDescent="0.25">
      <c r="A910" s="1">
        <v>52</v>
      </c>
      <c r="B910" s="2">
        <v>41156</v>
      </c>
      <c r="C910" s="4" t="s">
        <v>12</v>
      </c>
      <c r="D910" s="1">
        <v>10.4</v>
      </c>
    </row>
    <row r="911" spans="1:4" x14ac:dyDescent="0.25">
      <c r="A911" s="1">
        <v>52</v>
      </c>
      <c r="B911" s="2">
        <v>41165</v>
      </c>
      <c r="C911" s="4" t="s">
        <v>12</v>
      </c>
      <c r="D911" s="1">
        <v>10</v>
      </c>
    </row>
    <row r="912" spans="1:4" x14ac:dyDescent="0.25">
      <c r="A912" s="1">
        <v>52</v>
      </c>
      <c r="B912" s="2">
        <v>41174</v>
      </c>
      <c r="C912" s="4" t="s">
        <v>12</v>
      </c>
      <c r="D912" s="1">
        <v>11.3</v>
      </c>
    </row>
    <row r="913" spans="1:4" x14ac:dyDescent="0.25">
      <c r="A913" s="1">
        <v>52</v>
      </c>
      <c r="B913" s="2">
        <v>41186</v>
      </c>
      <c r="C913" s="4" t="s">
        <v>12</v>
      </c>
      <c r="D913" s="1">
        <v>10.8</v>
      </c>
    </row>
    <row r="914" spans="1:4" x14ac:dyDescent="0.25">
      <c r="A914" s="1">
        <v>52</v>
      </c>
      <c r="B914" s="2">
        <v>41200</v>
      </c>
      <c r="C914" s="4" t="s">
        <v>12</v>
      </c>
      <c r="D914" s="1">
        <v>10.6</v>
      </c>
    </row>
    <row r="915" spans="1:4" x14ac:dyDescent="0.25">
      <c r="A915" s="1">
        <v>52</v>
      </c>
      <c r="B915" s="2">
        <v>41221</v>
      </c>
      <c r="C915" s="4" t="s">
        <v>12</v>
      </c>
      <c r="D915" s="1">
        <v>10.8</v>
      </c>
    </row>
    <row r="916" spans="1:4" x14ac:dyDescent="0.25">
      <c r="A916" s="1">
        <v>52</v>
      </c>
      <c r="B916" s="2">
        <v>41232</v>
      </c>
      <c r="C916" s="4" t="s">
        <v>12</v>
      </c>
      <c r="D916" s="1">
        <v>10.5</v>
      </c>
    </row>
    <row r="917" spans="1:4" x14ac:dyDescent="0.25">
      <c r="A917" s="1">
        <v>52</v>
      </c>
      <c r="B917" s="2">
        <v>41121</v>
      </c>
      <c r="C917" s="4" t="s">
        <v>13</v>
      </c>
      <c r="D917" s="1">
        <v>15</v>
      </c>
    </row>
    <row r="918" spans="1:4" x14ac:dyDescent="0.25">
      <c r="A918" s="1">
        <v>52</v>
      </c>
      <c r="B918" s="2">
        <v>41123</v>
      </c>
      <c r="C918" s="4" t="s">
        <v>13</v>
      </c>
      <c r="D918" s="1">
        <v>15</v>
      </c>
    </row>
    <row r="919" spans="1:4" x14ac:dyDescent="0.25">
      <c r="A919" s="1">
        <v>52</v>
      </c>
      <c r="B919" s="2">
        <v>41156</v>
      </c>
      <c r="C919" s="4" t="s">
        <v>13</v>
      </c>
      <c r="D919" s="1">
        <v>11</v>
      </c>
    </row>
    <row r="920" spans="1:4" x14ac:dyDescent="0.25">
      <c r="A920" s="1">
        <v>52</v>
      </c>
      <c r="B920" s="2">
        <v>41186</v>
      </c>
      <c r="C920" s="4" t="s">
        <v>13</v>
      </c>
      <c r="D920" s="1">
        <v>27</v>
      </c>
    </row>
    <row r="921" spans="1:4" x14ac:dyDescent="0.25">
      <c r="A921" s="1">
        <v>52</v>
      </c>
      <c r="B921" s="2">
        <v>41221</v>
      </c>
      <c r="C921" s="4" t="s">
        <v>13</v>
      </c>
      <c r="D921" s="1">
        <v>21</v>
      </c>
    </row>
    <row r="922" spans="1:4" x14ac:dyDescent="0.25">
      <c r="A922" s="1">
        <v>53</v>
      </c>
      <c r="B922" s="2">
        <v>41095</v>
      </c>
      <c r="C922" s="4" t="s">
        <v>11</v>
      </c>
      <c r="D922" s="1">
        <v>1504</v>
      </c>
    </row>
    <row r="923" spans="1:4" x14ac:dyDescent="0.25">
      <c r="A923" s="1">
        <v>53</v>
      </c>
      <c r="B923" s="2">
        <v>41123</v>
      </c>
      <c r="C923" s="4" t="s">
        <v>11</v>
      </c>
      <c r="D923" s="1">
        <v>1596</v>
      </c>
    </row>
    <row r="924" spans="1:4" x14ac:dyDescent="0.25">
      <c r="A924" s="1">
        <v>53</v>
      </c>
      <c r="B924" s="2">
        <v>41156</v>
      </c>
      <c r="C924" s="4" t="s">
        <v>11</v>
      </c>
      <c r="D924" s="1">
        <v>1546</v>
      </c>
    </row>
    <row r="925" spans="1:4" x14ac:dyDescent="0.25">
      <c r="A925" s="1">
        <v>53</v>
      </c>
      <c r="B925" s="2">
        <v>41186</v>
      </c>
      <c r="C925" s="4" t="s">
        <v>11</v>
      </c>
      <c r="D925" s="1">
        <v>1513</v>
      </c>
    </row>
    <row r="926" spans="1:4" x14ac:dyDescent="0.25">
      <c r="A926" s="1">
        <v>53</v>
      </c>
      <c r="B926" s="2">
        <v>41221</v>
      </c>
      <c r="C926" s="4" t="s">
        <v>11</v>
      </c>
      <c r="D926" s="1">
        <v>1532</v>
      </c>
    </row>
    <row r="927" spans="1:4" x14ac:dyDescent="0.25">
      <c r="A927" s="1">
        <v>53</v>
      </c>
      <c r="B927" s="2">
        <v>41095</v>
      </c>
      <c r="C927" s="4" t="s">
        <v>12</v>
      </c>
      <c r="D927" s="1">
        <v>13.3</v>
      </c>
    </row>
    <row r="928" spans="1:4" x14ac:dyDescent="0.25">
      <c r="A928" s="1">
        <v>53</v>
      </c>
      <c r="B928" s="2">
        <v>41097</v>
      </c>
      <c r="C928" s="4" t="s">
        <v>12</v>
      </c>
      <c r="D928" s="1">
        <v>13.5</v>
      </c>
    </row>
    <row r="929" spans="1:4" x14ac:dyDescent="0.25">
      <c r="A929" s="1">
        <v>53</v>
      </c>
      <c r="B929" s="2">
        <v>41102</v>
      </c>
      <c r="C929" s="4" t="s">
        <v>12</v>
      </c>
      <c r="D929" s="1">
        <v>12.7</v>
      </c>
    </row>
    <row r="930" spans="1:4" x14ac:dyDescent="0.25">
      <c r="A930" s="1">
        <v>53</v>
      </c>
      <c r="B930" s="2">
        <v>41109</v>
      </c>
      <c r="C930" s="4" t="s">
        <v>12</v>
      </c>
      <c r="D930" s="1">
        <v>12.1</v>
      </c>
    </row>
    <row r="931" spans="1:4" x14ac:dyDescent="0.25">
      <c r="A931" s="1">
        <v>53</v>
      </c>
      <c r="B931" s="2">
        <v>41123</v>
      </c>
      <c r="C931" s="4" t="s">
        <v>12</v>
      </c>
      <c r="D931" s="1">
        <v>11.7</v>
      </c>
    </row>
    <row r="932" spans="1:4" x14ac:dyDescent="0.25">
      <c r="A932" s="1">
        <v>53</v>
      </c>
      <c r="B932" s="2">
        <v>41144</v>
      </c>
      <c r="C932" s="4" t="s">
        <v>12</v>
      </c>
      <c r="D932" s="1">
        <v>10.199999999999999</v>
      </c>
    </row>
    <row r="933" spans="1:4" x14ac:dyDescent="0.25">
      <c r="A933" s="1">
        <v>53</v>
      </c>
      <c r="B933" s="2">
        <v>41158</v>
      </c>
      <c r="C933" s="4" t="s">
        <v>12</v>
      </c>
      <c r="D933" s="1">
        <v>9.6</v>
      </c>
    </row>
    <row r="934" spans="1:4" x14ac:dyDescent="0.25">
      <c r="A934" s="1">
        <v>53</v>
      </c>
      <c r="B934" s="2">
        <v>41170</v>
      </c>
      <c r="C934" s="4" t="s">
        <v>12</v>
      </c>
      <c r="D934" s="1">
        <v>10.8</v>
      </c>
    </row>
    <row r="935" spans="1:4" x14ac:dyDescent="0.25">
      <c r="A935" s="1">
        <v>53</v>
      </c>
      <c r="B935" s="2">
        <v>41172</v>
      </c>
      <c r="C935" s="4" t="s">
        <v>12</v>
      </c>
      <c r="D935" s="1">
        <v>11</v>
      </c>
    </row>
    <row r="936" spans="1:4" x14ac:dyDescent="0.25">
      <c r="A936" s="1">
        <v>53</v>
      </c>
      <c r="B936" s="2">
        <v>41186</v>
      </c>
      <c r="C936" s="4" t="s">
        <v>12</v>
      </c>
      <c r="D936" s="1">
        <v>10.8</v>
      </c>
    </row>
    <row r="937" spans="1:4" x14ac:dyDescent="0.25">
      <c r="A937" s="1">
        <v>53</v>
      </c>
      <c r="B937" s="2">
        <v>41200</v>
      </c>
      <c r="C937" s="4" t="s">
        <v>12</v>
      </c>
      <c r="D937" s="1">
        <v>10.3</v>
      </c>
    </row>
    <row r="938" spans="1:4" x14ac:dyDescent="0.25">
      <c r="A938" s="1">
        <v>53</v>
      </c>
      <c r="B938" s="2">
        <v>41221</v>
      </c>
      <c r="C938" s="4" t="s">
        <v>12</v>
      </c>
      <c r="D938" s="1">
        <v>11</v>
      </c>
    </row>
    <row r="939" spans="1:4" x14ac:dyDescent="0.25">
      <c r="A939" s="1">
        <v>53</v>
      </c>
      <c r="B939" s="2">
        <v>41232</v>
      </c>
      <c r="C939" s="4" t="s">
        <v>12</v>
      </c>
      <c r="D939" s="1">
        <v>11.1</v>
      </c>
    </row>
    <row r="940" spans="1:4" x14ac:dyDescent="0.25">
      <c r="A940" s="1">
        <v>53</v>
      </c>
      <c r="B940" s="2">
        <v>41095</v>
      </c>
      <c r="C940" s="4" t="s">
        <v>13</v>
      </c>
      <c r="D940" s="1">
        <v>38</v>
      </c>
    </row>
    <row r="941" spans="1:4" x14ac:dyDescent="0.25">
      <c r="A941" s="1">
        <v>53</v>
      </c>
      <c r="B941" s="2">
        <v>41123</v>
      </c>
      <c r="C941" s="4" t="s">
        <v>13</v>
      </c>
      <c r="D941" s="1">
        <v>51</v>
      </c>
    </row>
    <row r="942" spans="1:4" x14ac:dyDescent="0.25">
      <c r="A942" s="1">
        <v>53</v>
      </c>
      <c r="B942" s="2">
        <v>41156</v>
      </c>
      <c r="C942" s="4" t="s">
        <v>13</v>
      </c>
      <c r="D942" s="1">
        <v>41</v>
      </c>
    </row>
    <row r="943" spans="1:4" x14ac:dyDescent="0.25">
      <c r="A943" s="1">
        <v>53</v>
      </c>
      <c r="B943" s="2">
        <v>41170</v>
      </c>
      <c r="C943" s="4" t="s">
        <v>13</v>
      </c>
      <c r="D943" s="1">
        <v>58</v>
      </c>
    </row>
    <row r="944" spans="1:4" x14ac:dyDescent="0.25">
      <c r="A944" s="1">
        <v>53</v>
      </c>
      <c r="B944" s="2">
        <v>41186</v>
      </c>
      <c r="C944" s="4" t="s">
        <v>13</v>
      </c>
      <c r="D944" s="1">
        <v>58</v>
      </c>
    </row>
    <row r="945" spans="1:4" x14ac:dyDescent="0.25">
      <c r="A945" s="1">
        <v>53</v>
      </c>
      <c r="B945" s="2">
        <v>41221</v>
      </c>
      <c r="C945" s="4" t="s">
        <v>13</v>
      </c>
      <c r="D945" s="1">
        <v>46</v>
      </c>
    </row>
    <row r="946" spans="1:4" x14ac:dyDescent="0.25">
      <c r="A946" s="1">
        <v>54</v>
      </c>
      <c r="B946" s="2">
        <v>41094</v>
      </c>
      <c r="C946" s="4" t="s">
        <v>11</v>
      </c>
      <c r="D946" s="1">
        <v>530</v>
      </c>
    </row>
    <row r="947" spans="1:4" x14ac:dyDescent="0.25">
      <c r="A947" s="1">
        <v>54</v>
      </c>
      <c r="B947" s="2">
        <v>41122</v>
      </c>
      <c r="C947" s="4" t="s">
        <v>11</v>
      </c>
      <c r="D947" s="1">
        <v>372</v>
      </c>
    </row>
    <row r="948" spans="1:4" x14ac:dyDescent="0.25">
      <c r="A948" s="1">
        <v>54</v>
      </c>
      <c r="B948" s="2">
        <v>41159</v>
      </c>
      <c r="C948" s="4" t="s">
        <v>11</v>
      </c>
      <c r="D948" s="1">
        <v>357</v>
      </c>
    </row>
    <row r="949" spans="1:4" x14ac:dyDescent="0.25">
      <c r="A949" s="1">
        <v>54</v>
      </c>
      <c r="B949" s="2">
        <v>41185</v>
      </c>
      <c r="C949" s="4" t="s">
        <v>11</v>
      </c>
      <c r="D949" s="1">
        <v>992</v>
      </c>
    </row>
    <row r="950" spans="1:4" x14ac:dyDescent="0.25">
      <c r="A950" s="1">
        <v>54</v>
      </c>
      <c r="B950" s="2">
        <v>41220</v>
      </c>
      <c r="C950" s="4" t="s">
        <v>11</v>
      </c>
      <c r="D950" s="1">
        <v>946</v>
      </c>
    </row>
    <row r="951" spans="1:4" x14ac:dyDescent="0.25">
      <c r="A951" s="1">
        <v>54</v>
      </c>
      <c r="B951" s="2">
        <v>41248</v>
      </c>
      <c r="C951" s="4" t="s">
        <v>11</v>
      </c>
      <c r="D951" s="1">
        <v>641</v>
      </c>
    </row>
    <row r="952" spans="1:4" x14ac:dyDescent="0.25">
      <c r="A952" s="1">
        <v>54</v>
      </c>
      <c r="B952" s="2">
        <v>41094</v>
      </c>
      <c r="C952" s="4" t="s">
        <v>12</v>
      </c>
      <c r="D952" s="1">
        <v>8.5</v>
      </c>
    </row>
    <row r="953" spans="1:4" x14ac:dyDescent="0.25">
      <c r="A953" s="1">
        <v>54</v>
      </c>
      <c r="B953" s="2">
        <v>41108</v>
      </c>
      <c r="C953" s="4" t="s">
        <v>12</v>
      </c>
      <c r="D953" s="1">
        <v>9.1999999999999993</v>
      </c>
    </row>
    <row r="954" spans="1:4" x14ac:dyDescent="0.25">
      <c r="A954" s="1">
        <v>54</v>
      </c>
      <c r="B954" s="2">
        <v>41122</v>
      </c>
      <c r="C954" s="4" t="s">
        <v>12</v>
      </c>
      <c r="D954" s="1">
        <v>8.8000000000000007</v>
      </c>
    </row>
    <row r="955" spans="1:4" x14ac:dyDescent="0.25">
      <c r="A955" s="1">
        <v>54</v>
      </c>
      <c r="B955" s="2">
        <v>41136</v>
      </c>
      <c r="C955" s="4" t="s">
        <v>12</v>
      </c>
      <c r="D955" s="1">
        <v>9.6999999999999993</v>
      </c>
    </row>
    <row r="956" spans="1:4" x14ac:dyDescent="0.25">
      <c r="A956" s="1">
        <v>54</v>
      </c>
      <c r="B956" s="2">
        <v>41157</v>
      </c>
      <c r="C956" s="4" t="s">
        <v>12</v>
      </c>
      <c r="D956" s="1">
        <v>10.4</v>
      </c>
    </row>
    <row r="957" spans="1:4" x14ac:dyDescent="0.25">
      <c r="A957" s="1">
        <v>54</v>
      </c>
      <c r="B957" s="2">
        <v>41171</v>
      </c>
      <c r="C957" s="4" t="s">
        <v>12</v>
      </c>
      <c r="D957" s="1">
        <v>5.3</v>
      </c>
    </row>
    <row r="958" spans="1:4" x14ac:dyDescent="0.25">
      <c r="A958" s="1">
        <v>54</v>
      </c>
      <c r="B958" s="2">
        <v>41172</v>
      </c>
      <c r="C958" s="4" t="s">
        <v>12</v>
      </c>
      <c r="D958" s="1">
        <v>10.9</v>
      </c>
    </row>
    <row r="959" spans="1:4" x14ac:dyDescent="0.25">
      <c r="A959" s="1">
        <v>54</v>
      </c>
      <c r="B959" s="2">
        <v>41185</v>
      </c>
      <c r="C959" s="4" t="s">
        <v>12</v>
      </c>
      <c r="D959" s="1">
        <v>11.5</v>
      </c>
    </row>
    <row r="960" spans="1:4" x14ac:dyDescent="0.25">
      <c r="A960" s="1">
        <v>54</v>
      </c>
      <c r="B960" s="2">
        <v>41199</v>
      </c>
      <c r="C960" s="4" t="s">
        <v>12</v>
      </c>
      <c r="D960" s="1">
        <v>11.9</v>
      </c>
    </row>
    <row r="961" spans="1:4" x14ac:dyDescent="0.25">
      <c r="A961" s="1">
        <v>54</v>
      </c>
      <c r="B961" s="2">
        <v>41220</v>
      </c>
      <c r="C961" s="4" t="s">
        <v>12</v>
      </c>
      <c r="D961" s="1">
        <v>11.1</v>
      </c>
    </row>
    <row r="962" spans="1:4" x14ac:dyDescent="0.25">
      <c r="A962" s="1">
        <v>54</v>
      </c>
      <c r="B962" s="2">
        <v>41233</v>
      </c>
      <c r="C962" s="4" t="s">
        <v>12</v>
      </c>
      <c r="D962" s="1">
        <v>11.3</v>
      </c>
    </row>
    <row r="963" spans="1:4" x14ac:dyDescent="0.25">
      <c r="A963" s="1">
        <v>54</v>
      </c>
      <c r="B963" s="2">
        <v>41248</v>
      </c>
      <c r="C963" s="4" t="s">
        <v>12</v>
      </c>
      <c r="D963" s="1">
        <v>11.9</v>
      </c>
    </row>
    <row r="964" spans="1:4" x14ac:dyDescent="0.25">
      <c r="A964" s="1">
        <v>54</v>
      </c>
      <c r="B964" s="2">
        <v>41094</v>
      </c>
      <c r="C964" s="4" t="s">
        <v>13</v>
      </c>
      <c r="D964" s="1">
        <v>24</v>
      </c>
    </row>
    <row r="965" spans="1:4" x14ac:dyDescent="0.25">
      <c r="A965" s="1">
        <v>54</v>
      </c>
      <c r="B965" s="2">
        <v>41122</v>
      </c>
      <c r="C965" s="4" t="s">
        <v>13</v>
      </c>
      <c r="D965" s="1">
        <v>29</v>
      </c>
    </row>
    <row r="966" spans="1:4" x14ac:dyDescent="0.25">
      <c r="A966" s="1">
        <v>54</v>
      </c>
      <c r="B966" s="2">
        <v>41157</v>
      </c>
      <c r="C966" s="4" t="s">
        <v>13</v>
      </c>
      <c r="D966" s="1">
        <v>21</v>
      </c>
    </row>
    <row r="967" spans="1:4" x14ac:dyDescent="0.25">
      <c r="A967" s="1">
        <v>54</v>
      </c>
      <c r="B967" s="2">
        <v>41185</v>
      </c>
      <c r="C967" s="4" t="s">
        <v>13</v>
      </c>
      <c r="D967" s="1">
        <v>37</v>
      </c>
    </row>
    <row r="968" spans="1:4" x14ac:dyDescent="0.25">
      <c r="A968" s="1">
        <v>54</v>
      </c>
      <c r="B968" s="2">
        <v>41220</v>
      </c>
      <c r="C968" s="4" t="s">
        <v>13</v>
      </c>
      <c r="D968" s="1">
        <v>54</v>
      </c>
    </row>
    <row r="969" spans="1:4" x14ac:dyDescent="0.25">
      <c r="A969" s="1">
        <v>54</v>
      </c>
      <c r="B969" s="2">
        <v>41248</v>
      </c>
      <c r="C969" s="4" t="s">
        <v>13</v>
      </c>
      <c r="D969" s="1">
        <v>45</v>
      </c>
    </row>
    <row r="970" spans="1:4" x14ac:dyDescent="0.25">
      <c r="A970" s="1">
        <v>55</v>
      </c>
      <c r="B970" s="2">
        <v>41094</v>
      </c>
      <c r="C970" s="4" t="s">
        <v>11</v>
      </c>
      <c r="D970" s="1">
        <v>646</v>
      </c>
    </row>
    <row r="971" spans="1:4" x14ac:dyDescent="0.25">
      <c r="A971" s="1">
        <v>55</v>
      </c>
      <c r="B971" s="2">
        <v>41122</v>
      </c>
      <c r="C971" s="4" t="s">
        <v>11</v>
      </c>
      <c r="D971" s="1">
        <v>423</v>
      </c>
    </row>
    <row r="972" spans="1:4" x14ac:dyDescent="0.25">
      <c r="A972" s="1">
        <v>55</v>
      </c>
      <c r="B972" s="2">
        <v>41094</v>
      </c>
      <c r="C972" s="4" t="s">
        <v>12</v>
      </c>
      <c r="D972" s="1">
        <v>9.1999999999999993</v>
      </c>
    </row>
    <row r="973" spans="1:4" x14ac:dyDescent="0.25">
      <c r="A973" s="1">
        <v>55</v>
      </c>
      <c r="B973" s="2">
        <v>41108</v>
      </c>
      <c r="C973" s="4" t="s">
        <v>12</v>
      </c>
      <c r="D973" s="1">
        <v>9.3000000000000007</v>
      </c>
    </row>
    <row r="974" spans="1:4" x14ac:dyDescent="0.25">
      <c r="A974" s="1">
        <v>55</v>
      </c>
      <c r="B974" s="2">
        <v>41122</v>
      </c>
      <c r="C974" s="4" t="s">
        <v>12</v>
      </c>
      <c r="D974" s="1">
        <v>10</v>
      </c>
    </row>
    <row r="975" spans="1:4" x14ac:dyDescent="0.25">
      <c r="A975" s="1">
        <v>55</v>
      </c>
      <c r="B975" s="2">
        <v>41136</v>
      </c>
      <c r="C975" s="4" t="s">
        <v>12</v>
      </c>
      <c r="D975" s="1">
        <v>9.9</v>
      </c>
    </row>
    <row r="976" spans="1:4" x14ac:dyDescent="0.25">
      <c r="A976" s="1">
        <v>55</v>
      </c>
      <c r="B976" s="2">
        <v>41094</v>
      </c>
      <c r="C976" s="4" t="s">
        <v>13</v>
      </c>
      <c r="D976" s="1">
        <v>15</v>
      </c>
    </row>
    <row r="977" spans="1:4" x14ac:dyDescent="0.25">
      <c r="A977" s="1">
        <v>55</v>
      </c>
      <c r="B977" s="2">
        <v>41122</v>
      </c>
      <c r="C977" s="4" t="s">
        <v>13</v>
      </c>
      <c r="D977" s="1">
        <v>17</v>
      </c>
    </row>
    <row r="978" spans="1:4" x14ac:dyDescent="0.25">
      <c r="A978" s="1">
        <v>56</v>
      </c>
      <c r="B978" s="2">
        <v>41177</v>
      </c>
      <c r="C978" s="4" t="s">
        <v>11</v>
      </c>
      <c r="D978" s="1">
        <v>12</v>
      </c>
    </row>
    <row r="979" spans="1:4" x14ac:dyDescent="0.25">
      <c r="A979" s="1">
        <v>56</v>
      </c>
      <c r="B979" s="2">
        <v>41186</v>
      </c>
      <c r="C979" s="4" t="s">
        <v>11</v>
      </c>
      <c r="D979" s="1">
        <v>9</v>
      </c>
    </row>
    <row r="980" spans="1:4" x14ac:dyDescent="0.25">
      <c r="A980" s="1">
        <v>56</v>
      </c>
      <c r="B980" s="2">
        <v>41221</v>
      </c>
      <c r="C980" s="4" t="s">
        <v>11</v>
      </c>
      <c r="D980" s="1">
        <v>124</v>
      </c>
    </row>
    <row r="981" spans="1:4" x14ac:dyDescent="0.25">
      <c r="A981" s="1">
        <v>56</v>
      </c>
      <c r="B981" s="2">
        <v>41177</v>
      </c>
      <c r="C981" s="4" t="s">
        <v>12</v>
      </c>
      <c r="D981" s="1">
        <v>9.3000000000000007</v>
      </c>
    </row>
    <row r="982" spans="1:4" x14ac:dyDescent="0.25">
      <c r="A982" s="1">
        <v>56</v>
      </c>
      <c r="B982" s="2">
        <v>41186</v>
      </c>
      <c r="C982" s="4" t="s">
        <v>12</v>
      </c>
      <c r="D982" s="1">
        <v>8.6</v>
      </c>
    </row>
    <row r="983" spans="1:4" x14ac:dyDescent="0.25">
      <c r="A983" s="1">
        <v>56</v>
      </c>
      <c r="B983" s="2">
        <v>41200</v>
      </c>
      <c r="C983" s="4" t="s">
        <v>12</v>
      </c>
      <c r="D983" s="1">
        <v>8.8000000000000007</v>
      </c>
    </row>
    <row r="984" spans="1:4" x14ac:dyDescent="0.25">
      <c r="A984" s="1">
        <v>56</v>
      </c>
      <c r="B984" s="2">
        <v>41221</v>
      </c>
      <c r="C984" s="4" t="s">
        <v>12</v>
      </c>
      <c r="D984" s="1">
        <v>9.4</v>
      </c>
    </row>
    <row r="985" spans="1:4" x14ac:dyDescent="0.25">
      <c r="A985" s="1">
        <v>56</v>
      </c>
      <c r="B985" s="2">
        <v>41232</v>
      </c>
      <c r="C985" s="4" t="s">
        <v>12</v>
      </c>
      <c r="D985" s="1">
        <v>9.3000000000000007</v>
      </c>
    </row>
    <row r="986" spans="1:4" x14ac:dyDescent="0.25">
      <c r="A986" s="1">
        <v>56</v>
      </c>
      <c r="B986" s="2">
        <v>41177</v>
      </c>
      <c r="C986" s="4" t="s">
        <v>13</v>
      </c>
      <c r="D986" s="1">
        <v>10</v>
      </c>
    </row>
    <row r="987" spans="1:4" x14ac:dyDescent="0.25">
      <c r="A987" s="1">
        <v>56</v>
      </c>
      <c r="B987" s="2">
        <v>41186</v>
      </c>
      <c r="C987" s="4" t="s">
        <v>13</v>
      </c>
      <c r="D987" s="1">
        <v>14</v>
      </c>
    </row>
    <row r="988" spans="1:4" x14ac:dyDescent="0.25">
      <c r="A988" s="1">
        <v>56</v>
      </c>
      <c r="B988" s="2">
        <v>41221</v>
      </c>
      <c r="C988" s="4" t="s">
        <v>13</v>
      </c>
      <c r="D988" s="1">
        <v>24</v>
      </c>
    </row>
    <row r="989" spans="1:4" x14ac:dyDescent="0.25">
      <c r="A989" s="1" t="e">
        <v>#N/A</v>
      </c>
      <c r="B989" s="2">
        <v>41094</v>
      </c>
      <c r="C989" s="4" t="s">
        <v>11</v>
      </c>
      <c r="D989" s="1">
        <v>407</v>
      </c>
    </row>
    <row r="990" spans="1:4" x14ac:dyDescent="0.25">
      <c r="A990" s="1" t="e">
        <v>#N/A</v>
      </c>
      <c r="B990" s="2">
        <v>41122</v>
      </c>
      <c r="C990" s="4" t="s">
        <v>11</v>
      </c>
      <c r="D990" s="1">
        <v>390</v>
      </c>
    </row>
    <row r="991" spans="1:4" x14ac:dyDescent="0.25">
      <c r="A991" s="1" t="e">
        <v>#N/A</v>
      </c>
      <c r="B991" s="2">
        <v>41159</v>
      </c>
      <c r="C991" s="4" t="s">
        <v>11</v>
      </c>
      <c r="D991" s="1">
        <v>462</v>
      </c>
    </row>
    <row r="992" spans="1:4" x14ac:dyDescent="0.25">
      <c r="A992" s="1" t="e">
        <v>#N/A</v>
      </c>
      <c r="B992" s="2">
        <v>41187</v>
      </c>
      <c r="C992" s="4" t="s">
        <v>11</v>
      </c>
      <c r="D992" s="1">
        <v>578</v>
      </c>
    </row>
    <row r="993" spans="1:4" x14ac:dyDescent="0.25">
      <c r="A993" s="1" t="e">
        <v>#N/A</v>
      </c>
      <c r="B993" s="2">
        <v>41220</v>
      </c>
      <c r="C993" s="4" t="s">
        <v>11</v>
      </c>
      <c r="D993" s="1">
        <v>473</v>
      </c>
    </row>
    <row r="994" spans="1:4" x14ac:dyDescent="0.25">
      <c r="A994" s="1" t="e">
        <v>#N/A</v>
      </c>
      <c r="B994" s="2">
        <v>41248</v>
      </c>
      <c r="C994" s="4" t="s">
        <v>11</v>
      </c>
      <c r="D994" s="1">
        <v>443</v>
      </c>
    </row>
    <row r="995" spans="1:4" x14ac:dyDescent="0.25">
      <c r="A995" s="1" t="e">
        <v>#N/A</v>
      </c>
      <c r="B995" s="2">
        <v>41094</v>
      </c>
      <c r="C995" s="4" t="s">
        <v>12</v>
      </c>
      <c r="D995" s="1">
        <v>14.6</v>
      </c>
    </row>
    <row r="996" spans="1:4" x14ac:dyDescent="0.25">
      <c r="A996" s="1" t="e">
        <v>#N/A</v>
      </c>
      <c r="B996" s="2">
        <v>41101</v>
      </c>
      <c r="C996" s="4" t="s">
        <v>12</v>
      </c>
      <c r="D996" s="1">
        <v>15.1</v>
      </c>
    </row>
    <row r="997" spans="1:4" x14ac:dyDescent="0.25">
      <c r="A997" s="1" t="e">
        <v>#N/A</v>
      </c>
      <c r="B997" s="2">
        <v>41108</v>
      </c>
      <c r="C997" s="4" t="s">
        <v>12</v>
      </c>
      <c r="D997" s="1">
        <v>15.4</v>
      </c>
    </row>
    <row r="998" spans="1:4" x14ac:dyDescent="0.25">
      <c r="A998" s="1" t="e">
        <v>#N/A</v>
      </c>
      <c r="B998" s="2">
        <v>41122</v>
      </c>
      <c r="C998" s="4" t="s">
        <v>12</v>
      </c>
      <c r="D998" s="1">
        <v>14.8</v>
      </c>
    </row>
    <row r="999" spans="1:4" x14ac:dyDescent="0.25">
      <c r="A999" s="1" t="e">
        <v>#N/A</v>
      </c>
      <c r="B999" s="2">
        <v>41136</v>
      </c>
      <c r="C999" s="4" t="s">
        <v>12</v>
      </c>
      <c r="D999" s="1">
        <v>15.3</v>
      </c>
    </row>
    <row r="1000" spans="1:4" x14ac:dyDescent="0.25">
      <c r="A1000" s="1" t="e">
        <v>#N/A</v>
      </c>
      <c r="B1000" s="2">
        <v>41150</v>
      </c>
      <c r="C1000" s="4" t="s">
        <v>12</v>
      </c>
      <c r="D1000" s="1">
        <v>15</v>
      </c>
    </row>
    <row r="1001" spans="1:4" x14ac:dyDescent="0.25">
      <c r="A1001" s="1" t="e">
        <v>#N/A</v>
      </c>
      <c r="B1001" s="2">
        <v>41159</v>
      </c>
      <c r="C1001" s="4" t="s">
        <v>12</v>
      </c>
      <c r="D1001" s="1">
        <v>14.3</v>
      </c>
    </row>
    <row r="1002" spans="1:4" x14ac:dyDescent="0.25">
      <c r="A1002" s="1" t="e">
        <v>#N/A</v>
      </c>
      <c r="B1002" s="2">
        <v>41171</v>
      </c>
      <c r="C1002" s="4" t="s">
        <v>12</v>
      </c>
      <c r="D1002" s="1">
        <v>15.1</v>
      </c>
    </row>
    <row r="1003" spans="1:4" x14ac:dyDescent="0.25">
      <c r="A1003" s="1" t="e">
        <v>#N/A</v>
      </c>
      <c r="B1003" s="2">
        <v>41186</v>
      </c>
      <c r="C1003" s="4" t="s">
        <v>12</v>
      </c>
      <c r="D1003" s="1">
        <v>13.1</v>
      </c>
    </row>
    <row r="1004" spans="1:4" x14ac:dyDescent="0.25">
      <c r="A1004" s="1" t="e">
        <v>#N/A</v>
      </c>
      <c r="B1004" s="2">
        <v>41199</v>
      </c>
      <c r="C1004" s="4" t="s">
        <v>12</v>
      </c>
      <c r="D1004" s="1">
        <v>12.9</v>
      </c>
    </row>
    <row r="1005" spans="1:4" x14ac:dyDescent="0.25">
      <c r="A1005" s="1" t="e">
        <v>#N/A</v>
      </c>
      <c r="B1005" s="2">
        <v>41220</v>
      </c>
      <c r="C1005" s="4" t="s">
        <v>12</v>
      </c>
      <c r="D1005" s="1">
        <v>12.6</v>
      </c>
    </row>
    <row r="1006" spans="1:4" x14ac:dyDescent="0.25">
      <c r="A1006" s="1" t="e">
        <v>#N/A</v>
      </c>
      <c r="B1006" s="2">
        <v>41248</v>
      </c>
      <c r="C1006" s="4" t="s">
        <v>12</v>
      </c>
      <c r="D1006" s="1">
        <v>13.1</v>
      </c>
    </row>
    <row r="1007" spans="1:4" x14ac:dyDescent="0.25">
      <c r="A1007" s="1" t="e">
        <v>#N/A</v>
      </c>
      <c r="B1007" s="2">
        <v>41094</v>
      </c>
      <c r="C1007" s="4" t="s">
        <v>13</v>
      </c>
      <c r="D1007" s="1">
        <v>52</v>
      </c>
    </row>
    <row r="1008" spans="1:4" x14ac:dyDescent="0.25">
      <c r="A1008" s="1" t="e">
        <v>#N/A</v>
      </c>
      <c r="B1008" s="2">
        <v>41122</v>
      </c>
      <c r="C1008" s="4" t="s">
        <v>13</v>
      </c>
      <c r="D1008" s="1">
        <v>42</v>
      </c>
    </row>
    <row r="1009" spans="1:4" x14ac:dyDescent="0.25">
      <c r="A1009" s="1" t="e">
        <v>#N/A</v>
      </c>
      <c r="B1009" s="2">
        <v>41159</v>
      </c>
      <c r="C1009" s="4" t="s">
        <v>13</v>
      </c>
      <c r="D1009" s="1">
        <v>36</v>
      </c>
    </row>
    <row r="1010" spans="1:4" x14ac:dyDescent="0.25">
      <c r="A1010" s="1" t="e">
        <v>#N/A</v>
      </c>
      <c r="B1010" s="2">
        <v>41186</v>
      </c>
      <c r="C1010" s="4" t="s">
        <v>13</v>
      </c>
      <c r="D1010" s="1">
        <v>50</v>
      </c>
    </row>
    <row r="1011" spans="1:4" x14ac:dyDescent="0.25">
      <c r="A1011" s="1" t="e">
        <v>#N/A</v>
      </c>
      <c r="B1011" s="2">
        <v>41220</v>
      </c>
      <c r="C1011" s="4" t="s">
        <v>13</v>
      </c>
      <c r="D1011" s="1">
        <v>36</v>
      </c>
    </row>
    <row r="1012" spans="1:4" x14ac:dyDescent="0.25">
      <c r="A1012" s="1" t="e">
        <v>#N/A</v>
      </c>
      <c r="B1012" s="2">
        <v>41248</v>
      </c>
      <c r="C1012" s="4" t="s">
        <v>13</v>
      </c>
      <c r="D1012" s="1">
        <v>44</v>
      </c>
    </row>
    <row r="1013" spans="1:4" x14ac:dyDescent="0.25">
      <c r="A1013" s="1">
        <v>57</v>
      </c>
      <c r="B1013" s="2">
        <v>41094</v>
      </c>
      <c r="C1013" s="4" t="s">
        <v>11</v>
      </c>
      <c r="D1013" s="1">
        <v>466</v>
      </c>
    </row>
    <row r="1014" spans="1:4" x14ac:dyDescent="0.25">
      <c r="A1014" s="1">
        <v>57</v>
      </c>
      <c r="B1014" s="2">
        <v>41122</v>
      </c>
      <c r="C1014" s="4" t="s">
        <v>11</v>
      </c>
      <c r="D1014" s="1">
        <v>309</v>
      </c>
    </row>
    <row r="1015" spans="1:4" x14ac:dyDescent="0.25">
      <c r="A1015" s="1">
        <v>57</v>
      </c>
      <c r="B1015" s="2">
        <v>41157</v>
      </c>
      <c r="C1015" s="4" t="s">
        <v>11</v>
      </c>
      <c r="D1015" s="1">
        <v>763</v>
      </c>
    </row>
    <row r="1016" spans="1:4" x14ac:dyDescent="0.25">
      <c r="A1016" s="1">
        <v>57</v>
      </c>
      <c r="B1016" s="2">
        <v>41185</v>
      </c>
      <c r="C1016" s="4" t="s">
        <v>11</v>
      </c>
      <c r="D1016" s="1">
        <v>549</v>
      </c>
    </row>
    <row r="1017" spans="1:4" x14ac:dyDescent="0.25">
      <c r="A1017" s="1">
        <v>57</v>
      </c>
      <c r="B1017" s="2">
        <v>41220</v>
      </c>
      <c r="C1017" s="4" t="s">
        <v>11</v>
      </c>
      <c r="D1017" s="1">
        <v>659</v>
      </c>
    </row>
    <row r="1018" spans="1:4" x14ac:dyDescent="0.25">
      <c r="A1018" s="1">
        <v>57</v>
      </c>
      <c r="B1018" s="2">
        <v>41248</v>
      </c>
      <c r="C1018" s="4" t="s">
        <v>11</v>
      </c>
      <c r="D1018" s="1">
        <v>437</v>
      </c>
    </row>
    <row r="1019" spans="1:4" x14ac:dyDescent="0.25">
      <c r="A1019" s="1">
        <v>57</v>
      </c>
      <c r="B1019" s="2">
        <v>41094</v>
      </c>
      <c r="C1019" s="4" t="s">
        <v>12</v>
      </c>
      <c r="D1019" s="1">
        <v>10.9</v>
      </c>
    </row>
    <row r="1020" spans="1:4" x14ac:dyDescent="0.25">
      <c r="A1020" s="1">
        <v>57</v>
      </c>
      <c r="B1020" s="2">
        <v>41108</v>
      </c>
      <c r="C1020" s="4" t="s">
        <v>12</v>
      </c>
      <c r="D1020" s="1">
        <v>11.4</v>
      </c>
    </row>
    <row r="1021" spans="1:4" x14ac:dyDescent="0.25">
      <c r="A1021" s="1">
        <v>57</v>
      </c>
      <c r="B1021" s="2">
        <v>41122</v>
      </c>
      <c r="C1021" s="4" t="s">
        <v>12</v>
      </c>
      <c r="D1021" s="1">
        <v>13</v>
      </c>
    </row>
    <row r="1022" spans="1:4" x14ac:dyDescent="0.25">
      <c r="A1022" s="1">
        <v>57</v>
      </c>
      <c r="B1022" s="2">
        <v>41134</v>
      </c>
      <c r="C1022" s="4" t="s">
        <v>12</v>
      </c>
      <c r="D1022" s="1">
        <v>13.3</v>
      </c>
    </row>
    <row r="1023" spans="1:4" x14ac:dyDescent="0.25">
      <c r="A1023" s="1">
        <v>57</v>
      </c>
      <c r="B1023" s="2">
        <v>41136</v>
      </c>
      <c r="C1023" s="4" t="s">
        <v>12</v>
      </c>
      <c r="D1023" s="1">
        <v>13.4</v>
      </c>
    </row>
    <row r="1024" spans="1:4" x14ac:dyDescent="0.25">
      <c r="A1024" s="1">
        <v>57</v>
      </c>
      <c r="B1024" s="2">
        <v>41145</v>
      </c>
      <c r="C1024" s="4" t="s">
        <v>12</v>
      </c>
      <c r="D1024" s="1">
        <v>12.3</v>
      </c>
    </row>
    <row r="1025" spans="1:4" x14ac:dyDescent="0.25">
      <c r="A1025" s="1">
        <v>57</v>
      </c>
      <c r="B1025" s="2">
        <v>41157</v>
      </c>
      <c r="C1025" s="4" t="s">
        <v>12</v>
      </c>
      <c r="D1025" s="1">
        <v>11.1</v>
      </c>
    </row>
    <row r="1026" spans="1:4" x14ac:dyDescent="0.25">
      <c r="A1026" s="1">
        <v>57</v>
      </c>
      <c r="B1026" s="2">
        <v>41173</v>
      </c>
      <c r="C1026" s="4" t="s">
        <v>12</v>
      </c>
      <c r="D1026" s="1">
        <v>10.9</v>
      </c>
    </row>
    <row r="1027" spans="1:4" x14ac:dyDescent="0.25">
      <c r="A1027" s="1">
        <v>57</v>
      </c>
      <c r="B1027" s="2">
        <v>41185</v>
      </c>
      <c r="C1027" s="4" t="s">
        <v>12</v>
      </c>
      <c r="D1027" s="1">
        <v>11.2</v>
      </c>
    </row>
    <row r="1028" spans="1:4" x14ac:dyDescent="0.25">
      <c r="A1028" s="1">
        <v>57</v>
      </c>
      <c r="B1028" s="2">
        <v>41199</v>
      </c>
      <c r="C1028" s="4" t="s">
        <v>12</v>
      </c>
      <c r="D1028" s="1">
        <v>11.9</v>
      </c>
    </row>
    <row r="1029" spans="1:4" x14ac:dyDescent="0.25">
      <c r="A1029" s="1">
        <v>57</v>
      </c>
      <c r="B1029" s="2">
        <v>41220</v>
      </c>
      <c r="C1029" s="4" t="s">
        <v>12</v>
      </c>
      <c r="D1029" s="1">
        <v>11.3</v>
      </c>
    </row>
    <row r="1030" spans="1:4" x14ac:dyDescent="0.25">
      <c r="A1030" s="1">
        <v>57</v>
      </c>
      <c r="B1030" s="2">
        <v>41237</v>
      </c>
      <c r="C1030" s="4" t="s">
        <v>12</v>
      </c>
      <c r="D1030" s="1">
        <v>10.9</v>
      </c>
    </row>
    <row r="1031" spans="1:4" x14ac:dyDescent="0.25">
      <c r="A1031" s="1">
        <v>57</v>
      </c>
      <c r="B1031" s="2">
        <v>41248</v>
      </c>
      <c r="C1031" s="4" t="s">
        <v>12</v>
      </c>
      <c r="D1031" s="1">
        <v>11.3</v>
      </c>
    </row>
    <row r="1032" spans="1:4" x14ac:dyDescent="0.25">
      <c r="A1032" s="1">
        <v>57</v>
      </c>
      <c r="B1032" s="2">
        <v>41094</v>
      </c>
      <c r="C1032" s="4" t="s">
        <v>13</v>
      </c>
      <c r="D1032" s="1">
        <v>18</v>
      </c>
    </row>
    <row r="1033" spans="1:4" x14ac:dyDescent="0.25">
      <c r="A1033" s="1">
        <v>57</v>
      </c>
      <c r="B1033" s="2">
        <v>41122</v>
      </c>
      <c r="C1033" s="4" t="s">
        <v>13</v>
      </c>
      <c r="D1033" s="1">
        <v>39</v>
      </c>
    </row>
    <row r="1034" spans="1:4" x14ac:dyDescent="0.25">
      <c r="A1034" s="1">
        <v>57</v>
      </c>
      <c r="B1034" s="2">
        <v>41157</v>
      </c>
      <c r="C1034" s="4" t="s">
        <v>13</v>
      </c>
      <c r="D1034" s="1">
        <v>28</v>
      </c>
    </row>
    <row r="1035" spans="1:4" x14ac:dyDescent="0.25">
      <c r="A1035" s="1">
        <v>57</v>
      </c>
      <c r="B1035" s="2">
        <v>41185</v>
      </c>
      <c r="C1035" s="4" t="s">
        <v>13</v>
      </c>
      <c r="D1035" s="1">
        <v>20</v>
      </c>
    </row>
    <row r="1036" spans="1:4" x14ac:dyDescent="0.25">
      <c r="A1036" s="1">
        <v>57</v>
      </c>
      <c r="B1036" s="2">
        <v>41220</v>
      </c>
      <c r="C1036" s="4" t="s">
        <v>13</v>
      </c>
      <c r="D1036" s="1">
        <v>38</v>
      </c>
    </row>
    <row r="1037" spans="1:4" x14ac:dyDescent="0.25">
      <c r="A1037" s="1">
        <v>57</v>
      </c>
      <c r="B1037" s="2">
        <v>41248</v>
      </c>
      <c r="C1037" s="4" t="s">
        <v>13</v>
      </c>
      <c r="D1037" s="1">
        <v>22</v>
      </c>
    </row>
    <row r="1038" spans="1:4" x14ac:dyDescent="0.25">
      <c r="A1038" s="1">
        <v>59</v>
      </c>
      <c r="B1038" s="2">
        <v>41094</v>
      </c>
      <c r="C1038" s="4" t="s">
        <v>11</v>
      </c>
      <c r="D1038" s="1">
        <v>596</v>
      </c>
    </row>
    <row r="1039" spans="1:4" x14ac:dyDescent="0.25">
      <c r="A1039" s="1">
        <v>59</v>
      </c>
      <c r="B1039" s="2">
        <v>41122</v>
      </c>
      <c r="C1039" s="4" t="s">
        <v>11</v>
      </c>
      <c r="D1039" s="1">
        <v>566</v>
      </c>
    </row>
    <row r="1040" spans="1:4" x14ac:dyDescent="0.25">
      <c r="A1040" s="1">
        <v>59</v>
      </c>
      <c r="B1040" s="2">
        <v>41094</v>
      </c>
      <c r="C1040" s="4" t="s">
        <v>12</v>
      </c>
      <c r="D1040" s="1">
        <v>11.2</v>
      </c>
    </row>
    <row r="1041" spans="1:4" x14ac:dyDescent="0.25">
      <c r="A1041" s="1">
        <v>59</v>
      </c>
      <c r="B1041" s="2">
        <v>41108</v>
      </c>
      <c r="C1041" s="4" t="s">
        <v>12</v>
      </c>
      <c r="D1041" s="1">
        <v>11</v>
      </c>
    </row>
    <row r="1042" spans="1:4" x14ac:dyDescent="0.25">
      <c r="A1042" s="1">
        <v>59</v>
      </c>
      <c r="B1042" s="2">
        <v>41122</v>
      </c>
      <c r="C1042" s="4" t="s">
        <v>12</v>
      </c>
      <c r="D1042" s="1">
        <v>11.4</v>
      </c>
    </row>
    <row r="1043" spans="1:4" x14ac:dyDescent="0.25">
      <c r="A1043" s="1">
        <v>59</v>
      </c>
      <c r="B1043" s="2">
        <v>41094</v>
      </c>
      <c r="C1043" s="4" t="s">
        <v>13</v>
      </c>
      <c r="D1043" s="1">
        <v>28</v>
      </c>
    </row>
    <row r="1044" spans="1:4" x14ac:dyDescent="0.25">
      <c r="A1044" s="1">
        <v>59</v>
      </c>
      <c r="B1044" s="2">
        <v>41122</v>
      </c>
      <c r="C1044" s="4" t="s">
        <v>13</v>
      </c>
      <c r="D1044" s="1">
        <v>40</v>
      </c>
    </row>
    <row r="1045" spans="1:4" x14ac:dyDescent="0.25">
      <c r="A1045" s="1">
        <v>60</v>
      </c>
      <c r="B1045" s="2">
        <v>41094</v>
      </c>
      <c r="C1045" s="4" t="s">
        <v>11</v>
      </c>
      <c r="D1045" s="1">
        <v>322</v>
      </c>
    </row>
    <row r="1046" spans="1:4" x14ac:dyDescent="0.25">
      <c r="A1046" s="1">
        <v>60</v>
      </c>
      <c r="B1046" s="2">
        <v>41122</v>
      </c>
      <c r="C1046" s="4" t="s">
        <v>11</v>
      </c>
      <c r="D1046" s="1">
        <v>443</v>
      </c>
    </row>
    <row r="1047" spans="1:4" x14ac:dyDescent="0.25">
      <c r="A1047" s="1">
        <v>60</v>
      </c>
      <c r="B1047" s="2">
        <v>41157</v>
      </c>
      <c r="C1047" s="4" t="s">
        <v>11</v>
      </c>
      <c r="D1047" s="1">
        <v>325</v>
      </c>
    </row>
    <row r="1048" spans="1:4" x14ac:dyDescent="0.25">
      <c r="A1048" s="1">
        <v>60</v>
      </c>
      <c r="B1048" s="2">
        <v>41187</v>
      </c>
      <c r="C1048" s="4" t="s">
        <v>11</v>
      </c>
      <c r="D1048" s="1">
        <v>355</v>
      </c>
    </row>
    <row r="1049" spans="1:4" x14ac:dyDescent="0.25">
      <c r="A1049" s="1">
        <v>60</v>
      </c>
      <c r="B1049" s="2">
        <v>41220</v>
      </c>
      <c r="C1049" s="4" t="s">
        <v>11</v>
      </c>
      <c r="D1049" s="1">
        <v>311</v>
      </c>
    </row>
    <row r="1050" spans="1:4" x14ac:dyDescent="0.25">
      <c r="A1050" s="1">
        <v>60</v>
      </c>
      <c r="B1050" s="2">
        <v>41248</v>
      </c>
      <c r="C1050" s="4" t="s">
        <v>11</v>
      </c>
      <c r="D1050" s="1">
        <v>252</v>
      </c>
    </row>
    <row r="1051" spans="1:4" x14ac:dyDescent="0.25">
      <c r="A1051" s="1">
        <v>60</v>
      </c>
      <c r="B1051" s="2">
        <v>41094</v>
      </c>
      <c r="C1051" s="4" t="s">
        <v>12</v>
      </c>
      <c r="D1051" s="1">
        <v>11</v>
      </c>
    </row>
    <row r="1052" spans="1:4" x14ac:dyDescent="0.25">
      <c r="A1052" s="1">
        <v>60</v>
      </c>
      <c r="B1052" s="2">
        <v>41110</v>
      </c>
      <c r="C1052" s="4" t="s">
        <v>12</v>
      </c>
      <c r="D1052" s="1">
        <v>10.8</v>
      </c>
    </row>
    <row r="1053" spans="1:4" x14ac:dyDescent="0.25">
      <c r="A1053" s="1">
        <v>60</v>
      </c>
      <c r="B1053" s="2">
        <v>41122</v>
      </c>
      <c r="C1053" s="4" t="s">
        <v>12</v>
      </c>
      <c r="D1053" s="1">
        <v>10.8</v>
      </c>
    </row>
    <row r="1054" spans="1:4" x14ac:dyDescent="0.25">
      <c r="A1054" s="1">
        <v>60</v>
      </c>
      <c r="B1054" s="2">
        <v>41136</v>
      </c>
      <c r="C1054" s="4" t="s">
        <v>12</v>
      </c>
      <c r="D1054" s="1">
        <v>10.6</v>
      </c>
    </row>
    <row r="1055" spans="1:4" x14ac:dyDescent="0.25">
      <c r="A1055" s="1">
        <v>60</v>
      </c>
      <c r="B1055" s="2">
        <v>41157</v>
      </c>
      <c r="C1055" s="4" t="s">
        <v>12</v>
      </c>
      <c r="D1055" s="1">
        <v>10.6</v>
      </c>
    </row>
    <row r="1056" spans="1:4" x14ac:dyDescent="0.25">
      <c r="A1056" s="1">
        <v>60</v>
      </c>
      <c r="B1056" s="2">
        <v>41171</v>
      </c>
      <c r="C1056" s="4" t="s">
        <v>12</v>
      </c>
      <c r="D1056" s="1">
        <v>11.8</v>
      </c>
    </row>
    <row r="1057" spans="1:4" x14ac:dyDescent="0.25">
      <c r="A1057" s="1">
        <v>60</v>
      </c>
      <c r="B1057" s="2">
        <v>41187</v>
      </c>
      <c r="C1057" s="4" t="s">
        <v>12</v>
      </c>
      <c r="D1057" s="1">
        <v>11.2</v>
      </c>
    </row>
    <row r="1058" spans="1:4" x14ac:dyDescent="0.25">
      <c r="A1058" s="1">
        <v>60</v>
      </c>
      <c r="B1058" s="2">
        <v>41199</v>
      </c>
      <c r="C1058" s="4" t="s">
        <v>12</v>
      </c>
      <c r="D1058" s="1">
        <v>11.1</v>
      </c>
    </row>
    <row r="1059" spans="1:4" x14ac:dyDescent="0.25">
      <c r="A1059" s="1">
        <v>60</v>
      </c>
      <c r="B1059" s="2">
        <v>41220</v>
      </c>
      <c r="C1059" s="4" t="s">
        <v>12</v>
      </c>
      <c r="D1059" s="1">
        <v>10.5</v>
      </c>
    </row>
    <row r="1060" spans="1:4" x14ac:dyDescent="0.25">
      <c r="A1060" s="1">
        <v>60</v>
      </c>
      <c r="B1060" s="2">
        <v>41233</v>
      </c>
      <c r="C1060" s="4" t="s">
        <v>12</v>
      </c>
      <c r="D1060" s="1">
        <v>10.7</v>
      </c>
    </row>
    <row r="1061" spans="1:4" x14ac:dyDescent="0.25">
      <c r="A1061" s="1">
        <v>60</v>
      </c>
      <c r="B1061" s="2">
        <v>41248</v>
      </c>
      <c r="C1061" s="4" t="s">
        <v>12</v>
      </c>
      <c r="D1061" s="1">
        <v>10.9</v>
      </c>
    </row>
    <row r="1062" spans="1:4" x14ac:dyDescent="0.25">
      <c r="A1062" s="1">
        <v>60</v>
      </c>
      <c r="B1062" s="2">
        <v>41094</v>
      </c>
      <c r="C1062" s="4" t="s">
        <v>13</v>
      </c>
      <c r="D1062" s="1">
        <v>29</v>
      </c>
    </row>
    <row r="1063" spans="1:4" x14ac:dyDescent="0.25">
      <c r="A1063" s="1">
        <v>60</v>
      </c>
      <c r="B1063" s="2">
        <v>41122</v>
      </c>
      <c r="C1063" s="4" t="s">
        <v>13</v>
      </c>
      <c r="D1063" s="1">
        <v>37</v>
      </c>
    </row>
    <row r="1064" spans="1:4" x14ac:dyDescent="0.25">
      <c r="A1064" s="1">
        <v>60</v>
      </c>
      <c r="B1064" s="2">
        <v>41157</v>
      </c>
      <c r="C1064" s="4" t="s">
        <v>13</v>
      </c>
      <c r="D1064" s="1">
        <v>44</v>
      </c>
    </row>
    <row r="1065" spans="1:4" x14ac:dyDescent="0.25">
      <c r="A1065" s="1">
        <v>60</v>
      </c>
      <c r="B1065" s="2">
        <v>41187</v>
      </c>
      <c r="C1065" s="4" t="s">
        <v>13</v>
      </c>
      <c r="D1065" s="1">
        <v>25</v>
      </c>
    </row>
    <row r="1066" spans="1:4" x14ac:dyDescent="0.25">
      <c r="A1066" s="1">
        <v>60</v>
      </c>
      <c r="B1066" s="2">
        <v>41220</v>
      </c>
      <c r="C1066" s="4" t="s">
        <v>13</v>
      </c>
      <c r="D1066" s="1">
        <v>31</v>
      </c>
    </row>
    <row r="1067" spans="1:4" x14ac:dyDescent="0.25">
      <c r="A1067" s="1">
        <v>60</v>
      </c>
      <c r="B1067" s="2">
        <v>41248</v>
      </c>
      <c r="C1067" s="4" t="s">
        <v>13</v>
      </c>
      <c r="D1067" s="1">
        <v>31</v>
      </c>
    </row>
    <row r="1068" spans="1:4" x14ac:dyDescent="0.25">
      <c r="A1068" s="1" t="e">
        <v>#N/A</v>
      </c>
      <c r="B1068" s="2">
        <v>41234</v>
      </c>
      <c r="C1068" s="4" t="s">
        <v>11</v>
      </c>
      <c r="D1068" s="1">
        <v>39</v>
      </c>
    </row>
    <row r="1069" spans="1:4" x14ac:dyDescent="0.25">
      <c r="A1069" s="1" t="e">
        <v>#N/A</v>
      </c>
      <c r="B1069" s="2">
        <v>41234</v>
      </c>
      <c r="C1069" s="4" t="s">
        <v>12</v>
      </c>
      <c r="D1069" s="1">
        <v>12.9</v>
      </c>
    </row>
    <row r="1070" spans="1:4" x14ac:dyDescent="0.25">
      <c r="A1070" s="1" t="e">
        <v>#N/A</v>
      </c>
      <c r="B1070" s="2">
        <v>41234</v>
      </c>
      <c r="C1070" s="4" t="s">
        <v>13</v>
      </c>
      <c r="D1070" s="1">
        <v>26</v>
      </c>
    </row>
    <row r="1071" spans="1:4" x14ac:dyDescent="0.25">
      <c r="A1071" s="1">
        <v>61</v>
      </c>
      <c r="B1071" s="2">
        <v>41095</v>
      </c>
      <c r="C1071" s="4" t="s">
        <v>11</v>
      </c>
      <c r="D1071" s="1">
        <v>1915</v>
      </c>
    </row>
    <row r="1072" spans="1:4" x14ac:dyDescent="0.25">
      <c r="A1072" s="1">
        <v>61</v>
      </c>
      <c r="B1072" s="2">
        <v>41123</v>
      </c>
      <c r="C1072" s="4" t="s">
        <v>11</v>
      </c>
      <c r="D1072" s="1">
        <v>1319</v>
      </c>
    </row>
    <row r="1073" spans="1:4" x14ac:dyDescent="0.25">
      <c r="A1073" s="1">
        <v>61</v>
      </c>
      <c r="B1073" s="2">
        <v>41095</v>
      </c>
      <c r="C1073" s="4" t="s">
        <v>12</v>
      </c>
      <c r="D1073" s="1">
        <v>11.6</v>
      </c>
    </row>
    <row r="1074" spans="1:4" x14ac:dyDescent="0.25">
      <c r="A1074" s="1">
        <v>61</v>
      </c>
      <c r="B1074" s="2">
        <v>41102</v>
      </c>
      <c r="C1074" s="4" t="s">
        <v>12</v>
      </c>
      <c r="D1074" s="1">
        <v>11.2</v>
      </c>
    </row>
    <row r="1075" spans="1:4" x14ac:dyDescent="0.25">
      <c r="A1075" s="1">
        <v>61</v>
      </c>
      <c r="B1075" s="2">
        <v>41109</v>
      </c>
      <c r="C1075" s="4" t="s">
        <v>12</v>
      </c>
      <c r="D1075" s="1">
        <v>11.6</v>
      </c>
    </row>
    <row r="1076" spans="1:4" x14ac:dyDescent="0.25">
      <c r="A1076" s="1">
        <v>61</v>
      </c>
      <c r="B1076" s="2">
        <v>41123</v>
      </c>
      <c r="C1076" s="4" t="s">
        <v>12</v>
      </c>
      <c r="D1076" s="1">
        <v>10.7</v>
      </c>
    </row>
    <row r="1077" spans="1:4" x14ac:dyDescent="0.25">
      <c r="A1077" s="1">
        <v>61</v>
      </c>
      <c r="B1077" s="2">
        <v>41137</v>
      </c>
      <c r="C1077" s="4" t="s">
        <v>12</v>
      </c>
      <c r="D1077" s="1">
        <v>11</v>
      </c>
    </row>
    <row r="1078" spans="1:4" x14ac:dyDescent="0.25">
      <c r="A1078" s="1">
        <v>61</v>
      </c>
      <c r="B1078" s="2">
        <v>41095</v>
      </c>
      <c r="C1078" s="4" t="s">
        <v>13</v>
      </c>
      <c r="D1078" s="1">
        <v>46</v>
      </c>
    </row>
    <row r="1079" spans="1:4" x14ac:dyDescent="0.25">
      <c r="A1079" s="1">
        <v>61</v>
      </c>
      <c r="B1079" s="2">
        <v>41123</v>
      </c>
      <c r="C1079" s="4" t="s">
        <v>13</v>
      </c>
      <c r="D1079" s="1">
        <v>61</v>
      </c>
    </row>
    <row r="1080" spans="1:4" x14ac:dyDescent="0.25">
      <c r="A1080" s="1" t="e">
        <v>#N/A</v>
      </c>
      <c r="B1080" s="2">
        <v>41095</v>
      </c>
      <c r="C1080" s="4" t="s">
        <v>11</v>
      </c>
      <c r="D1080" s="1">
        <v>880</v>
      </c>
    </row>
    <row r="1081" spans="1:4" x14ac:dyDescent="0.25">
      <c r="A1081" s="1" t="e">
        <v>#N/A</v>
      </c>
      <c r="B1081" s="2">
        <v>41123</v>
      </c>
      <c r="C1081" s="4" t="s">
        <v>11</v>
      </c>
      <c r="D1081" s="1">
        <v>562</v>
      </c>
    </row>
    <row r="1082" spans="1:4" x14ac:dyDescent="0.25">
      <c r="A1082" s="1" t="e">
        <v>#N/A</v>
      </c>
      <c r="B1082" s="2">
        <v>41156</v>
      </c>
      <c r="C1082" s="4" t="s">
        <v>11</v>
      </c>
      <c r="D1082" s="1">
        <v>633</v>
      </c>
    </row>
    <row r="1083" spans="1:4" x14ac:dyDescent="0.25">
      <c r="A1083" s="1" t="e">
        <v>#N/A</v>
      </c>
      <c r="B1083" s="2">
        <v>41187</v>
      </c>
      <c r="C1083" s="4" t="s">
        <v>11</v>
      </c>
      <c r="D1083" s="1">
        <v>1085</v>
      </c>
    </row>
    <row r="1084" spans="1:4" x14ac:dyDescent="0.25">
      <c r="A1084" s="1" t="e">
        <v>#N/A</v>
      </c>
      <c r="B1084" s="2">
        <v>41221</v>
      </c>
      <c r="C1084" s="4" t="s">
        <v>11</v>
      </c>
      <c r="D1084" s="1">
        <v>922</v>
      </c>
    </row>
    <row r="1085" spans="1:4" x14ac:dyDescent="0.25">
      <c r="A1085" s="1" t="e">
        <v>#N/A</v>
      </c>
      <c r="B1085" s="2">
        <v>41095</v>
      </c>
      <c r="C1085" s="4" t="s">
        <v>12</v>
      </c>
      <c r="D1085" s="1">
        <v>14.1</v>
      </c>
    </row>
    <row r="1086" spans="1:4" x14ac:dyDescent="0.25">
      <c r="A1086" s="1" t="e">
        <v>#N/A</v>
      </c>
      <c r="B1086" s="2">
        <v>41102</v>
      </c>
      <c r="C1086" s="4" t="s">
        <v>12</v>
      </c>
      <c r="D1086" s="1">
        <v>14.3</v>
      </c>
    </row>
    <row r="1087" spans="1:4" x14ac:dyDescent="0.25">
      <c r="A1087" s="1" t="e">
        <v>#N/A</v>
      </c>
      <c r="B1087" s="2">
        <v>41109</v>
      </c>
      <c r="C1087" s="4" t="s">
        <v>12</v>
      </c>
      <c r="D1087" s="1">
        <v>13.2</v>
      </c>
    </row>
    <row r="1088" spans="1:4" x14ac:dyDescent="0.25">
      <c r="A1088" s="1" t="e">
        <v>#N/A</v>
      </c>
      <c r="B1088" s="2">
        <v>41116</v>
      </c>
      <c r="C1088" s="4" t="s">
        <v>12</v>
      </c>
      <c r="D1088" s="1">
        <v>13.5</v>
      </c>
    </row>
    <row r="1089" spans="1:4" x14ac:dyDescent="0.25">
      <c r="A1089" s="1" t="e">
        <v>#N/A</v>
      </c>
      <c r="B1089" s="2">
        <v>41123</v>
      </c>
      <c r="C1089" s="4" t="s">
        <v>12</v>
      </c>
      <c r="D1089" s="1">
        <v>12.9</v>
      </c>
    </row>
    <row r="1090" spans="1:4" x14ac:dyDescent="0.25">
      <c r="A1090" s="1" t="e">
        <v>#N/A</v>
      </c>
      <c r="B1090" s="2">
        <v>41130</v>
      </c>
      <c r="C1090" s="4" t="s">
        <v>12</v>
      </c>
      <c r="D1090" s="1">
        <v>13.7</v>
      </c>
    </row>
    <row r="1091" spans="1:4" x14ac:dyDescent="0.25">
      <c r="A1091" s="1" t="e">
        <v>#N/A</v>
      </c>
      <c r="B1091" s="2">
        <v>41137</v>
      </c>
      <c r="C1091" s="4" t="s">
        <v>12</v>
      </c>
      <c r="D1091" s="1">
        <v>13.4</v>
      </c>
    </row>
    <row r="1092" spans="1:4" x14ac:dyDescent="0.25">
      <c r="A1092" s="1" t="e">
        <v>#N/A</v>
      </c>
      <c r="B1092" s="2">
        <v>41144</v>
      </c>
      <c r="C1092" s="4" t="s">
        <v>12</v>
      </c>
      <c r="D1092" s="1">
        <v>13.3</v>
      </c>
    </row>
    <row r="1093" spans="1:4" x14ac:dyDescent="0.25">
      <c r="A1093" s="1" t="e">
        <v>#N/A</v>
      </c>
      <c r="B1093" s="2">
        <v>41156</v>
      </c>
      <c r="C1093" s="4" t="s">
        <v>12</v>
      </c>
      <c r="D1093" s="1">
        <v>13.4</v>
      </c>
    </row>
    <row r="1094" spans="1:4" x14ac:dyDescent="0.25">
      <c r="A1094" s="1" t="e">
        <v>#N/A</v>
      </c>
      <c r="B1094" s="2">
        <v>41172</v>
      </c>
      <c r="C1094" s="4" t="s">
        <v>12</v>
      </c>
      <c r="D1094" s="1">
        <v>13.6</v>
      </c>
    </row>
    <row r="1095" spans="1:4" x14ac:dyDescent="0.25">
      <c r="A1095" s="1" t="e">
        <v>#N/A</v>
      </c>
      <c r="B1095" s="2">
        <v>41187</v>
      </c>
      <c r="C1095" s="4" t="s">
        <v>12</v>
      </c>
      <c r="D1095" s="1">
        <v>13.7</v>
      </c>
    </row>
    <row r="1096" spans="1:4" x14ac:dyDescent="0.25">
      <c r="A1096" s="1" t="e">
        <v>#N/A</v>
      </c>
      <c r="B1096" s="2">
        <v>41200</v>
      </c>
      <c r="C1096" s="4" t="s">
        <v>12</v>
      </c>
      <c r="D1096" s="1">
        <v>14</v>
      </c>
    </row>
    <row r="1097" spans="1:4" x14ac:dyDescent="0.25">
      <c r="A1097" s="1" t="e">
        <v>#N/A</v>
      </c>
      <c r="B1097" s="2">
        <v>41221</v>
      </c>
      <c r="C1097" s="4" t="s">
        <v>12</v>
      </c>
      <c r="D1097" s="1">
        <v>14.2</v>
      </c>
    </row>
    <row r="1098" spans="1:4" x14ac:dyDescent="0.25">
      <c r="A1098" s="1" t="e">
        <v>#N/A</v>
      </c>
      <c r="B1098" s="2">
        <v>41243</v>
      </c>
      <c r="C1098" s="4" t="s">
        <v>12</v>
      </c>
      <c r="D1098" s="1">
        <v>12.3</v>
      </c>
    </row>
    <row r="1099" spans="1:4" x14ac:dyDescent="0.25">
      <c r="A1099" s="1" t="e">
        <v>#N/A</v>
      </c>
      <c r="B1099" s="2">
        <v>41095</v>
      </c>
      <c r="C1099" s="4" t="s">
        <v>13</v>
      </c>
      <c r="D1099" s="1">
        <v>36</v>
      </c>
    </row>
    <row r="1100" spans="1:4" x14ac:dyDescent="0.25">
      <c r="A1100" s="1" t="e">
        <v>#N/A</v>
      </c>
      <c r="B1100" s="2">
        <v>41123</v>
      </c>
      <c r="C1100" s="4" t="s">
        <v>13</v>
      </c>
      <c r="D1100" s="1">
        <v>25</v>
      </c>
    </row>
    <row r="1101" spans="1:4" x14ac:dyDescent="0.25">
      <c r="A1101" s="1" t="e">
        <v>#N/A</v>
      </c>
      <c r="B1101" s="2">
        <v>41156</v>
      </c>
      <c r="C1101" s="4" t="s">
        <v>13</v>
      </c>
      <c r="D1101" s="1">
        <v>23</v>
      </c>
    </row>
    <row r="1102" spans="1:4" x14ac:dyDescent="0.25">
      <c r="A1102" s="1" t="e">
        <v>#N/A</v>
      </c>
      <c r="B1102" s="2">
        <v>41187</v>
      </c>
      <c r="C1102" s="4" t="s">
        <v>13</v>
      </c>
      <c r="D1102" s="1">
        <v>33</v>
      </c>
    </row>
    <row r="1103" spans="1:4" x14ac:dyDescent="0.25">
      <c r="A1103" s="1" t="e">
        <v>#N/A</v>
      </c>
      <c r="B1103" s="2">
        <v>41221</v>
      </c>
      <c r="C1103" s="4" t="s">
        <v>13</v>
      </c>
      <c r="D1103" s="1">
        <v>37</v>
      </c>
    </row>
    <row r="1104" spans="1:4" x14ac:dyDescent="0.25">
      <c r="A1104" s="1">
        <v>63</v>
      </c>
      <c r="B1104" s="2">
        <v>41094</v>
      </c>
      <c r="C1104" s="4" t="s">
        <v>11</v>
      </c>
      <c r="D1104" s="1">
        <v>606</v>
      </c>
    </row>
    <row r="1105" spans="1:4" x14ac:dyDescent="0.25">
      <c r="A1105" s="1">
        <v>63</v>
      </c>
      <c r="B1105" s="2">
        <v>41122</v>
      </c>
      <c r="C1105" s="4" t="s">
        <v>11</v>
      </c>
      <c r="D1105" s="1">
        <v>547</v>
      </c>
    </row>
    <row r="1106" spans="1:4" x14ac:dyDescent="0.25">
      <c r="A1106" s="1">
        <v>63</v>
      </c>
      <c r="B1106" s="2">
        <v>41157</v>
      </c>
      <c r="C1106" s="4" t="s">
        <v>11</v>
      </c>
      <c r="D1106" s="1">
        <v>878</v>
      </c>
    </row>
    <row r="1107" spans="1:4" x14ac:dyDescent="0.25">
      <c r="A1107" s="1">
        <v>63</v>
      </c>
      <c r="B1107" s="2">
        <v>41185</v>
      </c>
      <c r="C1107" s="4" t="s">
        <v>11</v>
      </c>
      <c r="D1107" s="1">
        <v>707</v>
      </c>
    </row>
    <row r="1108" spans="1:4" x14ac:dyDescent="0.25">
      <c r="A1108" s="1">
        <v>63</v>
      </c>
      <c r="B1108" s="2">
        <v>41220</v>
      </c>
      <c r="C1108" s="4" t="s">
        <v>11</v>
      </c>
      <c r="D1108" s="1">
        <v>831</v>
      </c>
    </row>
    <row r="1109" spans="1:4" x14ac:dyDescent="0.25">
      <c r="A1109" s="1">
        <v>63</v>
      </c>
      <c r="B1109" s="2">
        <v>41248</v>
      </c>
      <c r="C1109" s="4" t="s">
        <v>11</v>
      </c>
      <c r="D1109" s="1">
        <v>795</v>
      </c>
    </row>
    <row r="1110" spans="1:4" x14ac:dyDescent="0.25">
      <c r="A1110" s="1">
        <v>63</v>
      </c>
      <c r="B1110" s="2">
        <v>41094</v>
      </c>
      <c r="C1110" s="4" t="s">
        <v>12</v>
      </c>
      <c r="D1110" s="1">
        <v>10.9</v>
      </c>
    </row>
    <row r="1111" spans="1:4" x14ac:dyDescent="0.25">
      <c r="A1111" s="1">
        <v>63</v>
      </c>
      <c r="B1111" s="2">
        <v>41108</v>
      </c>
      <c r="C1111" s="4" t="s">
        <v>12</v>
      </c>
      <c r="D1111" s="1">
        <v>11.4</v>
      </c>
    </row>
    <row r="1112" spans="1:4" x14ac:dyDescent="0.25">
      <c r="A1112" s="1">
        <v>63</v>
      </c>
      <c r="B1112" s="2">
        <v>41122</v>
      </c>
      <c r="C1112" s="4" t="s">
        <v>12</v>
      </c>
      <c r="D1112" s="1">
        <v>11.5</v>
      </c>
    </row>
    <row r="1113" spans="1:4" x14ac:dyDescent="0.25">
      <c r="A1113" s="1">
        <v>63</v>
      </c>
      <c r="B1113" s="2">
        <v>41136</v>
      </c>
      <c r="C1113" s="4" t="s">
        <v>12</v>
      </c>
      <c r="D1113" s="1">
        <v>11.8</v>
      </c>
    </row>
    <row r="1114" spans="1:4" x14ac:dyDescent="0.25">
      <c r="A1114" s="1">
        <v>63</v>
      </c>
      <c r="B1114" s="2">
        <v>41143</v>
      </c>
      <c r="C1114" s="4" t="s">
        <v>12</v>
      </c>
      <c r="D1114" s="1">
        <v>12</v>
      </c>
    </row>
    <row r="1115" spans="1:4" x14ac:dyDescent="0.25">
      <c r="A1115" s="1">
        <v>63</v>
      </c>
      <c r="B1115" s="2">
        <v>41157</v>
      </c>
      <c r="C1115" s="4" t="s">
        <v>12</v>
      </c>
      <c r="D1115" s="1">
        <v>10.7</v>
      </c>
    </row>
    <row r="1116" spans="1:4" x14ac:dyDescent="0.25">
      <c r="A1116" s="1">
        <v>63</v>
      </c>
      <c r="B1116" s="2">
        <v>41171</v>
      </c>
      <c r="C1116" s="4" t="s">
        <v>12</v>
      </c>
      <c r="D1116" s="1">
        <v>10.7</v>
      </c>
    </row>
    <row r="1117" spans="1:4" x14ac:dyDescent="0.25">
      <c r="A1117" s="1">
        <v>63</v>
      </c>
      <c r="B1117" s="2">
        <v>41185</v>
      </c>
      <c r="C1117" s="4" t="s">
        <v>12</v>
      </c>
      <c r="D1117" s="1">
        <v>11.5</v>
      </c>
    </row>
    <row r="1118" spans="1:4" x14ac:dyDescent="0.25">
      <c r="A1118" s="1">
        <v>63</v>
      </c>
      <c r="B1118" s="2">
        <v>41199</v>
      </c>
      <c r="C1118" s="4" t="s">
        <v>12</v>
      </c>
      <c r="D1118" s="1">
        <v>11.6</v>
      </c>
    </row>
    <row r="1119" spans="1:4" x14ac:dyDescent="0.25">
      <c r="A1119" s="1">
        <v>63</v>
      </c>
      <c r="B1119" s="2">
        <v>41220</v>
      </c>
      <c r="C1119" s="4" t="s">
        <v>12</v>
      </c>
      <c r="D1119" s="1">
        <v>11.4</v>
      </c>
    </row>
    <row r="1120" spans="1:4" x14ac:dyDescent="0.25">
      <c r="A1120" s="1">
        <v>63</v>
      </c>
      <c r="B1120" s="2">
        <v>41233</v>
      </c>
      <c r="C1120" s="4" t="s">
        <v>12</v>
      </c>
      <c r="D1120" s="1">
        <v>10.4</v>
      </c>
    </row>
    <row r="1121" spans="1:4" x14ac:dyDescent="0.25">
      <c r="A1121" s="1">
        <v>63</v>
      </c>
      <c r="B1121" s="2">
        <v>41248</v>
      </c>
      <c r="C1121" s="4" t="s">
        <v>12</v>
      </c>
      <c r="D1121" s="1">
        <v>8.5</v>
      </c>
    </row>
    <row r="1122" spans="1:4" x14ac:dyDescent="0.25">
      <c r="A1122" s="1">
        <v>63</v>
      </c>
      <c r="B1122" s="2">
        <v>41094</v>
      </c>
      <c r="C1122" s="4" t="s">
        <v>13</v>
      </c>
      <c r="D1122" s="1">
        <v>27</v>
      </c>
    </row>
    <row r="1123" spans="1:4" x14ac:dyDescent="0.25">
      <c r="A1123" s="1">
        <v>63</v>
      </c>
      <c r="B1123" s="2">
        <v>41122</v>
      </c>
      <c r="C1123" s="4" t="s">
        <v>13</v>
      </c>
      <c r="D1123" s="1">
        <v>35</v>
      </c>
    </row>
    <row r="1124" spans="1:4" x14ac:dyDescent="0.25">
      <c r="A1124" s="1">
        <v>63</v>
      </c>
      <c r="B1124" s="2">
        <v>41157</v>
      </c>
      <c r="C1124" s="4" t="s">
        <v>13</v>
      </c>
      <c r="D1124" s="1">
        <v>42</v>
      </c>
    </row>
    <row r="1125" spans="1:4" x14ac:dyDescent="0.25">
      <c r="A1125" s="1">
        <v>63</v>
      </c>
      <c r="B1125" s="2">
        <v>41185</v>
      </c>
      <c r="C1125" s="4" t="s">
        <v>13</v>
      </c>
      <c r="D1125" s="1">
        <v>34</v>
      </c>
    </row>
    <row r="1126" spans="1:4" x14ac:dyDescent="0.25">
      <c r="A1126" s="1">
        <v>63</v>
      </c>
      <c r="B1126" s="2">
        <v>41220</v>
      </c>
      <c r="C1126" s="4" t="s">
        <v>13</v>
      </c>
      <c r="D1126" s="1">
        <v>32</v>
      </c>
    </row>
    <row r="1127" spans="1:4" x14ac:dyDescent="0.25">
      <c r="A1127" s="1">
        <v>63</v>
      </c>
      <c r="B1127" s="2">
        <v>41248</v>
      </c>
      <c r="C1127" s="4" t="s">
        <v>13</v>
      </c>
      <c r="D1127" s="1">
        <v>38</v>
      </c>
    </row>
    <row r="1128" spans="1:4" x14ac:dyDescent="0.25">
      <c r="A1128" s="1" t="e">
        <v>#N/A</v>
      </c>
      <c r="B1128" s="2">
        <v>41247</v>
      </c>
      <c r="C1128" s="4" t="s">
        <v>11</v>
      </c>
      <c r="D1128" s="1">
        <v>698</v>
      </c>
    </row>
    <row r="1129" spans="1:4" x14ac:dyDescent="0.25">
      <c r="A1129" s="1" t="e">
        <v>#N/A</v>
      </c>
      <c r="B1129" s="2">
        <v>41247</v>
      </c>
      <c r="C1129" s="4" t="s">
        <v>12</v>
      </c>
      <c r="D1129" s="1">
        <v>8.8000000000000007</v>
      </c>
    </row>
    <row r="1130" spans="1:4" x14ac:dyDescent="0.25">
      <c r="A1130" s="1" t="e">
        <v>#N/A</v>
      </c>
      <c r="B1130" s="2">
        <v>41247</v>
      </c>
      <c r="C1130" s="4" t="s">
        <v>13</v>
      </c>
      <c r="D1130" s="1">
        <v>28</v>
      </c>
    </row>
    <row r="1131" spans="1:4" x14ac:dyDescent="0.25">
      <c r="A1131" s="1" t="e">
        <v>#N/A</v>
      </c>
      <c r="B1131" s="2">
        <v>41093</v>
      </c>
      <c r="C1131" s="4" t="s">
        <v>11</v>
      </c>
      <c r="D1131" s="1">
        <v>718</v>
      </c>
    </row>
    <row r="1132" spans="1:4" x14ac:dyDescent="0.25">
      <c r="A1132" s="1" t="e">
        <v>#N/A</v>
      </c>
      <c r="B1132" s="2">
        <v>41125</v>
      </c>
      <c r="C1132" s="4" t="s">
        <v>11</v>
      </c>
      <c r="D1132" s="1">
        <v>767</v>
      </c>
    </row>
    <row r="1133" spans="1:4" x14ac:dyDescent="0.25">
      <c r="A1133" s="1" t="e">
        <v>#N/A</v>
      </c>
      <c r="B1133" s="2">
        <v>41132</v>
      </c>
      <c r="C1133" s="4" t="s">
        <v>11</v>
      </c>
      <c r="D1133" s="1">
        <v>740</v>
      </c>
    </row>
    <row r="1134" spans="1:4" x14ac:dyDescent="0.25">
      <c r="A1134" s="1" t="e">
        <v>#N/A</v>
      </c>
      <c r="B1134" s="2">
        <v>41156</v>
      </c>
      <c r="C1134" s="4" t="s">
        <v>11</v>
      </c>
      <c r="D1134" s="1">
        <v>636</v>
      </c>
    </row>
    <row r="1135" spans="1:4" x14ac:dyDescent="0.25">
      <c r="A1135" s="1" t="e">
        <v>#N/A</v>
      </c>
      <c r="B1135" s="2">
        <v>41184</v>
      </c>
      <c r="C1135" s="4" t="s">
        <v>11</v>
      </c>
      <c r="D1135" s="1">
        <v>729</v>
      </c>
    </row>
    <row r="1136" spans="1:4" x14ac:dyDescent="0.25">
      <c r="A1136" s="1" t="e">
        <v>#N/A</v>
      </c>
      <c r="B1136" s="2">
        <v>41219</v>
      </c>
      <c r="C1136" s="4" t="s">
        <v>11</v>
      </c>
      <c r="D1136" s="1">
        <v>867</v>
      </c>
    </row>
    <row r="1137" spans="1:4" x14ac:dyDescent="0.25">
      <c r="A1137" s="1" t="e">
        <v>#N/A</v>
      </c>
      <c r="B1137" s="2">
        <v>41247</v>
      </c>
      <c r="C1137" s="4" t="s">
        <v>11</v>
      </c>
      <c r="D1137" s="1">
        <v>964</v>
      </c>
    </row>
    <row r="1138" spans="1:4" x14ac:dyDescent="0.25">
      <c r="A1138" s="1" t="e">
        <v>#N/A</v>
      </c>
      <c r="B1138" s="2">
        <v>41093</v>
      </c>
      <c r="C1138" s="4" t="s">
        <v>12</v>
      </c>
      <c r="D1138" s="1">
        <v>8.3000000000000007</v>
      </c>
    </row>
    <row r="1139" spans="1:4" x14ac:dyDescent="0.25">
      <c r="A1139" s="1" t="e">
        <v>#N/A</v>
      </c>
      <c r="B1139" s="2">
        <v>41107</v>
      </c>
      <c r="C1139" s="4" t="s">
        <v>12</v>
      </c>
      <c r="D1139" s="1">
        <v>8.6999999999999993</v>
      </c>
    </row>
    <row r="1140" spans="1:4" x14ac:dyDescent="0.25">
      <c r="A1140" s="1" t="e">
        <v>#N/A</v>
      </c>
      <c r="B1140" s="2">
        <v>41125</v>
      </c>
      <c r="C1140" s="4" t="s">
        <v>12</v>
      </c>
      <c r="D1140" s="1">
        <v>9.4</v>
      </c>
    </row>
    <row r="1141" spans="1:4" x14ac:dyDescent="0.25">
      <c r="A1141" s="1" t="e">
        <v>#N/A</v>
      </c>
      <c r="B1141" s="2">
        <v>41132</v>
      </c>
      <c r="C1141" s="4" t="s">
        <v>12</v>
      </c>
      <c r="D1141" s="1">
        <v>9.3000000000000007</v>
      </c>
    </row>
    <row r="1142" spans="1:4" x14ac:dyDescent="0.25">
      <c r="A1142" s="1" t="e">
        <v>#N/A</v>
      </c>
      <c r="B1142" s="2">
        <v>41135</v>
      </c>
      <c r="C1142" s="4" t="s">
        <v>12</v>
      </c>
      <c r="D1142" s="1">
        <v>9</v>
      </c>
    </row>
    <row r="1143" spans="1:4" x14ac:dyDescent="0.25">
      <c r="A1143" s="1" t="e">
        <v>#N/A</v>
      </c>
      <c r="B1143" s="2">
        <v>41156</v>
      </c>
      <c r="C1143" s="4" t="s">
        <v>12</v>
      </c>
      <c r="D1143" s="1">
        <v>9.1</v>
      </c>
    </row>
    <row r="1144" spans="1:4" x14ac:dyDescent="0.25">
      <c r="A1144" s="1" t="e">
        <v>#N/A</v>
      </c>
      <c r="B1144" s="2">
        <v>41170</v>
      </c>
      <c r="C1144" s="4" t="s">
        <v>12</v>
      </c>
      <c r="D1144" s="1">
        <v>9</v>
      </c>
    </row>
    <row r="1145" spans="1:4" x14ac:dyDescent="0.25">
      <c r="A1145" s="1" t="e">
        <v>#N/A</v>
      </c>
      <c r="B1145" s="2">
        <v>41184</v>
      </c>
      <c r="C1145" s="4" t="s">
        <v>12</v>
      </c>
      <c r="D1145" s="1">
        <v>9.4</v>
      </c>
    </row>
    <row r="1146" spans="1:4" x14ac:dyDescent="0.25">
      <c r="A1146" s="1" t="e">
        <v>#N/A</v>
      </c>
      <c r="B1146" s="2">
        <v>41198</v>
      </c>
      <c r="C1146" s="4" t="s">
        <v>12</v>
      </c>
      <c r="D1146" s="1">
        <v>9.3000000000000007</v>
      </c>
    </row>
    <row r="1147" spans="1:4" x14ac:dyDescent="0.25">
      <c r="A1147" s="1" t="e">
        <v>#N/A</v>
      </c>
      <c r="B1147" s="2">
        <v>41219</v>
      </c>
      <c r="C1147" s="4" t="s">
        <v>12</v>
      </c>
      <c r="D1147" s="1">
        <v>9.6999999999999993</v>
      </c>
    </row>
    <row r="1148" spans="1:4" x14ac:dyDescent="0.25">
      <c r="A1148" s="1" t="e">
        <v>#N/A</v>
      </c>
      <c r="B1148" s="2">
        <v>41232</v>
      </c>
      <c r="C1148" s="4" t="s">
        <v>12</v>
      </c>
      <c r="D1148" s="1">
        <v>9.1</v>
      </c>
    </row>
    <row r="1149" spans="1:4" x14ac:dyDescent="0.25">
      <c r="A1149" s="1" t="e">
        <v>#N/A</v>
      </c>
      <c r="B1149" s="2">
        <v>41247</v>
      </c>
      <c r="C1149" s="4" t="s">
        <v>12</v>
      </c>
      <c r="D1149" s="1">
        <v>8.8000000000000007</v>
      </c>
    </row>
    <row r="1150" spans="1:4" x14ac:dyDescent="0.25">
      <c r="A1150" s="1" t="e">
        <v>#N/A</v>
      </c>
      <c r="B1150" s="2">
        <v>41093</v>
      </c>
      <c r="C1150" s="4" t="s">
        <v>13</v>
      </c>
      <c r="D1150" s="1">
        <v>28</v>
      </c>
    </row>
    <row r="1151" spans="1:4" x14ac:dyDescent="0.25">
      <c r="A1151" s="1" t="e">
        <v>#N/A</v>
      </c>
      <c r="B1151" s="2">
        <v>41125</v>
      </c>
      <c r="C1151" s="4" t="s">
        <v>13</v>
      </c>
      <c r="D1151" s="1">
        <v>29</v>
      </c>
    </row>
    <row r="1152" spans="1:4" x14ac:dyDescent="0.25">
      <c r="A1152" s="1" t="e">
        <v>#N/A</v>
      </c>
      <c r="B1152" s="2">
        <v>41132</v>
      </c>
      <c r="C1152" s="4" t="s">
        <v>13</v>
      </c>
      <c r="D1152" s="1">
        <v>28</v>
      </c>
    </row>
    <row r="1153" spans="1:4" x14ac:dyDescent="0.25">
      <c r="A1153" s="1" t="e">
        <v>#N/A</v>
      </c>
      <c r="B1153" s="2">
        <v>41156</v>
      </c>
      <c r="C1153" s="4" t="s">
        <v>13</v>
      </c>
      <c r="D1153" s="1">
        <v>33</v>
      </c>
    </row>
    <row r="1154" spans="1:4" x14ac:dyDescent="0.25">
      <c r="A1154" s="1" t="e">
        <v>#N/A</v>
      </c>
      <c r="B1154" s="2">
        <v>41184</v>
      </c>
      <c r="C1154" s="4" t="s">
        <v>13</v>
      </c>
      <c r="D1154" s="1">
        <v>27</v>
      </c>
    </row>
    <row r="1155" spans="1:4" x14ac:dyDescent="0.25">
      <c r="A1155" s="1" t="e">
        <v>#N/A</v>
      </c>
      <c r="B1155" s="2">
        <v>41219</v>
      </c>
      <c r="C1155" s="4" t="s">
        <v>13</v>
      </c>
      <c r="D1155" s="1">
        <v>29</v>
      </c>
    </row>
    <row r="1156" spans="1:4" x14ac:dyDescent="0.25">
      <c r="A1156" s="1" t="e">
        <v>#N/A</v>
      </c>
      <c r="B1156" s="2">
        <v>41247</v>
      </c>
      <c r="C1156" s="4" t="s">
        <v>13</v>
      </c>
      <c r="D1156" s="1">
        <v>29</v>
      </c>
    </row>
    <row r="1157" spans="1:4" x14ac:dyDescent="0.25">
      <c r="A1157" s="1">
        <v>64</v>
      </c>
      <c r="B1157" s="2">
        <v>41157</v>
      </c>
      <c r="C1157" s="4" t="s">
        <v>11</v>
      </c>
      <c r="D1157" s="1">
        <v>718</v>
      </c>
    </row>
    <row r="1158" spans="1:4" x14ac:dyDescent="0.25">
      <c r="A1158" s="1">
        <v>64</v>
      </c>
      <c r="B1158" s="2">
        <v>41136</v>
      </c>
      <c r="C1158" s="4" t="s">
        <v>12</v>
      </c>
      <c r="D1158" s="1">
        <v>10.1</v>
      </c>
    </row>
    <row r="1159" spans="1:4" x14ac:dyDescent="0.25">
      <c r="A1159" s="1">
        <v>64</v>
      </c>
      <c r="B1159" s="2">
        <v>41157</v>
      </c>
      <c r="C1159" s="4" t="s">
        <v>12</v>
      </c>
      <c r="D1159" s="1">
        <v>12.2</v>
      </c>
    </row>
    <row r="1160" spans="1:4" x14ac:dyDescent="0.25">
      <c r="A1160" s="1">
        <v>64</v>
      </c>
      <c r="B1160" s="2">
        <v>41171</v>
      </c>
      <c r="C1160" s="4" t="s">
        <v>12</v>
      </c>
      <c r="D1160" s="1">
        <v>10.199999999999999</v>
      </c>
    </row>
    <row r="1161" spans="1:4" x14ac:dyDescent="0.25">
      <c r="A1161" s="1">
        <v>64</v>
      </c>
      <c r="B1161" s="2">
        <v>41157</v>
      </c>
      <c r="C1161" s="4" t="s">
        <v>13</v>
      </c>
      <c r="D1161" s="1">
        <v>29</v>
      </c>
    </row>
    <row r="1162" spans="1:4" x14ac:dyDescent="0.25">
      <c r="A1162" s="1">
        <v>65</v>
      </c>
      <c r="B1162" s="2">
        <v>41095</v>
      </c>
      <c r="C1162" s="4" t="s">
        <v>11</v>
      </c>
      <c r="D1162" s="1">
        <v>80</v>
      </c>
    </row>
    <row r="1163" spans="1:4" x14ac:dyDescent="0.25">
      <c r="A1163" s="1">
        <v>65</v>
      </c>
      <c r="B1163" s="2">
        <v>41123</v>
      </c>
      <c r="C1163" s="4" t="s">
        <v>11</v>
      </c>
      <c r="D1163" s="1">
        <v>66</v>
      </c>
    </row>
    <row r="1164" spans="1:4" x14ac:dyDescent="0.25">
      <c r="A1164" s="1">
        <v>65</v>
      </c>
      <c r="B1164" s="2">
        <v>41156</v>
      </c>
      <c r="C1164" s="4" t="s">
        <v>11</v>
      </c>
      <c r="D1164" s="1">
        <v>57</v>
      </c>
    </row>
    <row r="1165" spans="1:4" x14ac:dyDescent="0.25">
      <c r="A1165" s="1">
        <v>65</v>
      </c>
      <c r="B1165" s="2">
        <v>41186</v>
      </c>
      <c r="C1165" s="4" t="s">
        <v>11</v>
      </c>
      <c r="D1165" s="1">
        <v>54</v>
      </c>
    </row>
    <row r="1166" spans="1:4" x14ac:dyDescent="0.25">
      <c r="A1166" s="1">
        <v>65</v>
      </c>
      <c r="B1166" s="2">
        <v>41234</v>
      </c>
      <c r="C1166" s="4" t="s">
        <v>11</v>
      </c>
      <c r="D1166" s="1">
        <v>123</v>
      </c>
    </row>
    <row r="1167" spans="1:4" x14ac:dyDescent="0.25">
      <c r="A1167" s="1">
        <v>65</v>
      </c>
      <c r="B1167" s="2">
        <v>41095</v>
      </c>
      <c r="C1167" s="4" t="s">
        <v>12</v>
      </c>
      <c r="D1167" s="1">
        <v>8.6999999999999993</v>
      </c>
    </row>
    <row r="1168" spans="1:4" x14ac:dyDescent="0.25">
      <c r="A1168" s="1">
        <v>65</v>
      </c>
      <c r="B1168" s="2">
        <v>41109</v>
      </c>
      <c r="C1168" s="4" t="s">
        <v>12</v>
      </c>
      <c r="D1168" s="1">
        <v>8.6999999999999993</v>
      </c>
    </row>
    <row r="1169" spans="1:4" x14ac:dyDescent="0.25">
      <c r="A1169" s="1">
        <v>65</v>
      </c>
      <c r="B1169" s="2">
        <v>41123</v>
      </c>
      <c r="C1169" s="4" t="s">
        <v>12</v>
      </c>
      <c r="D1169" s="1">
        <v>8.6</v>
      </c>
    </row>
    <row r="1170" spans="1:4" x14ac:dyDescent="0.25">
      <c r="A1170" s="1">
        <v>65</v>
      </c>
      <c r="B1170" s="2">
        <v>41137</v>
      </c>
      <c r="C1170" s="4" t="s">
        <v>12</v>
      </c>
      <c r="D1170" s="1">
        <v>8.6</v>
      </c>
    </row>
    <row r="1171" spans="1:4" x14ac:dyDescent="0.25">
      <c r="A1171" s="1">
        <v>65</v>
      </c>
      <c r="B1171" s="2">
        <v>41156</v>
      </c>
      <c r="C1171" s="4" t="s">
        <v>12</v>
      </c>
      <c r="D1171" s="1">
        <v>8.1</v>
      </c>
    </row>
    <row r="1172" spans="1:4" x14ac:dyDescent="0.25">
      <c r="A1172" s="1">
        <v>65</v>
      </c>
      <c r="B1172" s="2">
        <v>41172</v>
      </c>
      <c r="C1172" s="4" t="s">
        <v>12</v>
      </c>
      <c r="D1172" s="1">
        <v>8.1999999999999993</v>
      </c>
    </row>
    <row r="1173" spans="1:4" x14ac:dyDescent="0.25">
      <c r="A1173" s="1">
        <v>65</v>
      </c>
      <c r="B1173" s="2">
        <v>41186</v>
      </c>
      <c r="C1173" s="4" t="s">
        <v>12</v>
      </c>
      <c r="D1173" s="1">
        <v>8.4</v>
      </c>
    </row>
    <row r="1174" spans="1:4" x14ac:dyDescent="0.25">
      <c r="A1174" s="1">
        <v>65</v>
      </c>
      <c r="B1174" s="2">
        <v>41200</v>
      </c>
      <c r="C1174" s="4" t="s">
        <v>12</v>
      </c>
      <c r="D1174" s="1">
        <v>8.8000000000000007</v>
      </c>
    </row>
    <row r="1175" spans="1:4" x14ac:dyDescent="0.25">
      <c r="A1175" s="1">
        <v>65</v>
      </c>
      <c r="B1175" s="2">
        <v>41228</v>
      </c>
      <c r="C1175" s="4" t="s">
        <v>12</v>
      </c>
      <c r="D1175" s="1">
        <v>8.6999999999999993</v>
      </c>
    </row>
    <row r="1176" spans="1:4" x14ac:dyDescent="0.25">
      <c r="A1176" s="1">
        <v>65</v>
      </c>
      <c r="B1176" s="2">
        <v>41230</v>
      </c>
      <c r="C1176" s="4" t="s">
        <v>12</v>
      </c>
      <c r="D1176" s="1">
        <v>8.6999999999999993</v>
      </c>
    </row>
    <row r="1177" spans="1:4" x14ac:dyDescent="0.25">
      <c r="A1177" s="1">
        <v>65</v>
      </c>
      <c r="B1177" s="2">
        <v>41234</v>
      </c>
      <c r="C1177" s="4" t="s">
        <v>12</v>
      </c>
      <c r="D1177" s="1">
        <v>7.5</v>
      </c>
    </row>
    <row r="1178" spans="1:4" x14ac:dyDescent="0.25">
      <c r="A1178" s="1">
        <v>65</v>
      </c>
      <c r="B1178" s="2">
        <v>41237</v>
      </c>
      <c r="C1178" s="4" t="s">
        <v>12</v>
      </c>
      <c r="D1178" s="1">
        <v>7.4</v>
      </c>
    </row>
    <row r="1179" spans="1:4" x14ac:dyDescent="0.25">
      <c r="A1179" s="1">
        <v>65</v>
      </c>
      <c r="B1179" s="2">
        <v>41242</v>
      </c>
      <c r="C1179" s="4" t="s">
        <v>12</v>
      </c>
      <c r="D1179" s="1">
        <v>8.4</v>
      </c>
    </row>
    <row r="1180" spans="1:4" x14ac:dyDescent="0.25">
      <c r="A1180" s="1">
        <v>65</v>
      </c>
      <c r="B1180" s="2">
        <v>41095</v>
      </c>
      <c r="C1180" s="4" t="s">
        <v>13</v>
      </c>
      <c r="D1180" s="1">
        <v>10</v>
      </c>
    </row>
    <row r="1181" spans="1:4" x14ac:dyDescent="0.25">
      <c r="A1181" s="1">
        <v>65</v>
      </c>
      <c r="B1181" s="2">
        <v>41123</v>
      </c>
      <c r="C1181" s="4" t="s">
        <v>13</v>
      </c>
      <c r="D1181" s="1">
        <v>10</v>
      </c>
    </row>
    <row r="1182" spans="1:4" x14ac:dyDescent="0.25">
      <c r="A1182" s="1">
        <v>65</v>
      </c>
      <c r="B1182" s="2">
        <v>41156</v>
      </c>
      <c r="C1182" s="4" t="s">
        <v>13</v>
      </c>
      <c r="D1182" s="1">
        <v>13</v>
      </c>
    </row>
    <row r="1183" spans="1:4" x14ac:dyDescent="0.25">
      <c r="A1183" s="1">
        <v>65</v>
      </c>
      <c r="B1183" s="2">
        <v>41186</v>
      </c>
      <c r="C1183" s="4" t="s">
        <v>13</v>
      </c>
      <c r="D1183" s="1">
        <v>15</v>
      </c>
    </row>
    <row r="1184" spans="1:4" x14ac:dyDescent="0.25">
      <c r="A1184" s="1">
        <v>65</v>
      </c>
      <c r="B1184" s="2">
        <v>41234</v>
      </c>
      <c r="C1184" s="4" t="s">
        <v>13</v>
      </c>
      <c r="D1184" s="1">
        <v>18</v>
      </c>
    </row>
    <row r="1185" spans="1:4" x14ac:dyDescent="0.25">
      <c r="A1185" s="1" t="e">
        <v>#N/A</v>
      </c>
      <c r="B1185" s="2">
        <v>41095</v>
      </c>
      <c r="C1185" s="4" t="s">
        <v>11</v>
      </c>
      <c r="D1185" s="1">
        <v>37</v>
      </c>
    </row>
    <row r="1186" spans="1:4" x14ac:dyDescent="0.25">
      <c r="A1186" s="1" t="e">
        <v>#N/A</v>
      </c>
      <c r="B1186" s="2">
        <v>41123</v>
      </c>
      <c r="C1186" s="4" t="s">
        <v>11</v>
      </c>
      <c r="D1186" s="1">
        <v>29</v>
      </c>
    </row>
    <row r="1187" spans="1:4" x14ac:dyDescent="0.25">
      <c r="A1187" s="1" t="e">
        <v>#N/A</v>
      </c>
      <c r="B1187" s="2">
        <v>41186</v>
      </c>
      <c r="C1187" s="4" t="s">
        <v>11</v>
      </c>
      <c r="D1187" s="1">
        <v>25</v>
      </c>
    </row>
    <row r="1188" spans="1:4" x14ac:dyDescent="0.25">
      <c r="A1188" s="1" t="e">
        <v>#N/A</v>
      </c>
      <c r="B1188" s="2">
        <v>41221</v>
      </c>
      <c r="C1188" s="4" t="s">
        <v>11</v>
      </c>
      <c r="D1188" s="1">
        <v>22</v>
      </c>
    </row>
    <row r="1189" spans="1:4" x14ac:dyDescent="0.25">
      <c r="A1189" s="1" t="e">
        <v>#N/A</v>
      </c>
      <c r="B1189" s="2">
        <v>41095</v>
      </c>
      <c r="C1189" s="4" t="s">
        <v>12</v>
      </c>
      <c r="D1189" s="1">
        <v>12.9</v>
      </c>
    </row>
    <row r="1190" spans="1:4" x14ac:dyDescent="0.25">
      <c r="A1190" s="1" t="e">
        <v>#N/A</v>
      </c>
      <c r="B1190" s="2">
        <v>41102</v>
      </c>
      <c r="C1190" s="4" t="s">
        <v>12</v>
      </c>
      <c r="D1190" s="1">
        <v>13.2</v>
      </c>
    </row>
    <row r="1191" spans="1:4" x14ac:dyDescent="0.25">
      <c r="A1191" s="1" t="e">
        <v>#N/A</v>
      </c>
      <c r="B1191" s="2">
        <v>41109</v>
      </c>
      <c r="C1191" s="4" t="s">
        <v>12</v>
      </c>
      <c r="D1191" s="1">
        <v>12.7</v>
      </c>
    </row>
    <row r="1192" spans="1:4" x14ac:dyDescent="0.25">
      <c r="A1192" s="1" t="e">
        <v>#N/A</v>
      </c>
      <c r="B1192" s="2">
        <v>41123</v>
      </c>
      <c r="C1192" s="4" t="s">
        <v>12</v>
      </c>
      <c r="D1192" s="1">
        <v>13</v>
      </c>
    </row>
    <row r="1193" spans="1:4" x14ac:dyDescent="0.25">
      <c r="A1193" s="1" t="e">
        <v>#N/A</v>
      </c>
      <c r="B1193" s="2">
        <v>41129</v>
      </c>
      <c r="C1193" s="4" t="s">
        <v>12</v>
      </c>
      <c r="D1193" s="1">
        <v>12.8</v>
      </c>
    </row>
    <row r="1194" spans="1:4" x14ac:dyDescent="0.25">
      <c r="A1194" s="1" t="e">
        <v>#N/A</v>
      </c>
      <c r="B1194" s="2">
        <v>41137</v>
      </c>
      <c r="C1194" s="4" t="s">
        <v>12</v>
      </c>
      <c r="D1194" s="1">
        <v>12.8</v>
      </c>
    </row>
    <row r="1195" spans="1:4" x14ac:dyDescent="0.25">
      <c r="A1195" s="1" t="e">
        <v>#N/A</v>
      </c>
      <c r="B1195" s="2">
        <v>41144</v>
      </c>
      <c r="C1195" s="4" t="s">
        <v>12</v>
      </c>
      <c r="D1195" s="1">
        <v>13</v>
      </c>
    </row>
    <row r="1196" spans="1:4" x14ac:dyDescent="0.25">
      <c r="A1196" s="1" t="e">
        <v>#N/A</v>
      </c>
      <c r="B1196" s="2">
        <v>41156</v>
      </c>
      <c r="C1196" s="4" t="s">
        <v>12</v>
      </c>
      <c r="D1196" s="1">
        <v>13</v>
      </c>
    </row>
    <row r="1197" spans="1:4" x14ac:dyDescent="0.25">
      <c r="A1197" s="1" t="e">
        <v>#N/A</v>
      </c>
      <c r="B1197" s="2">
        <v>41172</v>
      </c>
      <c r="C1197" s="4" t="s">
        <v>12</v>
      </c>
      <c r="D1197" s="1">
        <v>12.9</v>
      </c>
    </row>
    <row r="1198" spans="1:4" x14ac:dyDescent="0.25">
      <c r="A1198" s="1" t="e">
        <v>#N/A</v>
      </c>
      <c r="B1198" s="2">
        <v>41186</v>
      </c>
      <c r="C1198" s="4" t="s">
        <v>12</v>
      </c>
      <c r="D1198" s="1">
        <v>13.2</v>
      </c>
    </row>
    <row r="1199" spans="1:4" x14ac:dyDescent="0.25">
      <c r="A1199" s="1" t="e">
        <v>#N/A</v>
      </c>
      <c r="B1199" s="2">
        <v>41200</v>
      </c>
      <c r="C1199" s="4" t="s">
        <v>12</v>
      </c>
      <c r="D1199" s="1">
        <v>13.2</v>
      </c>
    </row>
    <row r="1200" spans="1:4" x14ac:dyDescent="0.25">
      <c r="A1200" s="1" t="e">
        <v>#N/A</v>
      </c>
      <c r="B1200" s="2">
        <v>41221</v>
      </c>
      <c r="C1200" s="4" t="s">
        <v>12</v>
      </c>
      <c r="D1200" s="1">
        <v>13.1</v>
      </c>
    </row>
    <row r="1201" spans="1:4" x14ac:dyDescent="0.25">
      <c r="A1201" s="1" t="e">
        <v>#N/A</v>
      </c>
      <c r="B1201" s="2">
        <v>41232</v>
      </c>
      <c r="C1201" s="4" t="s">
        <v>12</v>
      </c>
      <c r="D1201" s="1">
        <v>13.5</v>
      </c>
    </row>
    <row r="1202" spans="1:4" x14ac:dyDescent="0.25">
      <c r="A1202" s="1" t="e">
        <v>#N/A</v>
      </c>
      <c r="B1202" s="2">
        <v>41095</v>
      </c>
      <c r="C1202" s="4" t="s">
        <v>13</v>
      </c>
      <c r="D1202" s="1">
        <v>31</v>
      </c>
    </row>
    <row r="1203" spans="1:4" x14ac:dyDescent="0.25">
      <c r="A1203" s="1" t="e">
        <v>#N/A</v>
      </c>
      <c r="B1203" s="2">
        <v>41123</v>
      </c>
      <c r="C1203" s="4" t="s">
        <v>13</v>
      </c>
      <c r="D1203" s="1">
        <v>49</v>
      </c>
    </row>
    <row r="1204" spans="1:4" x14ac:dyDescent="0.25">
      <c r="A1204" s="1" t="e">
        <v>#N/A</v>
      </c>
      <c r="B1204" s="2">
        <v>41156</v>
      </c>
      <c r="C1204" s="4" t="s">
        <v>13</v>
      </c>
      <c r="D1204" s="1">
        <v>27</v>
      </c>
    </row>
    <row r="1205" spans="1:4" x14ac:dyDescent="0.25">
      <c r="A1205" s="1" t="e">
        <v>#N/A</v>
      </c>
      <c r="B1205" s="2">
        <v>41186</v>
      </c>
      <c r="C1205" s="4" t="s">
        <v>13</v>
      </c>
      <c r="D1205" s="1">
        <v>34</v>
      </c>
    </row>
    <row r="1206" spans="1:4" x14ac:dyDescent="0.25">
      <c r="A1206" s="1" t="e">
        <v>#N/A</v>
      </c>
      <c r="B1206" s="2">
        <v>41221</v>
      </c>
      <c r="C1206" s="4" t="s">
        <v>13</v>
      </c>
      <c r="D1206" s="1">
        <v>28</v>
      </c>
    </row>
    <row r="1207" spans="1:4" x14ac:dyDescent="0.25">
      <c r="A1207" s="1" t="e">
        <v>#N/A</v>
      </c>
      <c r="B1207" s="2">
        <v>41094</v>
      </c>
      <c r="C1207" s="4" t="s">
        <v>11</v>
      </c>
      <c r="D1207" s="1">
        <v>227</v>
      </c>
    </row>
    <row r="1208" spans="1:4" x14ac:dyDescent="0.25">
      <c r="A1208" s="1" t="e">
        <v>#N/A</v>
      </c>
      <c r="B1208" s="2">
        <v>41122</v>
      </c>
      <c r="C1208" s="4" t="s">
        <v>11</v>
      </c>
      <c r="D1208" s="1">
        <v>238</v>
      </c>
    </row>
    <row r="1209" spans="1:4" x14ac:dyDescent="0.25">
      <c r="A1209" s="1" t="e">
        <v>#N/A</v>
      </c>
      <c r="B1209" s="2">
        <v>41157</v>
      </c>
      <c r="C1209" s="4" t="s">
        <v>11</v>
      </c>
      <c r="D1209" s="1">
        <v>239</v>
      </c>
    </row>
    <row r="1210" spans="1:4" x14ac:dyDescent="0.25">
      <c r="A1210" s="1" t="e">
        <v>#N/A</v>
      </c>
      <c r="B1210" s="2">
        <v>41185</v>
      </c>
      <c r="C1210" s="4" t="s">
        <v>11</v>
      </c>
      <c r="D1210" s="1">
        <v>277</v>
      </c>
    </row>
    <row r="1211" spans="1:4" x14ac:dyDescent="0.25">
      <c r="A1211" s="1" t="e">
        <v>#N/A</v>
      </c>
      <c r="B1211" s="2">
        <v>41229</v>
      </c>
      <c r="C1211" s="4" t="s">
        <v>11</v>
      </c>
      <c r="D1211" s="1">
        <v>773</v>
      </c>
    </row>
    <row r="1212" spans="1:4" x14ac:dyDescent="0.25">
      <c r="A1212" s="1" t="e">
        <v>#N/A</v>
      </c>
      <c r="B1212" s="2">
        <v>41248</v>
      </c>
      <c r="C1212" s="4" t="s">
        <v>11</v>
      </c>
      <c r="D1212" s="1">
        <v>531</v>
      </c>
    </row>
    <row r="1213" spans="1:4" x14ac:dyDescent="0.25">
      <c r="A1213" s="1" t="e">
        <v>#N/A</v>
      </c>
      <c r="B1213" s="2">
        <v>41094</v>
      </c>
      <c r="C1213" s="4" t="s">
        <v>12</v>
      </c>
      <c r="D1213" s="1">
        <v>15.3</v>
      </c>
    </row>
    <row r="1214" spans="1:4" x14ac:dyDescent="0.25">
      <c r="A1214" s="1" t="e">
        <v>#N/A</v>
      </c>
      <c r="B1214" s="2">
        <v>41108</v>
      </c>
      <c r="C1214" s="4" t="s">
        <v>12</v>
      </c>
      <c r="D1214" s="1">
        <v>15.5</v>
      </c>
    </row>
    <row r="1215" spans="1:4" x14ac:dyDescent="0.25">
      <c r="A1215" s="1" t="e">
        <v>#N/A</v>
      </c>
      <c r="B1215" s="2">
        <v>41122</v>
      </c>
      <c r="C1215" s="4" t="s">
        <v>12</v>
      </c>
      <c r="D1215" s="1">
        <v>15.7</v>
      </c>
    </row>
    <row r="1216" spans="1:4" x14ac:dyDescent="0.25">
      <c r="A1216" s="1" t="e">
        <v>#N/A</v>
      </c>
      <c r="B1216" s="2">
        <v>41136</v>
      </c>
      <c r="C1216" s="4" t="s">
        <v>12</v>
      </c>
      <c r="D1216" s="1">
        <v>15.7</v>
      </c>
    </row>
    <row r="1217" spans="1:4" x14ac:dyDescent="0.25">
      <c r="A1217" s="1" t="e">
        <v>#N/A</v>
      </c>
      <c r="B1217" s="2">
        <v>41143</v>
      </c>
      <c r="C1217" s="4" t="s">
        <v>12</v>
      </c>
      <c r="D1217" s="1">
        <v>15.5</v>
      </c>
    </row>
    <row r="1218" spans="1:4" x14ac:dyDescent="0.25">
      <c r="A1218" s="1" t="e">
        <v>#N/A</v>
      </c>
      <c r="B1218" s="2">
        <v>41157</v>
      </c>
      <c r="C1218" s="4" t="s">
        <v>12</v>
      </c>
      <c r="D1218" s="1">
        <v>16.100000000000001</v>
      </c>
    </row>
    <row r="1219" spans="1:4" x14ac:dyDescent="0.25">
      <c r="A1219" s="1" t="e">
        <v>#N/A</v>
      </c>
      <c r="B1219" s="2">
        <v>41171</v>
      </c>
      <c r="C1219" s="4" t="s">
        <v>12</v>
      </c>
      <c r="D1219" s="1">
        <v>16</v>
      </c>
    </row>
    <row r="1220" spans="1:4" x14ac:dyDescent="0.25">
      <c r="A1220" s="1" t="e">
        <v>#N/A</v>
      </c>
      <c r="B1220" s="2">
        <v>41178</v>
      </c>
      <c r="C1220" s="4" t="s">
        <v>12</v>
      </c>
      <c r="D1220" s="1">
        <v>16</v>
      </c>
    </row>
    <row r="1221" spans="1:4" x14ac:dyDescent="0.25">
      <c r="A1221" s="1" t="e">
        <v>#N/A</v>
      </c>
      <c r="B1221" s="2">
        <v>41180</v>
      </c>
      <c r="C1221" s="4" t="s">
        <v>12</v>
      </c>
      <c r="D1221" s="1">
        <v>15.3</v>
      </c>
    </row>
    <row r="1222" spans="1:4" x14ac:dyDescent="0.25">
      <c r="A1222" s="1" t="e">
        <v>#N/A</v>
      </c>
      <c r="B1222" s="2">
        <v>41185</v>
      </c>
      <c r="C1222" s="4" t="s">
        <v>12</v>
      </c>
      <c r="D1222" s="1">
        <v>14.9</v>
      </c>
    </row>
    <row r="1223" spans="1:4" x14ac:dyDescent="0.25">
      <c r="A1223" s="1" t="e">
        <v>#N/A</v>
      </c>
      <c r="B1223" s="2">
        <v>41199</v>
      </c>
      <c r="C1223" s="4" t="s">
        <v>12</v>
      </c>
      <c r="D1223" s="1">
        <v>15.8</v>
      </c>
    </row>
    <row r="1224" spans="1:4" x14ac:dyDescent="0.25">
      <c r="A1224" s="1" t="e">
        <v>#N/A</v>
      </c>
      <c r="B1224" s="2">
        <v>41229</v>
      </c>
      <c r="C1224" s="4" t="s">
        <v>12</v>
      </c>
      <c r="D1224" s="1">
        <v>12.2</v>
      </c>
    </row>
    <row r="1225" spans="1:4" x14ac:dyDescent="0.25">
      <c r="A1225" s="1" t="e">
        <v>#N/A</v>
      </c>
      <c r="B1225" s="2">
        <v>41234</v>
      </c>
      <c r="C1225" s="4" t="s">
        <v>12</v>
      </c>
      <c r="D1225" s="1">
        <v>12.7</v>
      </c>
    </row>
    <row r="1226" spans="1:4" x14ac:dyDescent="0.25">
      <c r="A1226" s="1" t="e">
        <v>#N/A</v>
      </c>
      <c r="B1226" s="2">
        <v>41248</v>
      </c>
      <c r="C1226" s="4" t="s">
        <v>12</v>
      </c>
      <c r="D1226" s="1">
        <v>12.5</v>
      </c>
    </row>
    <row r="1227" spans="1:4" x14ac:dyDescent="0.25">
      <c r="A1227" s="1" t="e">
        <v>#N/A</v>
      </c>
      <c r="B1227" s="2">
        <v>41094</v>
      </c>
      <c r="C1227" s="4" t="s">
        <v>13</v>
      </c>
      <c r="D1227" s="1">
        <v>18</v>
      </c>
    </row>
    <row r="1228" spans="1:4" x14ac:dyDescent="0.25">
      <c r="A1228" s="1" t="e">
        <v>#N/A</v>
      </c>
      <c r="B1228" s="2">
        <v>41122</v>
      </c>
      <c r="C1228" s="4" t="s">
        <v>13</v>
      </c>
      <c r="D1228" s="1">
        <v>22</v>
      </c>
    </row>
    <row r="1229" spans="1:4" x14ac:dyDescent="0.25">
      <c r="A1229" s="1" t="e">
        <v>#N/A</v>
      </c>
      <c r="B1229" s="2">
        <v>41157</v>
      </c>
      <c r="C1229" s="4" t="s">
        <v>13</v>
      </c>
      <c r="D1229" s="1">
        <v>15</v>
      </c>
    </row>
    <row r="1230" spans="1:4" x14ac:dyDescent="0.25">
      <c r="A1230" s="1" t="e">
        <v>#N/A</v>
      </c>
      <c r="B1230" s="2">
        <v>41185</v>
      </c>
      <c r="C1230" s="4" t="s">
        <v>13</v>
      </c>
      <c r="D1230" s="1">
        <v>18</v>
      </c>
    </row>
    <row r="1231" spans="1:4" x14ac:dyDescent="0.25">
      <c r="A1231" s="1" t="e">
        <v>#N/A</v>
      </c>
      <c r="B1231" s="2">
        <v>41229</v>
      </c>
      <c r="C1231" s="4" t="s">
        <v>13</v>
      </c>
      <c r="D1231" s="1">
        <v>26</v>
      </c>
    </row>
    <row r="1232" spans="1:4" x14ac:dyDescent="0.25">
      <c r="A1232" s="1" t="e">
        <v>#N/A</v>
      </c>
      <c r="B1232" s="2">
        <v>41248</v>
      </c>
      <c r="C1232" s="4" t="s">
        <v>13</v>
      </c>
      <c r="D1232" s="1">
        <v>25</v>
      </c>
    </row>
    <row r="1233" spans="1:4" x14ac:dyDescent="0.25">
      <c r="A1233" s="1">
        <v>66</v>
      </c>
      <c r="B1233" s="2">
        <v>41094</v>
      </c>
      <c r="C1233" s="4" t="s">
        <v>11</v>
      </c>
      <c r="D1233" s="1">
        <v>742</v>
      </c>
    </row>
    <row r="1234" spans="1:4" x14ac:dyDescent="0.25">
      <c r="A1234" s="1">
        <v>66</v>
      </c>
      <c r="B1234" s="2">
        <v>41122</v>
      </c>
      <c r="C1234" s="4" t="s">
        <v>11</v>
      </c>
      <c r="D1234" s="1">
        <v>733</v>
      </c>
    </row>
    <row r="1235" spans="1:4" x14ac:dyDescent="0.25">
      <c r="A1235" s="1">
        <v>66</v>
      </c>
      <c r="B1235" s="2">
        <v>41157</v>
      </c>
      <c r="C1235" s="4" t="s">
        <v>11</v>
      </c>
      <c r="D1235" s="1">
        <v>824</v>
      </c>
    </row>
    <row r="1236" spans="1:4" x14ac:dyDescent="0.25">
      <c r="A1236" s="1">
        <v>66</v>
      </c>
      <c r="B1236" s="2">
        <v>41208</v>
      </c>
      <c r="C1236" s="4" t="s">
        <v>11</v>
      </c>
      <c r="D1236" s="1">
        <v>932</v>
      </c>
    </row>
    <row r="1237" spans="1:4" x14ac:dyDescent="0.25">
      <c r="A1237" s="1">
        <v>66</v>
      </c>
      <c r="B1237" s="2">
        <v>41220</v>
      </c>
      <c r="C1237" s="4" t="s">
        <v>11</v>
      </c>
      <c r="D1237" s="1">
        <v>989</v>
      </c>
    </row>
    <row r="1238" spans="1:4" x14ac:dyDescent="0.25">
      <c r="A1238" s="1">
        <v>66</v>
      </c>
      <c r="B1238" s="2">
        <v>41248</v>
      </c>
      <c r="C1238" s="4" t="s">
        <v>11</v>
      </c>
      <c r="D1238" s="1">
        <v>1561</v>
      </c>
    </row>
    <row r="1239" spans="1:4" x14ac:dyDescent="0.25">
      <c r="A1239" s="1">
        <v>66</v>
      </c>
      <c r="B1239" s="2">
        <v>41094</v>
      </c>
      <c r="C1239" s="4" t="s">
        <v>12</v>
      </c>
      <c r="D1239" s="1">
        <v>10.199999999999999</v>
      </c>
    </row>
    <row r="1240" spans="1:4" x14ac:dyDescent="0.25">
      <c r="A1240" s="1">
        <v>66</v>
      </c>
      <c r="B1240" s="2">
        <v>41108</v>
      </c>
      <c r="C1240" s="4" t="s">
        <v>12</v>
      </c>
      <c r="D1240" s="1">
        <v>11</v>
      </c>
    </row>
    <row r="1241" spans="1:4" x14ac:dyDescent="0.25">
      <c r="A1241" s="1">
        <v>66</v>
      </c>
      <c r="B1241" s="2">
        <v>41122</v>
      </c>
      <c r="C1241" s="4" t="s">
        <v>12</v>
      </c>
      <c r="D1241" s="1">
        <v>10.5</v>
      </c>
    </row>
    <row r="1242" spans="1:4" x14ac:dyDescent="0.25">
      <c r="A1242" s="1">
        <v>66</v>
      </c>
      <c r="B1242" s="2">
        <v>41136</v>
      </c>
      <c r="C1242" s="4" t="s">
        <v>12</v>
      </c>
      <c r="D1242" s="1">
        <v>10.6</v>
      </c>
    </row>
    <row r="1243" spans="1:4" x14ac:dyDescent="0.25">
      <c r="A1243" s="1">
        <v>66</v>
      </c>
      <c r="B1243" s="2">
        <v>41157</v>
      </c>
      <c r="C1243" s="4" t="s">
        <v>12</v>
      </c>
      <c r="D1243" s="1">
        <v>10.1</v>
      </c>
    </row>
    <row r="1244" spans="1:4" x14ac:dyDescent="0.25">
      <c r="A1244" s="1">
        <v>66</v>
      </c>
      <c r="B1244" s="2">
        <v>41208</v>
      </c>
      <c r="C1244" s="4" t="s">
        <v>12</v>
      </c>
      <c r="D1244" s="1">
        <v>9.4</v>
      </c>
    </row>
    <row r="1245" spans="1:4" x14ac:dyDescent="0.25">
      <c r="A1245" s="1">
        <v>66</v>
      </c>
      <c r="B1245" s="2">
        <v>41220</v>
      </c>
      <c r="C1245" s="4" t="s">
        <v>12</v>
      </c>
      <c r="D1245" s="1">
        <v>10.3</v>
      </c>
    </row>
    <row r="1246" spans="1:4" x14ac:dyDescent="0.25">
      <c r="A1246" s="1">
        <v>66</v>
      </c>
      <c r="B1246" s="2">
        <v>41233</v>
      </c>
      <c r="C1246" s="4" t="s">
        <v>12</v>
      </c>
      <c r="D1246" s="1">
        <v>10.9</v>
      </c>
    </row>
    <row r="1247" spans="1:4" x14ac:dyDescent="0.25">
      <c r="A1247" s="1">
        <v>66</v>
      </c>
      <c r="B1247" s="2">
        <v>41248</v>
      </c>
      <c r="C1247" s="4" t="s">
        <v>12</v>
      </c>
      <c r="D1247" s="1">
        <v>11.3</v>
      </c>
    </row>
    <row r="1248" spans="1:4" x14ac:dyDescent="0.25">
      <c r="A1248" s="1">
        <v>66</v>
      </c>
      <c r="B1248" s="2">
        <v>41094</v>
      </c>
      <c r="C1248" s="4" t="s">
        <v>13</v>
      </c>
      <c r="D1248" s="1">
        <v>36</v>
      </c>
    </row>
    <row r="1249" spans="1:4" x14ac:dyDescent="0.25">
      <c r="A1249" s="1">
        <v>66</v>
      </c>
      <c r="B1249" s="2">
        <v>41122</v>
      </c>
      <c r="C1249" s="4" t="s">
        <v>13</v>
      </c>
      <c r="D1249" s="1">
        <v>46</v>
      </c>
    </row>
    <row r="1250" spans="1:4" x14ac:dyDescent="0.25">
      <c r="A1250" s="1">
        <v>66</v>
      </c>
      <c r="B1250" s="2">
        <v>41157</v>
      </c>
      <c r="C1250" s="4" t="s">
        <v>13</v>
      </c>
      <c r="D1250" s="1">
        <v>15</v>
      </c>
    </row>
    <row r="1251" spans="1:4" x14ac:dyDescent="0.25">
      <c r="A1251" s="1">
        <v>66</v>
      </c>
      <c r="B1251" s="2">
        <v>41208</v>
      </c>
      <c r="C1251" s="4" t="s">
        <v>13</v>
      </c>
      <c r="D1251" s="1">
        <v>61</v>
      </c>
    </row>
    <row r="1252" spans="1:4" x14ac:dyDescent="0.25">
      <c r="A1252" s="1">
        <v>66</v>
      </c>
      <c r="B1252" s="2">
        <v>41220</v>
      </c>
      <c r="C1252" s="4" t="s">
        <v>13</v>
      </c>
      <c r="D1252" s="1">
        <v>28</v>
      </c>
    </row>
    <row r="1253" spans="1:4" x14ac:dyDescent="0.25">
      <c r="A1253" s="1">
        <v>66</v>
      </c>
      <c r="B1253" s="2">
        <v>41248</v>
      </c>
      <c r="C1253" s="4" t="s">
        <v>13</v>
      </c>
      <c r="D1253" s="1">
        <v>57</v>
      </c>
    </row>
    <row r="1254" spans="1:4" x14ac:dyDescent="0.25">
      <c r="A1254" s="1" t="e">
        <v>#N/A</v>
      </c>
      <c r="B1254" s="2">
        <v>41094</v>
      </c>
      <c r="C1254" s="4" t="s">
        <v>11</v>
      </c>
      <c r="D1254" s="1">
        <v>319</v>
      </c>
    </row>
    <row r="1255" spans="1:4" x14ac:dyDescent="0.25">
      <c r="A1255" s="1" t="e">
        <v>#N/A</v>
      </c>
      <c r="B1255" s="2">
        <v>41122</v>
      </c>
      <c r="C1255" s="4" t="s">
        <v>11</v>
      </c>
      <c r="D1255" s="1">
        <v>442</v>
      </c>
    </row>
    <row r="1256" spans="1:4" x14ac:dyDescent="0.25">
      <c r="A1256" s="1" t="e">
        <v>#N/A</v>
      </c>
      <c r="B1256" s="2">
        <v>41157</v>
      </c>
      <c r="C1256" s="4" t="s">
        <v>11</v>
      </c>
      <c r="D1256" s="1">
        <v>591</v>
      </c>
    </row>
    <row r="1257" spans="1:4" x14ac:dyDescent="0.25">
      <c r="A1257" s="1" t="e">
        <v>#N/A</v>
      </c>
      <c r="B1257" s="2">
        <v>41094</v>
      </c>
      <c r="C1257" s="4" t="s">
        <v>12</v>
      </c>
      <c r="D1257" s="1">
        <v>8.6</v>
      </c>
    </row>
    <row r="1258" spans="1:4" x14ac:dyDescent="0.25">
      <c r="A1258" s="1" t="e">
        <v>#N/A</v>
      </c>
      <c r="B1258" s="2">
        <v>41099</v>
      </c>
      <c r="C1258" s="4" t="s">
        <v>12</v>
      </c>
      <c r="D1258" s="1">
        <v>8.1</v>
      </c>
    </row>
    <row r="1259" spans="1:4" x14ac:dyDescent="0.25">
      <c r="A1259" s="1" t="e">
        <v>#N/A</v>
      </c>
      <c r="B1259" s="2">
        <v>41108</v>
      </c>
      <c r="C1259" s="4" t="s">
        <v>12</v>
      </c>
      <c r="D1259" s="1">
        <v>9</v>
      </c>
    </row>
    <row r="1260" spans="1:4" x14ac:dyDescent="0.25">
      <c r="A1260" s="1" t="e">
        <v>#N/A</v>
      </c>
      <c r="B1260" s="2">
        <v>41122</v>
      </c>
      <c r="C1260" s="4" t="s">
        <v>12</v>
      </c>
      <c r="D1260" s="1">
        <v>9.5</v>
      </c>
    </row>
    <row r="1261" spans="1:4" x14ac:dyDescent="0.25">
      <c r="A1261" s="1" t="e">
        <v>#N/A</v>
      </c>
      <c r="B1261" s="2">
        <v>41136</v>
      </c>
      <c r="C1261" s="4" t="s">
        <v>12</v>
      </c>
      <c r="D1261" s="1">
        <v>7.6</v>
      </c>
    </row>
    <row r="1262" spans="1:4" x14ac:dyDescent="0.25">
      <c r="A1262" s="1" t="e">
        <v>#N/A</v>
      </c>
      <c r="B1262" s="2">
        <v>41138</v>
      </c>
      <c r="C1262" s="4" t="s">
        <v>12</v>
      </c>
      <c r="D1262" s="1">
        <v>9.6</v>
      </c>
    </row>
    <row r="1263" spans="1:4" x14ac:dyDescent="0.25">
      <c r="A1263" s="1" t="e">
        <v>#N/A</v>
      </c>
      <c r="B1263" s="2">
        <v>41150</v>
      </c>
      <c r="C1263" s="4" t="s">
        <v>12</v>
      </c>
      <c r="D1263" s="1">
        <v>9.1</v>
      </c>
    </row>
    <row r="1264" spans="1:4" x14ac:dyDescent="0.25">
      <c r="A1264" s="1" t="e">
        <v>#N/A</v>
      </c>
      <c r="B1264" s="2">
        <v>41157</v>
      </c>
      <c r="C1264" s="4" t="s">
        <v>12</v>
      </c>
      <c r="D1264" s="1">
        <v>9.6</v>
      </c>
    </row>
    <row r="1265" spans="1:4" x14ac:dyDescent="0.25">
      <c r="A1265" s="1" t="e">
        <v>#N/A</v>
      </c>
      <c r="B1265" s="2">
        <v>41164</v>
      </c>
      <c r="C1265" s="4" t="s">
        <v>12</v>
      </c>
      <c r="D1265" s="1">
        <v>9.1999999999999993</v>
      </c>
    </row>
    <row r="1266" spans="1:4" x14ac:dyDescent="0.25">
      <c r="A1266" s="1" t="e">
        <v>#N/A</v>
      </c>
      <c r="B1266" s="2">
        <v>41171</v>
      </c>
      <c r="C1266" s="4" t="s">
        <v>12</v>
      </c>
      <c r="D1266" s="1">
        <v>10.3</v>
      </c>
    </row>
    <row r="1267" spans="1:4" x14ac:dyDescent="0.25">
      <c r="A1267" s="1" t="e">
        <v>#N/A</v>
      </c>
      <c r="B1267" s="2">
        <v>41094</v>
      </c>
      <c r="C1267" s="4" t="s">
        <v>13</v>
      </c>
      <c r="D1267" s="1">
        <v>19</v>
      </c>
    </row>
    <row r="1268" spans="1:4" x14ac:dyDescent="0.25">
      <c r="A1268" s="1" t="e">
        <v>#N/A</v>
      </c>
      <c r="B1268" s="2">
        <v>41122</v>
      </c>
      <c r="C1268" s="4" t="s">
        <v>13</v>
      </c>
      <c r="D1268" s="1">
        <v>30</v>
      </c>
    </row>
    <row r="1269" spans="1:4" x14ac:dyDescent="0.25">
      <c r="A1269" s="1" t="e">
        <v>#N/A</v>
      </c>
      <c r="B1269" s="2">
        <v>41157</v>
      </c>
      <c r="C1269" s="4" t="s">
        <v>13</v>
      </c>
      <c r="D1269" s="1">
        <v>35</v>
      </c>
    </row>
    <row r="1270" spans="1:4" x14ac:dyDescent="0.25">
      <c r="A1270" s="1">
        <v>67</v>
      </c>
      <c r="B1270" s="2">
        <v>41095</v>
      </c>
      <c r="C1270" s="4" t="s">
        <v>11</v>
      </c>
      <c r="D1270" s="1">
        <v>83</v>
      </c>
    </row>
    <row r="1271" spans="1:4" x14ac:dyDescent="0.25">
      <c r="A1271" s="1">
        <v>67</v>
      </c>
      <c r="B1271" s="2">
        <v>41123</v>
      </c>
      <c r="C1271" s="4" t="s">
        <v>11</v>
      </c>
      <c r="D1271" s="1">
        <v>138</v>
      </c>
    </row>
    <row r="1272" spans="1:4" x14ac:dyDescent="0.25">
      <c r="A1272" s="1">
        <v>67</v>
      </c>
      <c r="B1272" s="2">
        <v>41156</v>
      </c>
      <c r="C1272" s="4" t="s">
        <v>11</v>
      </c>
      <c r="D1272" s="1">
        <v>259</v>
      </c>
    </row>
    <row r="1273" spans="1:4" x14ac:dyDescent="0.25">
      <c r="A1273" s="1">
        <v>67</v>
      </c>
      <c r="B1273" s="2">
        <v>41186</v>
      </c>
      <c r="C1273" s="4" t="s">
        <v>11</v>
      </c>
      <c r="D1273" s="1">
        <v>423</v>
      </c>
    </row>
    <row r="1274" spans="1:4" x14ac:dyDescent="0.25">
      <c r="A1274" s="1">
        <v>67</v>
      </c>
      <c r="B1274" s="2">
        <v>41221</v>
      </c>
      <c r="C1274" s="4" t="s">
        <v>11</v>
      </c>
      <c r="D1274" s="1">
        <v>500</v>
      </c>
    </row>
    <row r="1275" spans="1:4" x14ac:dyDescent="0.25">
      <c r="A1275" s="1">
        <v>67</v>
      </c>
      <c r="B1275" s="2">
        <v>41095</v>
      </c>
      <c r="C1275" s="4" t="s">
        <v>12</v>
      </c>
      <c r="D1275" s="1">
        <v>9.4</v>
      </c>
    </row>
    <row r="1276" spans="1:4" x14ac:dyDescent="0.25">
      <c r="A1276" s="1">
        <v>67</v>
      </c>
      <c r="B1276" s="2">
        <v>41109</v>
      </c>
      <c r="C1276" s="4" t="s">
        <v>12</v>
      </c>
      <c r="D1276" s="1">
        <v>10.7</v>
      </c>
    </row>
    <row r="1277" spans="1:4" x14ac:dyDescent="0.25">
      <c r="A1277" s="1">
        <v>67</v>
      </c>
      <c r="B1277" s="2">
        <v>41123</v>
      </c>
      <c r="C1277" s="4" t="s">
        <v>12</v>
      </c>
      <c r="D1277" s="1">
        <v>11</v>
      </c>
    </row>
    <row r="1278" spans="1:4" x14ac:dyDescent="0.25">
      <c r="A1278" s="1">
        <v>67</v>
      </c>
      <c r="B1278" s="2">
        <v>41137</v>
      </c>
      <c r="C1278" s="4" t="s">
        <v>12</v>
      </c>
      <c r="D1278" s="1">
        <v>12.4</v>
      </c>
    </row>
    <row r="1279" spans="1:4" x14ac:dyDescent="0.25">
      <c r="A1279" s="1">
        <v>67</v>
      </c>
      <c r="B1279" s="2">
        <v>41144</v>
      </c>
      <c r="C1279" s="4" t="s">
        <v>12</v>
      </c>
      <c r="D1279" s="1">
        <v>12.1</v>
      </c>
    </row>
    <row r="1280" spans="1:4" x14ac:dyDescent="0.25">
      <c r="A1280" s="1">
        <v>67</v>
      </c>
      <c r="B1280" s="2">
        <v>41158</v>
      </c>
      <c r="C1280" s="4" t="s">
        <v>12</v>
      </c>
      <c r="D1280" s="1">
        <v>11.8</v>
      </c>
    </row>
    <row r="1281" spans="1:4" x14ac:dyDescent="0.25">
      <c r="A1281" s="1">
        <v>67</v>
      </c>
      <c r="B1281" s="2">
        <v>41172</v>
      </c>
      <c r="C1281" s="4" t="s">
        <v>12</v>
      </c>
      <c r="D1281" s="1">
        <v>12.1</v>
      </c>
    </row>
    <row r="1282" spans="1:4" x14ac:dyDescent="0.25">
      <c r="A1282" s="1">
        <v>67</v>
      </c>
      <c r="B1282" s="2">
        <v>41186</v>
      </c>
      <c r="C1282" s="4" t="s">
        <v>12</v>
      </c>
      <c r="D1282" s="1">
        <v>11.5</v>
      </c>
    </row>
    <row r="1283" spans="1:4" x14ac:dyDescent="0.25">
      <c r="A1283" s="1">
        <v>67</v>
      </c>
      <c r="B1283" s="2">
        <v>41200</v>
      </c>
      <c r="C1283" s="4" t="s">
        <v>12</v>
      </c>
      <c r="D1283" s="1">
        <v>11.4</v>
      </c>
    </row>
    <row r="1284" spans="1:4" x14ac:dyDescent="0.25">
      <c r="A1284" s="1">
        <v>67</v>
      </c>
      <c r="B1284" s="2">
        <v>41221</v>
      </c>
      <c r="C1284" s="4" t="s">
        <v>12</v>
      </c>
      <c r="D1284" s="1">
        <v>10.4</v>
      </c>
    </row>
    <row r="1285" spans="1:4" x14ac:dyDescent="0.25">
      <c r="A1285" s="1">
        <v>67</v>
      </c>
      <c r="B1285" s="2">
        <v>41232</v>
      </c>
      <c r="C1285" s="4" t="s">
        <v>12</v>
      </c>
      <c r="D1285" s="1">
        <v>10.199999999999999</v>
      </c>
    </row>
    <row r="1286" spans="1:4" x14ac:dyDescent="0.25">
      <c r="A1286" s="1">
        <v>67</v>
      </c>
      <c r="B1286" s="2">
        <v>41095</v>
      </c>
      <c r="C1286" s="4" t="s">
        <v>13</v>
      </c>
      <c r="D1286" s="1">
        <v>19</v>
      </c>
    </row>
    <row r="1287" spans="1:4" x14ac:dyDescent="0.25">
      <c r="A1287" s="1">
        <v>67</v>
      </c>
      <c r="B1287" s="2">
        <v>41123</v>
      </c>
      <c r="C1287" s="4" t="s">
        <v>13</v>
      </c>
      <c r="D1287" s="1">
        <v>21</v>
      </c>
    </row>
    <row r="1288" spans="1:4" x14ac:dyDescent="0.25">
      <c r="A1288" s="1">
        <v>67</v>
      </c>
      <c r="B1288" s="2">
        <v>41156</v>
      </c>
      <c r="C1288" s="4" t="s">
        <v>13</v>
      </c>
      <c r="D1288" s="1">
        <v>29</v>
      </c>
    </row>
    <row r="1289" spans="1:4" x14ac:dyDescent="0.25">
      <c r="A1289" s="1">
        <v>67</v>
      </c>
      <c r="B1289" s="2">
        <v>41186</v>
      </c>
      <c r="C1289" s="4" t="s">
        <v>13</v>
      </c>
      <c r="D1289" s="1">
        <v>29</v>
      </c>
    </row>
    <row r="1290" spans="1:4" x14ac:dyDescent="0.25">
      <c r="A1290" s="1">
        <v>67</v>
      </c>
      <c r="B1290" s="2">
        <v>41221</v>
      </c>
      <c r="C1290" s="4" t="s">
        <v>13</v>
      </c>
      <c r="D1290" s="1">
        <v>31</v>
      </c>
    </row>
    <row r="1291" spans="1:4" x14ac:dyDescent="0.25">
      <c r="A1291" s="1" t="e">
        <v>#N/A</v>
      </c>
      <c r="B1291" s="2">
        <v>41094</v>
      </c>
      <c r="C1291" s="4" t="s">
        <v>11</v>
      </c>
      <c r="D1291" s="1">
        <v>1023</v>
      </c>
    </row>
    <row r="1292" spans="1:4" x14ac:dyDescent="0.25">
      <c r="A1292" s="1" t="e">
        <v>#N/A</v>
      </c>
      <c r="B1292" s="2">
        <v>41122</v>
      </c>
      <c r="C1292" s="4" t="s">
        <v>11</v>
      </c>
      <c r="D1292" s="1">
        <v>744</v>
      </c>
    </row>
    <row r="1293" spans="1:4" x14ac:dyDescent="0.25">
      <c r="A1293" s="1" t="e">
        <v>#N/A</v>
      </c>
      <c r="B1293" s="2">
        <v>41157</v>
      </c>
      <c r="C1293" s="4" t="s">
        <v>11</v>
      </c>
      <c r="D1293" s="1">
        <v>792</v>
      </c>
    </row>
    <row r="1294" spans="1:4" x14ac:dyDescent="0.25">
      <c r="A1294" s="1" t="e">
        <v>#N/A</v>
      </c>
      <c r="B1294" s="2">
        <v>41185</v>
      </c>
      <c r="C1294" s="4" t="s">
        <v>11</v>
      </c>
      <c r="D1294" s="1">
        <v>818</v>
      </c>
    </row>
    <row r="1295" spans="1:4" x14ac:dyDescent="0.25">
      <c r="A1295" s="1" t="e">
        <v>#N/A</v>
      </c>
      <c r="B1295" s="2">
        <v>41220</v>
      </c>
      <c r="C1295" s="4" t="s">
        <v>11</v>
      </c>
      <c r="D1295" s="1">
        <v>843</v>
      </c>
    </row>
    <row r="1296" spans="1:4" x14ac:dyDescent="0.25">
      <c r="A1296" s="1" t="e">
        <v>#N/A</v>
      </c>
      <c r="B1296" s="2">
        <v>41248</v>
      </c>
      <c r="C1296" s="4" t="s">
        <v>11</v>
      </c>
      <c r="D1296" s="1">
        <v>941</v>
      </c>
    </row>
    <row r="1297" spans="1:4" x14ac:dyDescent="0.25">
      <c r="A1297" s="1" t="e">
        <v>#N/A</v>
      </c>
      <c r="B1297" s="2">
        <v>41094</v>
      </c>
      <c r="C1297" s="4" t="s">
        <v>12</v>
      </c>
      <c r="D1297" s="1">
        <v>9.1999999999999993</v>
      </c>
    </row>
    <row r="1298" spans="1:4" x14ac:dyDescent="0.25">
      <c r="A1298" s="1" t="e">
        <v>#N/A</v>
      </c>
      <c r="B1298" s="2">
        <v>41108</v>
      </c>
      <c r="C1298" s="4" t="s">
        <v>12</v>
      </c>
      <c r="D1298" s="1">
        <v>9.4</v>
      </c>
    </row>
    <row r="1299" spans="1:4" x14ac:dyDescent="0.25">
      <c r="A1299" s="1" t="e">
        <v>#N/A</v>
      </c>
      <c r="B1299" s="2">
        <v>41122</v>
      </c>
      <c r="C1299" s="4" t="s">
        <v>12</v>
      </c>
      <c r="D1299" s="1">
        <v>9.1</v>
      </c>
    </row>
    <row r="1300" spans="1:4" x14ac:dyDescent="0.25">
      <c r="A1300" s="1" t="e">
        <v>#N/A</v>
      </c>
      <c r="B1300" s="2">
        <v>41136</v>
      </c>
      <c r="C1300" s="4" t="s">
        <v>12</v>
      </c>
      <c r="D1300" s="1">
        <v>9.5</v>
      </c>
    </row>
    <row r="1301" spans="1:4" x14ac:dyDescent="0.25">
      <c r="A1301" s="1" t="e">
        <v>#N/A</v>
      </c>
      <c r="B1301" s="2">
        <v>41157</v>
      </c>
      <c r="C1301" s="4" t="s">
        <v>12</v>
      </c>
      <c r="D1301" s="1">
        <v>9.1999999999999993</v>
      </c>
    </row>
    <row r="1302" spans="1:4" x14ac:dyDescent="0.25">
      <c r="A1302" s="1" t="e">
        <v>#N/A</v>
      </c>
      <c r="B1302" s="2">
        <v>41171</v>
      </c>
      <c r="C1302" s="4" t="s">
        <v>12</v>
      </c>
      <c r="D1302" s="1">
        <v>8.3000000000000007</v>
      </c>
    </row>
    <row r="1303" spans="1:4" x14ac:dyDescent="0.25">
      <c r="A1303" s="1" t="e">
        <v>#N/A</v>
      </c>
      <c r="B1303" s="2">
        <v>41180</v>
      </c>
      <c r="C1303" s="4" t="s">
        <v>12</v>
      </c>
      <c r="D1303" s="1">
        <v>10</v>
      </c>
    </row>
    <row r="1304" spans="1:4" x14ac:dyDescent="0.25">
      <c r="A1304" s="1" t="e">
        <v>#N/A</v>
      </c>
      <c r="B1304" s="2">
        <v>41185</v>
      </c>
      <c r="C1304" s="4" t="s">
        <v>12</v>
      </c>
      <c r="D1304" s="1">
        <v>9.8000000000000007</v>
      </c>
    </row>
    <row r="1305" spans="1:4" x14ac:dyDescent="0.25">
      <c r="A1305" s="1" t="e">
        <v>#N/A</v>
      </c>
      <c r="B1305" s="2">
        <v>41199</v>
      </c>
      <c r="C1305" s="4" t="s">
        <v>12</v>
      </c>
      <c r="D1305" s="1">
        <v>9.9</v>
      </c>
    </row>
    <row r="1306" spans="1:4" x14ac:dyDescent="0.25">
      <c r="A1306" s="1" t="e">
        <v>#N/A</v>
      </c>
      <c r="B1306" s="2">
        <v>41220</v>
      </c>
      <c r="C1306" s="4" t="s">
        <v>12</v>
      </c>
      <c r="D1306" s="1">
        <v>11.1</v>
      </c>
    </row>
    <row r="1307" spans="1:4" x14ac:dyDescent="0.25">
      <c r="A1307" s="1" t="e">
        <v>#N/A</v>
      </c>
      <c r="B1307" s="2">
        <v>41239</v>
      </c>
      <c r="C1307" s="4" t="s">
        <v>12</v>
      </c>
      <c r="D1307" s="1">
        <v>11.2</v>
      </c>
    </row>
    <row r="1308" spans="1:4" x14ac:dyDescent="0.25">
      <c r="A1308" s="1" t="e">
        <v>#N/A</v>
      </c>
      <c r="B1308" s="2">
        <v>41248</v>
      </c>
      <c r="C1308" s="4" t="s">
        <v>12</v>
      </c>
      <c r="D1308" s="1">
        <v>10.199999999999999</v>
      </c>
    </row>
    <row r="1309" spans="1:4" x14ac:dyDescent="0.25">
      <c r="A1309" s="1" t="e">
        <v>#N/A</v>
      </c>
      <c r="B1309" s="2">
        <v>41094</v>
      </c>
      <c r="C1309" s="4" t="s">
        <v>13</v>
      </c>
      <c r="D1309" s="1">
        <v>23</v>
      </c>
    </row>
    <row r="1310" spans="1:4" x14ac:dyDescent="0.25">
      <c r="A1310" s="1" t="e">
        <v>#N/A</v>
      </c>
      <c r="B1310" s="2">
        <v>41122</v>
      </c>
      <c r="C1310" s="4" t="s">
        <v>13</v>
      </c>
      <c r="D1310" s="1">
        <v>23</v>
      </c>
    </row>
    <row r="1311" spans="1:4" x14ac:dyDescent="0.25">
      <c r="A1311" s="1" t="e">
        <v>#N/A</v>
      </c>
      <c r="B1311" s="2">
        <v>41157</v>
      </c>
      <c r="C1311" s="4" t="s">
        <v>13</v>
      </c>
      <c r="D1311" s="1">
        <v>34</v>
      </c>
    </row>
    <row r="1312" spans="1:4" x14ac:dyDescent="0.25">
      <c r="A1312" s="1" t="e">
        <v>#N/A</v>
      </c>
      <c r="B1312" s="2">
        <v>41185</v>
      </c>
      <c r="C1312" s="4" t="s">
        <v>13</v>
      </c>
      <c r="D1312" s="1">
        <v>33</v>
      </c>
    </row>
    <row r="1313" spans="1:4" x14ac:dyDescent="0.25">
      <c r="A1313" s="1" t="e">
        <v>#N/A</v>
      </c>
      <c r="B1313" s="2">
        <v>41220</v>
      </c>
      <c r="C1313" s="4" t="s">
        <v>13</v>
      </c>
      <c r="D1313" s="1">
        <v>39</v>
      </c>
    </row>
    <row r="1314" spans="1:4" x14ac:dyDescent="0.25">
      <c r="A1314" s="1" t="e">
        <v>#N/A</v>
      </c>
      <c r="B1314" s="2">
        <v>41248</v>
      </c>
      <c r="C1314" s="4" t="s">
        <v>13</v>
      </c>
      <c r="D1314" s="1">
        <v>56</v>
      </c>
    </row>
    <row r="1315" spans="1:4" x14ac:dyDescent="0.25">
      <c r="A1315" s="1" t="e">
        <v>#N/A</v>
      </c>
      <c r="B1315" s="2">
        <v>41094</v>
      </c>
      <c r="C1315" s="4" t="s">
        <v>11</v>
      </c>
      <c r="D1315" s="1">
        <v>273</v>
      </c>
    </row>
    <row r="1316" spans="1:4" x14ac:dyDescent="0.25">
      <c r="A1316" s="1" t="e">
        <v>#N/A</v>
      </c>
      <c r="B1316" s="2">
        <v>41122</v>
      </c>
      <c r="C1316" s="4" t="s">
        <v>11</v>
      </c>
      <c r="D1316" s="1">
        <v>601</v>
      </c>
    </row>
    <row r="1317" spans="1:4" x14ac:dyDescent="0.25">
      <c r="A1317" s="1" t="e">
        <v>#N/A</v>
      </c>
      <c r="B1317" s="2">
        <v>41157</v>
      </c>
      <c r="C1317" s="4" t="s">
        <v>11</v>
      </c>
      <c r="D1317" s="1">
        <v>481</v>
      </c>
    </row>
    <row r="1318" spans="1:4" x14ac:dyDescent="0.25">
      <c r="A1318" s="1" t="e">
        <v>#N/A</v>
      </c>
      <c r="B1318" s="2">
        <v>41185</v>
      </c>
      <c r="C1318" s="4" t="s">
        <v>11</v>
      </c>
      <c r="D1318" s="1">
        <v>873</v>
      </c>
    </row>
    <row r="1319" spans="1:4" x14ac:dyDescent="0.25">
      <c r="A1319" s="1" t="e">
        <v>#N/A</v>
      </c>
      <c r="B1319" s="2">
        <v>41220</v>
      </c>
      <c r="C1319" s="4" t="s">
        <v>11</v>
      </c>
      <c r="D1319" s="1">
        <v>510</v>
      </c>
    </row>
    <row r="1320" spans="1:4" x14ac:dyDescent="0.25">
      <c r="A1320" s="1" t="e">
        <v>#N/A</v>
      </c>
      <c r="B1320" s="2">
        <v>41248</v>
      </c>
      <c r="C1320" s="4" t="s">
        <v>11</v>
      </c>
      <c r="D1320" s="1">
        <v>631</v>
      </c>
    </row>
    <row r="1321" spans="1:4" x14ac:dyDescent="0.25">
      <c r="A1321" s="1" t="e">
        <v>#N/A</v>
      </c>
      <c r="B1321" s="2">
        <v>41094</v>
      </c>
      <c r="C1321" s="4" t="s">
        <v>12</v>
      </c>
      <c r="D1321" s="1">
        <v>9.9</v>
      </c>
    </row>
    <row r="1322" spans="1:4" x14ac:dyDescent="0.25">
      <c r="A1322" s="1" t="e">
        <v>#N/A</v>
      </c>
      <c r="B1322" s="2">
        <v>41108</v>
      </c>
      <c r="C1322" s="4" t="s">
        <v>12</v>
      </c>
      <c r="D1322" s="1">
        <v>10.4</v>
      </c>
    </row>
    <row r="1323" spans="1:4" x14ac:dyDescent="0.25">
      <c r="A1323" s="1" t="e">
        <v>#N/A</v>
      </c>
      <c r="B1323" s="2">
        <v>41122</v>
      </c>
      <c r="C1323" s="4" t="s">
        <v>12</v>
      </c>
      <c r="D1323" s="1">
        <v>10.7</v>
      </c>
    </row>
    <row r="1324" spans="1:4" x14ac:dyDescent="0.25">
      <c r="A1324" s="1" t="e">
        <v>#N/A</v>
      </c>
      <c r="B1324" s="2">
        <v>41136</v>
      </c>
      <c r="C1324" s="4" t="s">
        <v>12</v>
      </c>
      <c r="D1324" s="1">
        <v>10.199999999999999</v>
      </c>
    </row>
    <row r="1325" spans="1:4" x14ac:dyDescent="0.25">
      <c r="A1325" s="1" t="e">
        <v>#N/A</v>
      </c>
      <c r="B1325" s="2">
        <v>41157</v>
      </c>
      <c r="C1325" s="4" t="s">
        <v>12</v>
      </c>
      <c r="D1325" s="1">
        <v>9.9</v>
      </c>
    </row>
    <row r="1326" spans="1:4" x14ac:dyDescent="0.25">
      <c r="A1326" s="1" t="e">
        <v>#N/A</v>
      </c>
      <c r="B1326" s="2">
        <v>41171</v>
      </c>
      <c r="C1326" s="4" t="s">
        <v>12</v>
      </c>
      <c r="D1326" s="1">
        <v>10.6</v>
      </c>
    </row>
    <row r="1327" spans="1:4" x14ac:dyDescent="0.25">
      <c r="A1327" s="1" t="e">
        <v>#N/A</v>
      </c>
      <c r="B1327" s="2">
        <v>41185</v>
      </c>
      <c r="C1327" s="4" t="s">
        <v>12</v>
      </c>
      <c r="D1327" s="1">
        <v>11.1</v>
      </c>
    </row>
    <row r="1328" spans="1:4" x14ac:dyDescent="0.25">
      <c r="A1328" s="1" t="e">
        <v>#N/A</v>
      </c>
      <c r="B1328" s="2">
        <v>41199</v>
      </c>
      <c r="C1328" s="4" t="s">
        <v>12</v>
      </c>
      <c r="D1328" s="1">
        <v>10.199999999999999</v>
      </c>
    </row>
    <row r="1329" spans="1:4" x14ac:dyDescent="0.25">
      <c r="A1329" s="1" t="e">
        <v>#N/A</v>
      </c>
      <c r="B1329" s="2">
        <v>41220</v>
      </c>
      <c r="C1329" s="4" t="s">
        <v>12</v>
      </c>
      <c r="D1329" s="1">
        <v>10.4</v>
      </c>
    </row>
    <row r="1330" spans="1:4" x14ac:dyDescent="0.25">
      <c r="A1330" s="1" t="e">
        <v>#N/A</v>
      </c>
      <c r="B1330" s="2">
        <v>41233</v>
      </c>
      <c r="C1330" s="4" t="s">
        <v>12</v>
      </c>
      <c r="D1330" s="1">
        <v>10.1</v>
      </c>
    </row>
    <row r="1331" spans="1:4" x14ac:dyDescent="0.25">
      <c r="A1331" s="1" t="e">
        <v>#N/A</v>
      </c>
      <c r="B1331" s="2">
        <v>41248</v>
      </c>
      <c r="C1331" s="4" t="s">
        <v>12</v>
      </c>
      <c r="D1331" s="1">
        <v>10.9</v>
      </c>
    </row>
    <row r="1332" spans="1:4" x14ac:dyDescent="0.25">
      <c r="A1332" s="1" t="e">
        <v>#N/A</v>
      </c>
      <c r="B1332" s="2">
        <v>41094</v>
      </c>
      <c r="C1332" s="4" t="s">
        <v>13</v>
      </c>
      <c r="D1332" s="1">
        <v>21</v>
      </c>
    </row>
    <row r="1333" spans="1:4" x14ac:dyDescent="0.25">
      <c r="A1333" s="1" t="e">
        <v>#N/A</v>
      </c>
      <c r="B1333" s="2">
        <v>41122</v>
      </c>
      <c r="C1333" s="4" t="s">
        <v>13</v>
      </c>
      <c r="D1333" s="1">
        <v>34</v>
      </c>
    </row>
    <row r="1334" spans="1:4" x14ac:dyDescent="0.25">
      <c r="A1334" s="1" t="e">
        <v>#N/A</v>
      </c>
      <c r="B1334" s="2">
        <v>41157</v>
      </c>
      <c r="C1334" s="4" t="s">
        <v>13</v>
      </c>
      <c r="D1334" s="1">
        <v>27</v>
      </c>
    </row>
    <row r="1335" spans="1:4" x14ac:dyDescent="0.25">
      <c r="A1335" s="1" t="e">
        <v>#N/A</v>
      </c>
      <c r="B1335" s="2">
        <v>41185</v>
      </c>
      <c r="C1335" s="4" t="s">
        <v>13</v>
      </c>
      <c r="D1335" s="1">
        <v>32</v>
      </c>
    </row>
    <row r="1336" spans="1:4" x14ac:dyDescent="0.25">
      <c r="A1336" s="1" t="e">
        <v>#N/A</v>
      </c>
      <c r="B1336" s="2">
        <v>41220</v>
      </c>
      <c r="C1336" s="4" t="s">
        <v>13</v>
      </c>
      <c r="D1336" s="1">
        <v>65</v>
      </c>
    </row>
    <row r="1337" spans="1:4" x14ac:dyDescent="0.25">
      <c r="A1337" s="1" t="e">
        <v>#N/A</v>
      </c>
      <c r="B1337" s="2">
        <v>41248</v>
      </c>
      <c r="C1337" s="4" t="s">
        <v>13</v>
      </c>
      <c r="D1337" s="1">
        <v>36</v>
      </c>
    </row>
    <row r="1338" spans="1:4" x14ac:dyDescent="0.25">
      <c r="A1338" s="1">
        <v>68</v>
      </c>
      <c r="B1338" s="2">
        <v>41234</v>
      </c>
      <c r="C1338" s="4" t="s">
        <v>11</v>
      </c>
      <c r="D1338" s="1">
        <v>400</v>
      </c>
    </row>
    <row r="1339" spans="1:4" x14ac:dyDescent="0.25">
      <c r="A1339" s="1">
        <v>68</v>
      </c>
      <c r="B1339" s="2">
        <v>41234</v>
      </c>
      <c r="C1339" s="4" t="s">
        <v>12</v>
      </c>
      <c r="D1339" s="1">
        <v>9.4</v>
      </c>
    </row>
    <row r="1340" spans="1:4" x14ac:dyDescent="0.25">
      <c r="A1340" s="1">
        <v>68</v>
      </c>
      <c r="B1340" s="2">
        <v>41234</v>
      </c>
      <c r="C1340" s="4" t="s">
        <v>13</v>
      </c>
      <c r="D1340" s="1">
        <v>13</v>
      </c>
    </row>
    <row r="1341" spans="1:4" x14ac:dyDescent="0.25">
      <c r="A1341" s="1">
        <v>69</v>
      </c>
      <c r="B1341" s="2">
        <v>41095</v>
      </c>
      <c r="C1341" s="4" t="s">
        <v>11</v>
      </c>
      <c r="D1341" s="1">
        <v>862</v>
      </c>
    </row>
    <row r="1342" spans="1:4" x14ac:dyDescent="0.25">
      <c r="A1342" s="1">
        <v>69</v>
      </c>
      <c r="B1342" s="2">
        <v>41123</v>
      </c>
      <c r="C1342" s="4" t="s">
        <v>11</v>
      </c>
      <c r="D1342" s="1">
        <v>556</v>
      </c>
    </row>
    <row r="1343" spans="1:4" x14ac:dyDescent="0.25">
      <c r="A1343" s="1">
        <v>69</v>
      </c>
      <c r="B1343" s="2">
        <v>41156</v>
      </c>
      <c r="C1343" s="4" t="s">
        <v>11</v>
      </c>
      <c r="D1343" s="1">
        <v>515</v>
      </c>
    </row>
    <row r="1344" spans="1:4" x14ac:dyDescent="0.25">
      <c r="A1344" s="1">
        <v>69</v>
      </c>
      <c r="B1344" s="2">
        <v>41186</v>
      </c>
      <c r="C1344" s="4" t="s">
        <v>11</v>
      </c>
      <c r="D1344" s="1">
        <v>531</v>
      </c>
    </row>
    <row r="1345" spans="1:4" x14ac:dyDescent="0.25">
      <c r="A1345" s="1">
        <v>69</v>
      </c>
      <c r="B1345" s="2">
        <v>41221</v>
      </c>
      <c r="C1345" s="4" t="s">
        <v>11</v>
      </c>
      <c r="D1345" s="1">
        <v>491</v>
      </c>
    </row>
    <row r="1346" spans="1:4" x14ac:dyDescent="0.25">
      <c r="A1346" s="1">
        <v>69</v>
      </c>
      <c r="B1346" s="2">
        <v>41095</v>
      </c>
      <c r="C1346" s="4" t="s">
        <v>12</v>
      </c>
      <c r="D1346" s="1">
        <v>10.3</v>
      </c>
    </row>
    <row r="1347" spans="1:4" x14ac:dyDescent="0.25">
      <c r="A1347" s="1">
        <v>69</v>
      </c>
      <c r="B1347" s="2">
        <v>41109</v>
      </c>
      <c r="C1347" s="4" t="s">
        <v>12</v>
      </c>
      <c r="D1347" s="1">
        <v>10.199999999999999</v>
      </c>
    </row>
    <row r="1348" spans="1:4" x14ac:dyDescent="0.25">
      <c r="A1348" s="1">
        <v>69</v>
      </c>
      <c r="B1348" s="2">
        <v>41123</v>
      </c>
      <c r="C1348" s="4" t="s">
        <v>12</v>
      </c>
      <c r="D1348" s="1">
        <v>9.9</v>
      </c>
    </row>
    <row r="1349" spans="1:4" x14ac:dyDescent="0.25">
      <c r="A1349" s="1">
        <v>69</v>
      </c>
      <c r="B1349" s="2">
        <v>41137</v>
      </c>
      <c r="C1349" s="4" t="s">
        <v>12</v>
      </c>
      <c r="D1349" s="1">
        <v>9.9</v>
      </c>
    </row>
    <row r="1350" spans="1:4" x14ac:dyDescent="0.25">
      <c r="A1350" s="1">
        <v>69</v>
      </c>
      <c r="B1350" s="2">
        <v>41156</v>
      </c>
      <c r="C1350" s="4" t="s">
        <v>12</v>
      </c>
      <c r="D1350" s="1">
        <v>10.1</v>
      </c>
    </row>
    <row r="1351" spans="1:4" x14ac:dyDescent="0.25">
      <c r="A1351" s="1">
        <v>69</v>
      </c>
      <c r="B1351" s="2">
        <v>41172</v>
      </c>
      <c r="C1351" s="4" t="s">
        <v>12</v>
      </c>
      <c r="D1351" s="1">
        <v>11.1</v>
      </c>
    </row>
    <row r="1352" spans="1:4" x14ac:dyDescent="0.25">
      <c r="A1352" s="1">
        <v>69</v>
      </c>
      <c r="B1352" s="2">
        <v>41186</v>
      </c>
      <c r="C1352" s="4" t="s">
        <v>12</v>
      </c>
      <c r="D1352" s="1">
        <v>11</v>
      </c>
    </row>
    <row r="1353" spans="1:4" x14ac:dyDescent="0.25">
      <c r="A1353" s="1">
        <v>69</v>
      </c>
      <c r="B1353" s="2">
        <v>41200</v>
      </c>
      <c r="C1353" s="4" t="s">
        <v>12</v>
      </c>
      <c r="D1353" s="1">
        <v>11.1</v>
      </c>
    </row>
    <row r="1354" spans="1:4" x14ac:dyDescent="0.25">
      <c r="A1354" s="1">
        <v>69</v>
      </c>
      <c r="B1354" s="2">
        <v>41221</v>
      </c>
      <c r="C1354" s="4" t="s">
        <v>12</v>
      </c>
      <c r="D1354" s="1">
        <v>10.7</v>
      </c>
    </row>
    <row r="1355" spans="1:4" x14ac:dyDescent="0.25">
      <c r="A1355" s="1">
        <v>69</v>
      </c>
      <c r="B1355" s="2">
        <v>41232</v>
      </c>
      <c r="C1355" s="4" t="s">
        <v>12</v>
      </c>
      <c r="D1355" s="1">
        <v>10.8</v>
      </c>
    </row>
    <row r="1356" spans="1:4" x14ac:dyDescent="0.25">
      <c r="A1356" s="1">
        <v>69</v>
      </c>
      <c r="B1356" s="2">
        <v>41095</v>
      </c>
      <c r="C1356" s="4" t="s">
        <v>13</v>
      </c>
      <c r="D1356" s="1">
        <v>48</v>
      </c>
    </row>
    <row r="1357" spans="1:4" x14ac:dyDescent="0.25">
      <c r="A1357" s="1">
        <v>69</v>
      </c>
      <c r="B1357" s="2">
        <v>41123</v>
      </c>
      <c r="C1357" s="4" t="s">
        <v>13</v>
      </c>
      <c r="D1357" s="1">
        <v>36</v>
      </c>
    </row>
    <row r="1358" spans="1:4" x14ac:dyDescent="0.25">
      <c r="A1358" s="1">
        <v>69</v>
      </c>
      <c r="B1358" s="2">
        <v>41156</v>
      </c>
      <c r="C1358" s="4" t="s">
        <v>13</v>
      </c>
      <c r="D1358" s="1">
        <v>34</v>
      </c>
    </row>
    <row r="1359" spans="1:4" x14ac:dyDescent="0.25">
      <c r="A1359" s="1">
        <v>69</v>
      </c>
      <c r="B1359" s="2">
        <v>41186</v>
      </c>
      <c r="C1359" s="4" t="s">
        <v>13</v>
      </c>
      <c r="D1359" s="1">
        <v>44</v>
      </c>
    </row>
    <row r="1360" spans="1:4" x14ac:dyDescent="0.25">
      <c r="A1360" s="1">
        <v>69</v>
      </c>
      <c r="B1360" s="2">
        <v>41221</v>
      </c>
      <c r="C1360" s="4" t="s">
        <v>13</v>
      </c>
      <c r="D1360" s="1">
        <v>51</v>
      </c>
    </row>
    <row r="1361" spans="1:4" x14ac:dyDescent="0.25">
      <c r="A1361" s="1">
        <v>70</v>
      </c>
      <c r="B1361" s="2">
        <v>41094</v>
      </c>
      <c r="C1361" s="4" t="s">
        <v>11</v>
      </c>
      <c r="D1361" s="1">
        <v>613</v>
      </c>
    </row>
    <row r="1362" spans="1:4" x14ac:dyDescent="0.25">
      <c r="A1362" s="1">
        <v>70</v>
      </c>
      <c r="B1362" s="2">
        <v>41122</v>
      </c>
      <c r="C1362" s="4" t="s">
        <v>11</v>
      </c>
      <c r="D1362" s="1">
        <v>753</v>
      </c>
    </row>
    <row r="1363" spans="1:4" x14ac:dyDescent="0.25">
      <c r="A1363" s="1">
        <v>70</v>
      </c>
      <c r="B1363" s="2">
        <v>41094</v>
      </c>
      <c r="C1363" s="4" t="s">
        <v>12</v>
      </c>
      <c r="D1363" s="1">
        <v>10.4</v>
      </c>
    </row>
    <row r="1364" spans="1:4" x14ac:dyDescent="0.25">
      <c r="A1364" s="1">
        <v>70</v>
      </c>
      <c r="B1364" s="2">
        <v>41117</v>
      </c>
      <c r="C1364" s="4" t="s">
        <v>12</v>
      </c>
      <c r="D1364" s="1">
        <v>11.2</v>
      </c>
    </row>
    <row r="1365" spans="1:4" x14ac:dyDescent="0.25">
      <c r="A1365" s="1">
        <v>70</v>
      </c>
      <c r="B1365" s="2">
        <v>41122</v>
      </c>
      <c r="C1365" s="4" t="s">
        <v>12</v>
      </c>
      <c r="D1365" s="1">
        <v>11.1</v>
      </c>
    </row>
    <row r="1366" spans="1:4" x14ac:dyDescent="0.25">
      <c r="A1366" s="1">
        <v>70</v>
      </c>
      <c r="B1366" s="2">
        <v>41094</v>
      </c>
      <c r="C1366" s="4" t="s">
        <v>13</v>
      </c>
      <c r="D1366" s="1">
        <v>18</v>
      </c>
    </row>
    <row r="1367" spans="1:4" x14ac:dyDescent="0.25">
      <c r="A1367" s="1">
        <v>70</v>
      </c>
      <c r="B1367" s="2">
        <v>41122</v>
      </c>
      <c r="C1367" s="4" t="s">
        <v>13</v>
      </c>
      <c r="D1367" s="1">
        <v>12</v>
      </c>
    </row>
    <row r="1368" spans="1:4" x14ac:dyDescent="0.25">
      <c r="A1368" s="1">
        <v>71</v>
      </c>
      <c r="B1368" s="2">
        <v>41094</v>
      </c>
      <c r="C1368" s="4" t="s">
        <v>11</v>
      </c>
      <c r="D1368" s="1">
        <v>894</v>
      </c>
    </row>
    <row r="1369" spans="1:4" x14ac:dyDescent="0.25">
      <c r="A1369" s="1">
        <v>71</v>
      </c>
      <c r="B1369" s="2">
        <v>41094</v>
      </c>
      <c r="C1369" s="4" t="s">
        <v>12</v>
      </c>
      <c r="D1369" s="1">
        <v>12</v>
      </c>
    </row>
    <row r="1370" spans="1:4" x14ac:dyDescent="0.25">
      <c r="A1370" s="1">
        <v>71</v>
      </c>
      <c r="B1370" s="2">
        <v>41094</v>
      </c>
      <c r="C1370" s="4" t="s">
        <v>13</v>
      </c>
      <c r="D1370" s="1">
        <v>17</v>
      </c>
    </row>
    <row r="1371" spans="1:4" x14ac:dyDescent="0.25">
      <c r="A1371" s="1">
        <v>72</v>
      </c>
      <c r="B1371" s="2">
        <v>41207</v>
      </c>
      <c r="C1371" s="4" t="s">
        <v>11</v>
      </c>
      <c r="D1371" s="1">
        <v>1303</v>
      </c>
    </row>
    <row r="1372" spans="1:4" x14ac:dyDescent="0.25">
      <c r="A1372" s="1">
        <v>72</v>
      </c>
      <c r="B1372" s="2">
        <v>41221</v>
      </c>
      <c r="C1372" s="4" t="s">
        <v>11</v>
      </c>
      <c r="D1372" s="1">
        <v>1440</v>
      </c>
    </row>
    <row r="1373" spans="1:4" x14ac:dyDescent="0.25">
      <c r="A1373" s="1">
        <v>72</v>
      </c>
      <c r="B1373" s="2">
        <v>41207</v>
      </c>
      <c r="C1373" s="4" t="s">
        <v>12</v>
      </c>
      <c r="D1373" s="1">
        <v>9.1999999999999993</v>
      </c>
    </row>
    <row r="1374" spans="1:4" x14ac:dyDescent="0.25">
      <c r="A1374" s="1">
        <v>72</v>
      </c>
      <c r="B1374" s="2">
        <v>41221</v>
      </c>
      <c r="C1374" s="4" t="s">
        <v>12</v>
      </c>
      <c r="D1374" s="1">
        <v>9.1999999999999993</v>
      </c>
    </row>
    <row r="1375" spans="1:4" x14ac:dyDescent="0.25">
      <c r="A1375" s="1">
        <v>72</v>
      </c>
      <c r="B1375" s="2">
        <v>41236</v>
      </c>
      <c r="C1375" s="4" t="s">
        <v>12</v>
      </c>
      <c r="D1375" s="1">
        <v>9.6999999999999993</v>
      </c>
    </row>
    <row r="1376" spans="1:4" x14ac:dyDescent="0.25">
      <c r="A1376" s="1">
        <v>72</v>
      </c>
      <c r="B1376" s="2">
        <v>41207</v>
      </c>
      <c r="C1376" s="4" t="s">
        <v>13</v>
      </c>
      <c r="D1376" s="1">
        <v>13</v>
      </c>
    </row>
    <row r="1377" spans="1:4" x14ac:dyDescent="0.25">
      <c r="A1377" s="1">
        <v>72</v>
      </c>
      <c r="B1377" s="2">
        <v>41221</v>
      </c>
      <c r="C1377" s="4" t="s">
        <v>13</v>
      </c>
      <c r="D1377" s="1">
        <v>17</v>
      </c>
    </row>
    <row r="1378" spans="1:4" x14ac:dyDescent="0.25">
      <c r="A1378" s="1">
        <v>73</v>
      </c>
      <c r="B1378" s="2">
        <v>41148</v>
      </c>
      <c r="C1378" s="4" t="s">
        <v>11</v>
      </c>
      <c r="D1378" s="1">
        <v>611</v>
      </c>
    </row>
    <row r="1379" spans="1:4" x14ac:dyDescent="0.25">
      <c r="A1379" s="1">
        <v>73</v>
      </c>
      <c r="B1379" s="2">
        <v>41157</v>
      </c>
      <c r="C1379" s="4" t="s">
        <v>11</v>
      </c>
      <c r="D1379" s="1">
        <v>397</v>
      </c>
    </row>
    <row r="1380" spans="1:4" x14ac:dyDescent="0.25">
      <c r="A1380" s="1">
        <v>73</v>
      </c>
      <c r="B1380" s="2">
        <v>41185</v>
      </c>
      <c r="C1380" s="4" t="s">
        <v>11</v>
      </c>
      <c r="D1380" s="1">
        <v>511</v>
      </c>
    </row>
    <row r="1381" spans="1:4" x14ac:dyDescent="0.25">
      <c r="A1381" s="1">
        <v>73</v>
      </c>
      <c r="B1381" s="2">
        <v>41220</v>
      </c>
      <c r="C1381" s="4" t="s">
        <v>11</v>
      </c>
      <c r="D1381" s="1">
        <v>860</v>
      </c>
    </row>
    <row r="1382" spans="1:4" x14ac:dyDescent="0.25">
      <c r="A1382" s="1">
        <v>73</v>
      </c>
      <c r="B1382" s="2">
        <v>41248</v>
      </c>
      <c r="C1382" s="4" t="s">
        <v>11</v>
      </c>
      <c r="D1382" s="1">
        <v>427</v>
      </c>
    </row>
    <row r="1383" spans="1:4" x14ac:dyDescent="0.25">
      <c r="A1383" s="1">
        <v>73</v>
      </c>
      <c r="B1383" s="2">
        <v>41148</v>
      </c>
      <c r="C1383" s="4" t="s">
        <v>12</v>
      </c>
      <c r="D1383" s="1">
        <v>8.8000000000000007</v>
      </c>
    </row>
    <row r="1384" spans="1:4" x14ac:dyDescent="0.25">
      <c r="A1384" s="1">
        <v>73</v>
      </c>
      <c r="B1384" s="2">
        <v>41157</v>
      </c>
      <c r="C1384" s="4" t="s">
        <v>12</v>
      </c>
      <c r="D1384" s="1">
        <v>9.8000000000000007</v>
      </c>
    </row>
    <row r="1385" spans="1:4" x14ac:dyDescent="0.25">
      <c r="A1385" s="1">
        <v>73</v>
      </c>
      <c r="B1385" s="2">
        <v>41171</v>
      </c>
      <c r="C1385" s="4" t="s">
        <v>12</v>
      </c>
      <c r="D1385" s="1">
        <v>9.6</v>
      </c>
    </row>
    <row r="1386" spans="1:4" x14ac:dyDescent="0.25">
      <c r="A1386" s="1">
        <v>73</v>
      </c>
      <c r="B1386" s="2">
        <v>41185</v>
      </c>
      <c r="C1386" s="4" t="s">
        <v>12</v>
      </c>
      <c r="D1386" s="1">
        <v>9.9</v>
      </c>
    </row>
    <row r="1387" spans="1:4" x14ac:dyDescent="0.25">
      <c r="A1387" s="1">
        <v>73</v>
      </c>
      <c r="B1387" s="2">
        <v>41199</v>
      </c>
      <c r="C1387" s="4" t="s">
        <v>12</v>
      </c>
      <c r="D1387" s="1">
        <v>10.8</v>
      </c>
    </row>
    <row r="1388" spans="1:4" x14ac:dyDescent="0.25">
      <c r="A1388" s="1">
        <v>73</v>
      </c>
      <c r="B1388" s="2">
        <v>41213</v>
      </c>
      <c r="C1388" s="4" t="s">
        <v>12</v>
      </c>
      <c r="D1388" s="1">
        <v>11</v>
      </c>
    </row>
    <row r="1389" spans="1:4" x14ac:dyDescent="0.25">
      <c r="A1389" s="1">
        <v>73</v>
      </c>
      <c r="B1389" s="2">
        <v>41220</v>
      </c>
      <c r="C1389" s="4" t="s">
        <v>12</v>
      </c>
      <c r="D1389" s="1">
        <v>11.1</v>
      </c>
    </row>
    <row r="1390" spans="1:4" x14ac:dyDescent="0.25">
      <c r="A1390" s="1">
        <v>73</v>
      </c>
      <c r="B1390" s="2">
        <v>41233</v>
      </c>
      <c r="C1390" s="4" t="s">
        <v>12</v>
      </c>
      <c r="D1390" s="1">
        <v>10.8</v>
      </c>
    </row>
    <row r="1391" spans="1:4" x14ac:dyDescent="0.25">
      <c r="A1391" s="1">
        <v>73</v>
      </c>
      <c r="B1391" s="2">
        <v>41248</v>
      </c>
      <c r="C1391" s="4" t="s">
        <v>12</v>
      </c>
      <c r="D1391" s="1">
        <v>12.6</v>
      </c>
    </row>
    <row r="1392" spans="1:4" x14ac:dyDescent="0.25">
      <c r="A1392" s="1">
        <v>73</v>
      </c>
      <c r="B1392" s="2">
        <v>41148</v>
      </c>
      <c r="C1392" s="4" t="s">
        <v>13</v>
      </c>
      <c r="D1392" s="1">
        <v>22</v>
      </c>
    </row>
    <row r="1393" spans="1:4" x14ac:dyDescent="0.25">
      <c r="A1393" s="1">
        <v>73</v>
      </c>
      <c r="B1393" s="2">
        <v>41157</v>
      </c>
      <c r="C1393" s="4" t="s">
        <v>13</v>
      </c>
      <c r="D1393" s="1">
        <v>27</v>
      </c>
    </row>
    <row r="1394" spans="1:4" x14ac:dyDescent="0.25">
      <c r="A1394" s="1">
        <v>73</v>
      </c>
      <c r="B1394" s="2">
        <v>41185</v>
      </c>
      <c r="C1394" s="4" t="s">
        <v>13</v>
      </c>
      <c r="D1394" s="1">
        <v>19</v>
      </c>
    </row>
    <row r="1395" spans="1:4" x14ac:dyDescent="0.25">
      <c r="A1395" s="1">
        <v>73</v>
      </c>
      <c r="B1395" s="2">
        <v>41220</v>
      </c>
      <c r="C1395" s="4" t="s">
        <v>13</v>
      </c>
      <c r="D1395" s="1">
        <v>40</v>
      </c>
    </row>
    <row r="1396" spans="1:4" x14ac:dyDescent="0.25">
      <c r="A1396" s="1">
        <v>73</v>
      </c>
      <c r="B1396" s="2">
        <v>41248</v>
      </c>
      <c r="C1396" s="4" t="s">
        <v>13</v>
      </c>
      <c r="D1396" s="1">
        <v>24</v>
      </c>
    </row>
    <row r="1397" spans="1:4" x14ac:dyDescent="0.25">
      <c r="A1397" s="1">
        <v>74</v>
      </c>
      <c r="B1397" s="2">
        <v>41096</v>
      </c>
      <c r="C1397" s="4" t="s">
        <v>11</v>
      </c>
      <c r="D1397" s="1">
        <v>575</v>
      </c>
    </row>
    <row r="1398" spans="1:4" x14ac:dyDescent="0.25">
      <c r="A1398" s="1">
        <v>74</v>
      </c>
      <c r="B1398" s="2">
        <v>41122</v>
      </c>
      <c r="C1398" s="4" t="s">
        <v>11</v>
      </c>
      <c r="D1398" s="1">
        <v>615</v>
      </c>
    </row>
    <row r="1399" spans="1:4" x14ac:dyDescent="0.25">
      <c r="A1399" s="1">
        <v>74</v>
      </c>
      <c r="B1399" s="2">
        <v>41157</v>
      </c>
      <c r="C1399" s="4" t="s">
        <v>11</v>
      </c>
      <c r="D1399" s="1">
        <v>450</v>
      </c>
    </row>
    <row r="1400" spans="1:4" x14ac:dyDescent="0.25">
      <c r="A1400" s="1">
        <v>74</v>
      </c>
      <c r="B1400" s="2">
        <v>41185</v>
      </c>
      <c r="C1400" s="4" t="s">
        <v>11</v>
      </c>
      <c r="D1400" s="1">
        <v>666</v>
      </c>
    </row>
    <row r="1401" spans="1:4" x14ac:dyDescent="0.25">
      <c r="A1401" s="1">
        <v>74</v>
      </c>
      <c r="B1401" s="2">
        <v>41220</v>
      </c>
      <c r="C1401" s="4" t="s">
        <v>11</v>
      </c>
      <c r="D1401" s="1">
        <v>603</v>
      </c>
    </row>
    <row r="1402" spans="1:4" x14ac:dyDescent="0.25">
      <c r="A1402" s="1">
        <v>74</v>
      </c>
      <c r="B1402" s="2">
        <v>41248</v>
      </c>
      <c r="C1402" s="4" t="s">
        <v>11</v>
      </c>
      <c r="D1402" s="1">
        <v>510</v>
      </c>
    </row>
    <row r="1403" spans="1:4" x14ac:dyDescent="0.25">
      <c r="A1403" s="1">
        <v>74</v>
      </c>
      <c r="B1403" s="2">
        <v>41096</v>
      </c>
      <c r="C1403" s="4" t="s">
        <v>12</v>
      </c>
      <c r="D1403" s="1">
        <v>9.9</v>
      </c>
    </row>
    <row r="1404" spans="1:4" x14ac:dyDescent="0.25">
      <c r="A1404" s="1">
        <v>74</v>
      </c>
      <c r="B1404" s="2">
        <v>41110</v>
      </c>
      <c r="C1404" s="4" t="s">
        <v>12</v>
      </c>
      <c r="D1404" s="1">
        <v>8.6</v>
      </c>
    </row>
    <row r="1405" spans="1:4" x14ac:dyDescent="0.25">
      <c r="A1405" s="1">
        <v>74</v>
      </c>
      <c r="B1405" s="2">
        <v>41122</v>
      </c>
      <c r="C1405" s="4" t="s">
        <v>12</v>
      </c>
      <c r="D1405" s="1">
        <v>8.8000000000000007</v>
      </c>
    </row>
    <row r="1406" spans="1:4" x14ac:dyDescent="0.25">
      <c r="A1406" s="1">
        <v>74</v>
      </c>
      <c r="B1406" s="2">
        <v>41136</v>
      </c>
      <c r="C1406" s="4" t="s">
        <v>12</v>
      </c>
      <c r="D1406" s="1">
        <v>9.1</v>
      </c>
    </row>
    <row r="1407" spans="1:4" x14ac:dyDescent="0.25">
      <c r="A1407" s="1">
        <v>74</v>
      </c>
      <c r="B1407" s="2">
        <v>41157</v>
      </c>
      <c r="C1407" s="4" t="s">
        <v>12</v>
      </c>
      <c r="D1407" s="1">
        <v>9.8000000000000007</v>
      </c>
    </row>
    <row r="1408" spans="1:4" x14ac:dyDescent="0.25">
      <c r="A1408" s="1">
        <v>74</v>
      </c>
      <c r="B1408" s="2">
        <v>41171</v>
      </c>
      <c r="C1408" s="4" t="s">
        <v>12</v>
      </c>
      <c r="D1408" s="1">
        <v>10.1</v>
      </c>
    </row>
    <row r="1409" spans="1:4" x14ac:dyDescent="0.25">
      <c r="A1409" s="1">
        <v>74</v>
      </c>
      <c r="B1409" s="2">
        <v>41185</v>
      </c>
      <c r="C1409" s="4" t="s">
        <v>12</v>
      </c>
      <c r="D1409" s="1">
        <v>9.6</v>
      </c>
    </row>
    <row r="1410" spans="1:4" x14ac:dyDescent="0.25">
      <c r="A1410" s="1">
        <v>74</v>
      </c>
      <c r="B1410" s="2">
        <v>41199</v>
      </c>
      <c r="C1410" s="4" t="s">
        <v>12</v>
      </c>
      <c r="D1410" s="1">
        <v>10.3</v>
      </c>
    </row>
    <row r="1411" spans="1:4" x14ac:dyDescent="0.25">
      <c r="A1411" s="1">
        <v>74</v>
      </c>
      <c r="B1411" s="2">
        <v>41220</v>
      </c>
      <c r="C1411" s="4" t="s">
        <v>12</v>
      </c>
      <c r="D1411" s="1">
        <v>10.1</v>
      </c>
    </row>
    <row r="1412" spans="1:4" x14ac:dyDescent="0.25">
      <c r="A1412" s="1">
        <v>74</v>
      </c>
      <c r="B1412" s="2">
        <v>41233</v>
      </c>
      <c r="C1412" s="4" t="s">
        <v>12</v>
      </c>
      <c r="D1412" s="1">
        <v>9.9</v>
      </c>
    </row>
    <row r="1413" spans="1:4" x14ac:dyDescent="0.25">
      <c r="A1413" s="1">
        <v>74</v>
      </c>
      <c r="B1413" s="2">
        <v>41248</v>
      </c>
      <c r="C1413" s="4" t="s">
        <v>12</v>
      </c>
      <c r="D1413" s="1">
        <v>10.3</v>
      </c>
    </row>
    <row r="1414" spans="1:4" x14ac:dyDescent="0.25">
      <c r="A1414" s="1">
        <v>74</v>
      </c>
      <c r="B1414" s="2">
        <v>41096</v>
      </c>
      <c r="C1414" s="4" t="s">
        <v>13</v>
      </c>
      <c r="D1414" s="1">
        <v>27</v>
      </c>
    </row>
    <row r="1415" spans="1:4" x14ac:dyDescent="0.25">
      <c r="A1415" s="1">
        <v>74</v>
      </c>
      <c r="B1415" s="2">
        <v>41122</v>
      </c>
      <c r="C1415" s="4" t="s">
        <v>13</v>
      </c>
      <c r="D1415" s="1">
        <v>25</v>
      </c>
    </row>
    <row r="1416" spans="1:4" x14ac:dyDescent="0.25">
      <c r="A1416" s="1">
        <v>74</v>
      </c>
      <c r="B1416" s="2">
        <v>41157</v>
      </c>
      <c r="C1416" s="4" t="s">
        <v>13</v>
      </c>
      <c r="D1416" s="1">
        <v>21</v>
      </c>
    </row>
    <row r="1417" spans="1:4" x14ac:dyDescent="0.25">
      <c r="A1417" s="1">
        <v>74</v>
      </c>
      <c r="B1417" s="2">
        <v>41185</v>
      </c>
      <c r="C1417" s="4" t="s">
        <v>13</v>
      </c>
      <c r="D1417" s="1">
        <v>31</v>
      </c>
    </row>
    <row r="1418" spans="1:4" x14ac:dyDescent="0.25">
      <c r="A1418" s="1">
        <v>74</v>
      </c>
      <c r="B1418" s="2">
        <v>41220</v>
      </c>
      <c r="C1418" s="4" t="s">
        <v>13</v>
      </c>
      <c r="D1418" s="1">
        <v>33</v>
      </c>
    </row>
    <row r="1419" spans="1:4" x14ac:dyDescent="0.25">
      <c r="A1419" s="1">
        <v>74</v>
      </c>
      <c r="B1419" s="2">
        <v>41248</v>
      </c>
      <c r="C1419" s="4" t="s">
        <v>13</v>
      </c>
      <c r="D1419" s="1">
        <v>35</v>
      </c>
    </row>
    <row r="1420" spans="1:4" x14ac:dyDescent="0.25">
      <c r="A1420" s="1">
        <v>75</v>
      </c>
      <c r="B1420" s="2">
        <v>41102</v>
      </c>
      <c r="C1420" s="4" t="s">
        <v>11</v>
      </c>
      <c r="D1420" s="1">
        <v>263</v>
      </c>
    </row>
    <row r="1421" spans="1:4" x14ac:dyDescent="0.25">
      <c r="A1421" s="1">
        <v>75</v>
      </c>
      <c r="B1421" s="2">
        <v>41123</v>
      </c>
      <c r="C1421" s="4" t="s">
        <v>11</v>
      </c>
      <c r="D1421" s="1">
        <v>280</v>
      </c>
    </row>
    <row r="1422" spans="1:4" x14ac:dyDescent="0.25">
      <c r="A1422" s="1">
        <v>75</v>
      </c>
      <c r="B1422" s="2">
        <v>41157</v>
      </c>
      <c r="C1422" s="4" t="s">
        <v>11</v>
      </c>
      <c r="D1422" s="1">
        <v>218</v>
      </c>
    </row>
    <row r="1423" spans="1:4" x14ac:dyDescent="0.25">
      <c r="A1423" s="1">
        <v>75</v>
      </c>
      <c r="B1423" s="2">
        <v>41186</v>
      </c>
      <c r="C1423" s="4" t="s">
        <v>11</v>
      </c>
      <c r="D1423" s="1">
        <v>443</v>
      </c>
    </row>
    <row r="1424" spans="1:4" x14ac:dyDescent="0.25">
      <c r="A1424" s="1">
        <v>75</v>
      </c>
      <c r="B1424" s="2">
        <v>41230</v>
      </c>
      <c r="C1424" s="4" t="s">
        <v>11</v>
      </c>
      <c r="D1424" s="1">
        <v>576</v>
      </c>
    </row>
    <row r="1425" spans="1:4" x14ac:dyDescent="0.25">
      <c r="A1425" s="1">
        <v>75</v>
      </c>
      <c r="B1425" s="2">
        <v>41102</v>
      </c>
      <c r="C1425" s="4" t="s">
        <v>12</v>
      </c>
      <c r="D1425" s="1">
        <v>8.3000000000000007</v>
      </c>
    </row>
    <row r="1426" spans="1:4" x14ac:dyDescent="0.25">
      <c r="A1426" s="1">
        <v>75</v>
      </c>
      <c r="B1426" s="2">
        <v>41109</v>
      </c>
      <c r="C1426" s="4" t="s">
        <v>12</v>
      </c>
      <c r="D1426" s="1">
        <v>8.6</v>
      </c>
    </row>
    <row r="1427" spans="1:4" x14ac:dyDescent="0.25">
      <c r="A1427" s="1">
        <v>75</v>
      </c>
      <c r="B1427" s="2">
        <v>41123</v>
      </c>
      <c r="C1427" s="4" t="s">
        <v>12</v>
      </c>
      <c r="D1427" s="1">
        <v>9.1</v>
      </c>
    </row>
    <row r="1428" spans="1:4" x14ac:dyDescent="0.25">
      <c r="A1428" s="1">
        <v>75</v>
      </c>
      <c r="B1428" s="2">
        <v>41137</v>
      </c>
      <c r="C1428" s="4" t="s">
        <v>12</v>
      </c>
      <c r="D1428" s="1">
        <v>10.1</v>
      </c>
    </row>
    <row r="1429" spans="1:4" x14ac:dyDescent="0.25">
      <c r="A1429" s="1">
        <v>75</v>
      </c>
      <c r="B1429" s="2">
        <v>41157</v>
      </c>
      <c r="C1429" s="4" t="s">
        <v>12</v>
      </c>
      <c r="D1429" s="1">
        <v>10.5</v>
      </c>
    </row>
    <row r="1430" spans="1:4" x14ac:dyDescent="0.25">
      <c r="A1430" s="1">
        <v>75</v>
      </c>
      <c r="B1430" s="2">
        <v>41172</v>
      </c>
      <c r="C1430" s="4" t="s">
        <v>12</v>
      </c>
      <c r="D1430" s="1">
        <v>9.6</v>
      </c>
    </row>
    <row r="1431" spans="1:4" x14ac:dyDescent="0.25">
      <c r="A1431" s="1">
        <v>75</v>
      </c>
      <c r="B1431" s="2">
        <v>41186</v>
      </c>
      <c r="C1431" s="4" t="s">
        <v>12</v>
      </c>
      <c r="D1431" s="1">
        <v>9.6999999999999993</v>
      </c>
    </row>
    <row r="1432" spans="1:4" x14ac:dyDescent="0.25">
      <c r="A1432" s="1">
        <v>75</v>
      </c>
      <c r="B1432" s="2">
        <v>41200</v>
      </c>
      <c r="C1432" s="4" t="s">
        <v>12</v>
      </c>
      <c r="D1432" s="1">
        <v>9.1999999999999993</v>
      </c>
    </row>
    <row r="1433" spans="1:4" x14ac:dyDescent="0.25">
      <c r="A1433" s="1">
        <v>75</v>
      </c>
      <c r="B1433" s="2">
        <v>41230</v>
      </c>
      <c r="C1433" s="4" t="s">
        <v>12</v>
      </c>
      <c r="D1433" s="1">
        <v>9.8000000000000007</v>
      </c>
    </row>
    <row r="1434" spans="1:4" x14ac:dyDescent="0.25">
      <c r="A1434" s="1">
        <v>75</v>
      </c>
      <c r="B1434" s="2">
        <v>41102</v>
      </c>
      <c r="C1434" s="4" t="s">
        <v>13</v>
      </c>
      <c r="D1434" s="1">
        <v>15</v>
      </c>
    </row>
    <row r="1435" spans="1:4" x14ac:dyDescent="0.25">
      <c r="A1435" s="1">
        <v>75</v>
      </c>
      <c r="B1435" s="2">
        <v>41123</v>
      </c>
      <c r="C1435" s="4" t="s">
        <v>13</v>
      </c>
      <c r="D1435" s="1">
        <v>15</v>
      </c>
    </row>
    <row r="1436" spans="1:4" x14ac:dyDescent="0.25">
      <c r="A1436" s="1">
        <v>75</v>
      </c>
      <c r="B1436" s="2">
        <v>41157</v>
      </c>
      <c r="C1436" s="4" t="s">
        <v>13</v>
      </c>
      <c r="D1436" s="1">
        <v>13</v>
      </c>
    </row>
    <row r="1437" spans="1:4" x14ac:dyDescent="0.25">
      <c r="A1437" s="1">
        <v>75</v>
      </c>
      <c r="B1437" s="2">
        <v>41186</v>
      </c>
      <c r="C1437" s="4" t="s">
        <v>13</v>
      </c>
      <c r="D1437" s="1">
        <v>16</v>
      </c>
    </row>
    <row r="1438" spans="1:4" x14ac:dyDescent="0.25">
      <c r="A1438" s="1">
        <v>75</v>
      </c>
      <c r="B1438" s="2">
        <v>41230</v>
      </c>
      <c r="C1438" s="4" t="s">
        <v>13</v>
      </c>
      <c r="D1438" s="1">
        <v>21</v>
      </c>
    </row>
    <row r="1439" spans="1:4" x14ac:dyDescent="0.25">
      <c r="A1439" s="1">
        <v>76</v>
      </c>
      <c r="B1439" s="2">
        <v>41209</v>
      </c>
      <c r="C1439" s="4" t="s">
        <v>11</v>
      </c>
      <c r="D1439" s="1">
        <v>1200</v>
      </c>
    </row>
    <row r="1440" spans="1:4" x14ac:dyDescent="0.25">
      <c r="A1440" s="1">
        <v>76</v>
      </c>
      <c r="B1440" s="2">
        <v>41221</v>
      </c>
      <c r="C1440" s="4" t="s">
        <v>11</v>
      </c>
      <c r="D1440" s="1">
        <v>854</v>
      </c>
    </row>
    <row r="1441" spans="1:4" x14ac:dyDescent="0.25">
      <c r="A1441" s="1">
        <v>76</v>
      </c>
      <c r="B1441" s="2">
        <v>41209</v>
      </c>
      <c r="C1441" s="4" t="s">
        <v>12</v>
      </c>
      <c r="D1441" s="1">
        <v>7.8</v>
      </c>
    </row>
    <row r="1442" spans="1:4" x14ac:dyDescent="0.25">
      <c r="A1442" s="1">
        <v>76</v>
      </c>
      <c r="B1442" s="2">
        <v>41221</v>
      </c>
      <c r="C1442" s="4" t="s">
        <v>12</v>
      </c>
      <c r="D1442" s="1">
        <v>8.5</v>
      </c>
    </row>
    <row r="1443" spans="1:4" x14ac:dyDescent="0.25">
      <c r="A1443" s="1">
        <v>76</v>
      </c>
      <c r="B1443" s="2">
        <v>41232</v>
      </c>
      <c r="C1443" s="4" t="s">
        <v>12</v>
      </c>
      <c r="D1443" s="1">
        <v>10.6</v>
      </c>
    </row>
    <row r="1444" spans="1:4" x14ac:dyDescent="0.25">
      <c r="A1444" s="1">
        <v>76</v>
      </c>
      <c r="B1444" s="2">
        <v>41209</v>
      </c>
      <c r="C1444" s="4" t="s">
        <v>13</v>
      </c>
      <c r="D1444" s="1">
        <v>30</v>
      </c>
    </row>
    <row r="1445" spans="1:4" x14ac:dyDescent="0.25">
      <c r="A1445" s="1">
        <v>76</v>
      </c>
      <c r="B1445" s="2">
        <v>41221</v>
      </c>
      <c r="C1445" s="4" t="s">
        <v>13</v>
      </c>
      <c r="D1445" s="1">
        <v>27</v>
      </c>
    </row>
    <row r="1446" spans="1:4" x14ac:dyDescent="0.25">
      <c r="A1446" s="1">
        <v>77</v>
      </c>
      <c r="B1446" s="2">
        <v>41093</v>
      </c>
      <c r="C1446" s="4" t="s">
        <v>11</v>
      </c>
      <c r="D1446" s="1">
        <v>573</v>
      </c>
    </row>
    <row r="1447" spans="1:4" x14ac:dyDescent="0.25">
      <c r="A1447" s="1">
        <v>77</v>
      </c>
      <c r="B1447" s="2">
        <v>41125</v>
      </c>
      <c r="C1447" s="4" t="s">
        <v>11</v>
      </c>
      <c r="D1447" s="1">
        <v>328</v>
      </c>
    </row>
    <row r="1448" spans="1:4" x14ac:dyDescent="0.25">
      <c r="A1448" s="1">
        <v>77</v>
      </c>
      <c r="B1448" s="2">
        <v>41159</v>
      </c>
      <c r="C1448" s="4" t="s">
        <v>11</v>
      </c>
      <c r="D1448" s="1">
        <v>854</v>
      </c>
    </row>
    <row r="1449" spans="1:4" x14ac:dyDescent="0.25">
      <c r="A1449" s="1">
        <v>77</v>
      </c>
      <c r="B1449" s="2">
        <v>41183</v>
      </c>
      <c r="C1449" s="4" t="s">
        <v>11</v>
      </c>
      <c r="D1449" s="1">
        <v>866</v>
      </c>
    </row>
    <row r="1450" spans="1:4" x14ac:dyDescent="0.25">
      <c r="A1450" s="1">
        <v>77</v>
      </c>
      <c r="B1450" s="2">
        <v>41218</v>
      </c>
      <c r="C1450" s="4" t="s">
        <v>11</v>
      </c>
      <c r="D1450" s="1">
        <v>899</v>
      </c>
    </row>
    <row r="1451" spans="1:4" x14ac:dyDescent="0.25">
      <c r="A1451" s="1">
        <v>77</v>
      </c>
      <c r="B1451" s="2">
        <v>41246</v>
      </c>
      <c r="C1451" s="4" t="s">
        <v>11</v>
      </c>
      <c r="D1451" s="1">
        <v>779</v>
      </c>
    </row>
    <row r="1452" spans="1:4" x14ac:dyDescent="0.25">
      <c r="A1452" s="1">
        <v>77</v>
      </c>
      <c r="B1452" s="2">
        <v>41093</v>
      </c>
      <c r="C1452" s="4" t="s">
        <v>12</v>
      </c>
      <c r="D1452" s="1">
        <v>11.9</v>
      </c>
    </row>
    <row r="1453" spans="1:4" x14ac:dyDescent="0.25">
      <c r="A1453" s="1">
        <v>77</v>
      </c>
      <c r="B1453" s="2">
        <v>41104</v>
      </c>
      <c r="C1453" s="4" t="s">
        <v>12</v>
      </c>
      <c r="D1453" s="1">
        <v>11.1</v>
      </c>
    </row>
    <row r="1454" spans="1:4" x14ac:dyDescent="0.25">
      <c r="A1454" s="1">
        <v>77</v>
      </c>
      <c r="B1454" s="2">
        <v>41111</v>
      </c>
      <c r="C1454" s="4" t="s">
        <v>12</v>
      </c>
      <c r="D1454" s="1">
        <v>10.6</v>
      </c>
    </row>
    <row r="1455" spans="1:4" x14ac:dyDescent="0.25">
      <c r="A1455" s="1">
        <v>77</v>
      </c>
      <c r="B1455" s="2">
        <v>41125</v>
      </c>
      <c r="C1455" s="4" t="s">
        <v>12</v>
      </c>
      <c r="D1455" s="1">
        <v>11.1</v>
      </c>
    </row>
    <row r="1456" spans="1:4" x14ac:dyDescent="0.25">
      <c r="A1456" s="1">
        <v>77</v>
      </c>
      <c r="B1456" s="2">
        <v>41135</v>
      </c>
      <c r="C1456" s="4" t="s">
        <v>12</v>
      </c>
      <c r="D1456" s="1">
        <v>11.6</v>
      </c>
    </row>
    <row r="1457" spans="1:4" x14ac:dyDescent="0.25">
      <c r="A1457" s="1">
        <v>77</v>
      </c>
      <c r="B1457" s="2">
        <v>41142</v>
      </c>
      <c r="C1457" s="4" t="s">
        <v>12</v>
      </c>
      <c r="D1457" s="1">
        <v>12</v>
      </c>
    </row>
    <row r="1458" spans="1:4" x14ac:dyDescent="0.25">
      <c r="A1458" s="1">
        <v>77</v>
      </c>
      <c r="B1458" s="2">
        <v>41159</v>
      </c>
      <c r="C1458" s="4" t="s">
        <v>12</v>
      </c>
      <c r="D1458" s="1">
        <v>11.5</v>
      </c>
    </row>
    <row r="1459" spans="1:4" x14ac:dyDescent="0.25">
      <c r="A1459" s="1">
        <v>77</v>
      </c>
      <c r="B1459" s="2">
        <v>41173</v>
      </c>
      <c r="C1459" s="4" t="s">
        <v>12</v>
      </c>
      <c r="D1459" s="1">
        <v>11.1</v>
      </c>
    </row>
    <row r="1460" spans="1:4" x14ac:dyDescent="0.25">
      <c r="A1460" s="1">
        <v>77</v>
      </c>
      <c r="B1460" s="2">
        <v>41183</v>
      </c>
      <c r="C1460" s="4" t="s">
        <v>12</v>
      </c>
      <c r="D1460" s="1">
        <v>12.3</v>
      </c>
    </row>
    <row r="1461" spans="1:4" x14ac:dyDescent="0.25">
      <c r="A1461" s="1">
        <v>77</v>
      </c>
      <c r="B1461" s="2">
        <v>41201</v>
      </c>
      <c r="C1461" s="4" t="s">
        <v>12</v>
      </c>
      <c r="D1461" s="1">
        <v>10.8</v>
      </c>
    </row>
    <row r="1462" spans="1:4" x14ac:dyDescent="0.25">
      <c r="A1462" s="1">
        <v>77</v>
      </c>
      <c r="B1462" s="2">
        <v>41218</v>
      </c>
      <c r="C1462" s="4" t="s">
        <v>12</v>
      </c>
      <c r="D1462" s="1">
        <v>9.9</v>
      </c>
    </row>
    <row r="1463" spans="1:4" x14ac:dyDescent="0.25">
      <c r="A1463" s="1">
        <v>77</v>
      </c>
      <c r="B1463" s="2">
        <v>41236</v>
      </c>
      <c r="C1463" s="4" t="s">
        <v>12</v>
      </c>
      <c r="D1463" s="1">
        <v>8.6999999999999993</v>
      </c>
    </row>
    <row r="1464" spans="1:4" x14ac:dyDescent="0.25">
      <c r="A1464" s="1">
        <v>77</v>
      </c>
      <c r="B1464" s="2">
        <v>41246</v>
      </c>
      <c r="C1464" s="4" t="s">
        <v>12</v>
      </c>
      <c r="D1464" s="1">
        <v>9.1</v>
      </c>
    </row>
    <row r="1465" spans="1:4" x14ac:dyDescent="0.25">
      <c r="A1465" s="1">
        <v>77</v>
      </c>
      <c r="B1465" s="2">
        <v>41093</v>
      </c>
      <c r="C1465" s="4" t="s">
        <v>13</v>
      </c>
      <c r="D1465" s="1">
        <v>26</v>
      </c>
    </row>
    <row r="1466" spans="1:4" x14ac:dyDescent="0.25">
      <c r="A1466" s="1">
        <v>77</v>
      </c>
      <c r="B1466" s="2">
        <v>41125</v>
      </c>
      <c r="C1466" s="4" t="s">
        <v>13</v>
      </c>
      <c r="D1466" s="1">
        <v>15</v>
      </c>
    </row>
    <row r="1467" spans="1:4" x14ac:dyDescent="0.25">
      <c r="A1467" s="1">
        <v>77</v>
      </c>
      <c r="B1467" s="2">
        <v>41159</v>
      </c>
      <c r="C1467" s="4" t="s">
        <v>13</v>
      </c>
      <c r="D1467" s="1">
        <v>53</v>
      </c>
    </row>
    <row r="1468" spans="1:4" x14ac:dyDescent="0.25">
      <c r="A1468" s="1">
        <v>77</v>
      </c>
      <c r="B1468" s="2">
        <v>41183</v>
      </c>
      <c r="C1468" s="4" t="s">
        <v>13</v>
      </c>
      <c r="D1468" s="1">
        <v>18</v>
      </c>
    </row>
    <row r="1469" spans="1:4" x14ac:dyDescent="0.25">
      <c r="A1469" s="1">
        <v>77</v>
      </c>
      <c r="B1469" s="2">
        <v>41218</v>
      </c>
      <c r="C1469" s="4" t="s">
        <v>13</v>
      </c>
      <c r="D1469" s="1">
        <v>45</v>
      </c>
    </row>
    <row r="1470" spans="1:4" x14ac:dyDescent="0.25">
      <c r="A1470" s="1">
        <v>77</v>
      </c>
      <c r="B1470" s="2">
        <v>41246</v>
      </c>
      <c r="C1470" s="4" t="s">
        <v>13</v>
      </c>
      <c r="D1470" s="1">
        <v>34</v>
      </c>
    </row>
    <row r="1471" spans="1:4" x14ac:dyDescent="0.25">
      <c r="A1471" s="1">
        <v>78</v>
      </c>
      <c r="B1471" s="2">
        <v>41094</v>
      </c>
      <c r="C1471" s="4" t="s">
        <v>11</v>
      </c>
      <c r="D1471" s="1">
        <v>457</v>
      </c>
    </row>
    <row r="1472" spans="1:4" x14ac:dyDescent="0.25">
      <c r="A1472" s="1">
        <v>78</v>
      </c>
      <c r="B1472" s="2">
        <v>41122</v>
      </c>
      <c r="C1472" s="4" t="s">
        <v>11</v>
      </c>
      <c r="D1472" s="1">
        <v>477</v>
      </c>
    </row>
    <row r="1473" spans="1:4" x14ac:dyDescent="0.25">
      <c r="A1473" s="1">
        <v>78</v>
      </c>
      <c r="B1473" s="2">
        <v>41218</v>
      </c>
      <c r="C1473" s="4" t="s">
        <v>11</v>
      </c>
      <c r="D1473" s="1">
        <v>1098</v>
      </c>
    </row>
    <row r="1474" spans="1:4" x14ac:dyDescent="0.25">
      <c r="A1474" s="1">
        <v>78</v>
      </c>
      <c r="B1474" s="2">
        <v>41094</v>
      </c>
      <c r="C1474" s="4" t="s">
        <v>12</v>
      </c>
      <c r="D1474" s="1">
        <v>11.5</v>
      </c>
    </row>
    <row r="1475" spans="1:4" x14ac:dyDescent="0.25">
      <c r="A1475" s="1">
        <v>78</v>
      </c>
      <c r="B1475" s="2">
        <v>41122</v>
      </c>
      <c r="C1475" s="4" t="s">
        <v>12</v>
      </c>
      <c r="D1475" s="1">
        <v>11.3</v>
      </c>
    </row>
    <row r="1476" spans="1:4" x14ac:dyDescent="0.25">
      <c r="A1476" s="1">
        <v>78</v>
      </c>
      <c r="B1476" s="2">
        <v>41136</v>
      </c>
      <c r="C1476" s="4" t="s">
        <v>12</v>
      </c>
      <c r="D1476" s="1">
        <v>11.6</v>
      </c>
    </row>
    <row r="1477" spans="1:4" x14ac:dyDescent="0.25">
      <c r="A1477" s="1">
        <v>78</v>
      </c>
      <c r="B1477" s="2">
        <v>41143</v>
      </c>
      <c r="C1477" s="4" t="s">
        <v>12</v>
      </c>
      <c r="D1477" s="1">
        <v>11.9</v>
      </c>
    </row>
    <row r="1478" spans="1:4" x14ac:dyDescent="0.25">
      <c r="A1478" s="1">
        <v>78</v>
      </c>
      <c r="B1478" s="2">
        <v>41218</v>
      </c>
      <c r="C1478" s="4" t="s">
        <v>12</v>
      </c>
      <c r="D1478" s="1">
        <v>11.5</v>
      </c>
    </row>
    <row r="1479" spans="1:4" x14ac:dyDescent="0.25">
      <c r="A1479" s="1">
        <v>78</v>
      </c>
      <c r="B1479" s="2">
        <v>41236</v>
      </c>
      <c r="C1479" s="4" t="s">
        <v>12</v>
      </c>
      <c r="D1479" s="1">
        <v>10.4</v>
      </c>
    </row>
    <row r="1480" spans="1:4" x14ac:dyDescent="0.25">
      <c r="A1480" s="1">
        <v>78</v>
      </c>
      <c r="B1480" s="2">
        <v>41094</v>
      </c>
      <c r="C1480" s="4" t="s">
        <v>13</v>
      </c>
      <c r="D1480" s="1">
        <v>24</v>
      </c>
    </row>
    <row r="1481" spans="1:4" x14ac:dyDescent="0.25">
      <c r="A1481" s="1">
        <v>78</v>
      </c>
      <c r="B1481" s="2">
        <v>41122</v>
      </c>
      <c r="C1481" s="4" t="s">
        <v>13</v>
      </c>
      <c r="D1481" s="1">
        <v>19</v>
      </c>
    </row>
    <row r="1482" spans="1:4" x14ac:dyDescent="0.25">
      <c r="A1482" s="1">
        <v>78</v>
      </c>
      <c r="B1482" s="2">
        <v>41218</v>
      </c>
      <c r="C1482" s="4" t="s">
        <v>13</v>
      </c>
      <c r="D1482" s="1">
        <v>19</v>
      </c>
    </row>
    <row r="1483" spans="1:4" x14ac:dyDescent="0.25">
      <c r="A1483" s="1">
        <v>80</v>
      </c>
      <c r="B1483" s="2">
        <v>41094</v>
      </c>
      <c r="C1483" s="4" t="s">
        <v>11</v>
      </c>
      <c r="D1483" s="1">
        <v>942</v>
      </c>
    </row>
    <row r="1484" spans="1:4" x14ac:dyDescent="0.25">
      <c r="A1484" s="1">
        <v>80</v>
      </c>
      <c r="B1484" s="2">
        <v>41122</v>
      </c>
      <c r="C1484" s="4" t="s">
        <v>11</v>
      </c>
      <c r="D1484" s="1">
        <v>843</v>
      </c>
    </row>
    <row r="1485" spans="1:4" x14ac:dyDescent="0.25">
      <c r="A1485" s="1">
        <v>80</v>
      </c>
      <c r="B1485" s="2">
        <v>41157</v>
      </c>
      <c r="C1485" s="4" t="s">
        <v>11</v>
      </c>
      <c r="D1485" s="1">
        <v>712</v>
      </c>
    </row>
    <row r="1486" spans="1:4" x14ac:dyDescent="0.25">
      <c r="A1486" s="1">
        <v>80</v>
      </c>
      <c r="B1486" s="2">
        <v>41094</v>
      </c>
      <c r="C1486" s="4" t="s">
        <v>12</v>
      </c>
      <c r="D1486" s="1">
        <v>11.4</v>
      </c>
    </row>
    <row r="1487" spans="1:4" x14ac:dyDescent="0.25">
      <c r="A1487" s="1">
        <v>80</v>
      </c>
      <c r="B1487" s="2">
        <v>41108</v>
      </c>
      <c r="C1487" s="4" t="s">
        <v>12</v>
      </c>
      <c r="D1487" s="1">
        <v>11.4</v>
      </c>
    </row>
    <row r="1488" spans="1:4" x14ac:dyDescent="0.25">
      <c r="A1488" s="1">
        <v>80</v>
      </c>
      <c r="B1488" s="2">
        <v>41122</v>
      </c>
      <c r="C1488" s="4" t="s">
        <v>12</v>
      </c>
      <c r="D1488" s="1">
        <v>11</v>
      </c>
    </row>
    <row r="1489" spans="1:4" x14ac:dyDescent="0.25">
      <c r="A1489" s="1">
        <v>80</v>
      </c>
      <c r="B1489" s="2">
        <v>41157</v>
      </c>
      <c r="C1489" s="4" t="s">
        <v>12</v>
      </c>
      <c r="D1489" s="1">
        <v>9.9</v>
      </c>
    </row>
    <row r="1490" spans="1:4" x14ac:dyDescent="0.25">
      <c r="A1490" s="1">
        <v>80</v>
      </c>
      <c r="B1490" s="2">
        <v>41094</v>
      </c>
      <c r="C1490" s="4" t="s">
        <v>13</v>
      </c>
      <c r="D1490" s="1">
        <v>24</v>
      </c>
    </row>
    <row r="1491" spans="1:4" x14ac:dyDescent="0.25">
      <c r="A1491" s="1">
        <v>80</v>
      </c>
      <c r="B1491" s="2">
        <v>41122</v>
      </c>
      <c r="C1491" s="4" t="s">
        <v>13</v>
      </c>
      <c r="D1491" s="1">
        <v>13</v>
      </c>
    </row>
    <row r="1492" spans="1:4" x14ac:dyDescent="0.25">
      <c r="A1492" s="1">
        <v>80</v>
      </c>
      <c r="B1492" s="2">
        <v>41157</v>
      </c>
      <c r="C1492" s="4" t="s">
        <v>13</v>
      </c>
      <c r="D1492" s="1">
        <v>36</v>
      </c>
    </row>
    <row r="1493" spans="1:4" x14ac:dyDescent="0.25">
      <c r="A1493" s="1">
        <v>81</v>
      </c>
      <c r="B1493" s="2">
        <v>41095</v>
      </c>
      <c r="C1493" s="4" t="s">
        <v>11</v>
      </c>
      <c r="D1493" s="1">
        <v>1157</v>
      </c>
    </row>
    <row r="1494" spans="1:4" x14ac:dyDescent="0.25">
      <c r="A1494" s="1">
        <v>81</v>
      </c>
      <c r="B1494" s="2">
        <v>41123</v>
      </c>
      <c r="C1494" s="4" t="s">
        <v>11</v>
      </c>
      <c r="D1494" s="1">
        <v>1184</v>
      </c>
    </row>
    <row r="1495" spans="1:4" x14ac:dyDescent="0.25">
      <c r="A1495" s="1">
        <v>81</v>
      </c>
      <c r="B1495" s="2">
        <v>41156</v>
      </c>
      <c r="C1495" s="4" t="s">
        <v>11</v>
      </c>
      <c r="D1495" s="1">
        <v>869</v>
      </c>
    </row>
    <row r="1496" spans="1:4" x14ac:dyDescent="0.25">
      <c r="A1496" s="1">
        <v>81</v>
      </c>
      <c r="B1496" s="2">
        <v>41186</v>
      </c>
      <c r="C1496" s="4" t="s">
        <v>11</v>
      </c>
      <c r="D1496" s="1">
        <v>630</v>
      </c>
    </row>
    <row r="1497" spans="1:4" x14ac:dyDescent="0.25">
      <c r="A1497" s="1">
        <v>81</v>
      </c>
      <c r="B1497" s="2">
        <v>41221</v>
      </c>
      <c r="C1497" s="4" t="s">
        <v>11</v>
      </c>
      <c r="D1497" s="1">
        <v>492</v>
      </c>
    </row>
    <row r="1498" spans="1:4" x14ac:dyDescent="0.25">
      <c r="A1498" s="1">
        <v>81</v>
      </c>
      <c r="B1498" s="2">
        <v>41095</v>
      </c>
      <c r="C1498" s="4" t="s">
        <v>12</v>
      </c>
      <c r="D1498" s="1">
        <v>9.6999999999999993</v>
      </c>
    </row>
    <row r="1499" spans="1:4" x14ac:dyDescent="0.25">
      <c r="A1499" s="1">
        <v>81</v>
      </c>
      <c r="B1499" s="2">
        <v>41109</v>
      </c>
      <c r="C1499" s="4" t="s">
        <v>12</v>
      </c>
      <c r="D1499" s="1">
        <v>9.4</v>
      </c>
    </row>
    <row r="1500" spans="1:4" x14ac:dyDescent="0.25">
      <c r="A1500" s="1">
        <v>81</v>
      </c>
      <c r="B1500" s="2">
        <v>41123</v>
      </c>
      <c r="C1500" s="4" t="s">
        <v>12</v>
      </c>
      <c r="D1500" s="1">
        <v>9.3000000000000007</v>
      </c>
    </row>
    <row r="1501" spans="1:4" x14ac:dyDescent="0.25">
      <c r="A1501" s="1">
        <v>81</v>
      </c>
      <c r="B1501" s="2">
        <v>41137</v>
      </c>
      <c r="C1501" s="4" t="s">
        <v>12</v>
      </c>
      <c r="D1501" s="1">
        <v>9.5</v>
      </c>
    </row>
    <row r="1502" spans="1:4" x14ac:dyDescent="0.25">
      <c r="A1502" s="1">
        <v>81</v>
      </c>
      <c r="B1502" s="2">
        <v>41156</v>
      </c>
      <c r="C1502" s="4" t="s">
        <v>12</v>
      </c>
      <c r="D1502" s="1">
        <v>9.6</v>
      </c>
    </row>
    <row r="1503" spans="1:4" x14ac:dyDescent="0.25">
      <c r="A1503" s="1">
        <v>81</v>
      </c>
      <c r="B1503" s="2">
        <v>41172</v>
      </c>
      <c r="C1503" s="4" t="s">
        <v>12</v>
      </c>
      <c r="D1503" s="1">
        <v>10.7</v>
      </c>
    </row>
    <row r="1504" spans="1:4" x14ac:dyDescent="0.25">
      <c r="A1504" s="1">
        <v>81</v>
      </c>
      <c r="B1504" s="2">
        <v>41186</v>
      </c>
      <c r="C1504" s="4" t="s">
        <v>12</v>
      </c>
      <c r="D1504" s="1">
        <v>11.5</v>
      </c>
    </row>
    <row r="1505" spans="1:4" x14ac:dyDescent="0.25">
      <c r="A1505" s="1">
        <v>81</v>
      </c>
      <c r="B1505" s="2">
        <v>41200</v>
      </c>
      <c r="C1505" s="4" t="s">
        <v>12</v>
      </c>
      <c r="D1505" s="1">
        <v>11.5</v>
      </c>
    </row>
    <row r="1506" spans="1:4" x14ac:dyDescent="0.25">
      <c r="A1506" s="1">
        <v>81</v>
      </c>
      <c r="B1506" s="2">
        <v>41221</v>
      </c>
      <c r="C1506" s="4" t="s">
        <v>12</v>
      </c>
      <c r="D1506" s="1">
        <v>10.9</v>
      </c>
    </row>
    <row r="1507" spans="1:4" x14ac:dyDescent="0.25">
      <c r="A1507" s="1">
        <v>81</v>
      </c>
      <c r="B1507" s="2">
        <v>41232</v>
      </c>
      <c r="C1507" s="4" t="s">
        <v>12</v>
      </c>
      <c r="D1507" s="1">
        <v>10.6</v>
      </c>
    </row>
    <row r="1508" spans="1:4" x14ac:dyDescent="0.25">
      <c r="A1508" s="1">
        <v>81</v>
      </c>
      <c r="B1508" s="2">
        <v>41095</v>
      </c>
      <c r="C1508" s="4" t="s">
        <v>13</v>
      </c>
      <c r="D1508" s="1">
        <v>22</v>
      </c>
    </row>
    <row r="1509" spans="1:4" x14ac:dyDescent="0.25">
      <c r="A1509" s="1">
        <v>81</v>
      </c>
      <c r="B1509" s="2">
        <v>41123</v>
      </c>
      <c r="C1509" s="4" t="s">
        <v>13</v>
      </c>
      <c r="D1509" s="1">
        <v>25</v>
      </c>
    </row>
    <row r="1510" spans="1:4" x14ac:dyDescent="0.25">
      <c r="A1510" s="1">
        <v>81</v>
      </c>
      <c r="B1510" s="2">
        <v>41156</v>
      </c>
      <c r="C1510" s="4" t="s">
        <v>13</v>
      </c>
      <c r="D1510" s="1">
        <v>22</v>
      </c>
    </row>
    <row r="1511" spans="1:4" x14ac:dyDescent="0.25">
      <c r="A1511" s="1">
        <v>81</v>
      </c>
      <c r="B1511" s="2">
        <v>41186</v>
      </c>
      <c r="C1511" s="4" t="s">
        <v>13</v>
      </c>
      <c r="D1511" s="1">
        <v>36</v>
      </c>
    </row>
    <row r="1512" spans="1:4" x14ac:dyDescent="0.25">
      <c r="A1512" s="1">
        <v>81</v>
      </c>
      <c r="B1512" s="2">
        <v>41221</v>
      </c>
      <c r="C1512" s="4" t="s">
        <v>13</v>
      </c>
      <c r="D1512" s="1">
        <v>44</v>
      </c>
    </row>
    <row r="1513" spans="1:4" x14ac:dyDescent="0.25">
      <c r="A1513" s="1">
        <v>82</v>
      </c>
      <c r="B1513" s="2">
        <v>41094</v>
      </c>
      <c r="C1513" s="4" t="s">
        <v>11</v>
      </c>
      <c r="D1513" s="1">
        <v>604</v>
      </c>
    </row>
    <row r="1514" spans="1:4" x14ac:dyDescent="0.25">
      <c r="A1514" s="1">
        <v>82</v>
      </c>
      <c r="B1514" s="2">
        <v>41122</v>
      </c>
      <c r="C1514" s="4" t="s">
        <v>11</v>
      </c>
      <c r="D1514" s="1">
        <v>631</v>
      </c>
    </row>
    <row r="1515" spans="1:4" x14ac:dyDescent="0.25">
      <c r="A1515" s="1">
        <v>82</v>
      </c>
      <c r="B1515" s="2">
        <v>41157</v>
      </c>
      <c r="C1515" s="4" t="s">
        <v>11</v>
      </c>
      <c r="D1515" s="1">
        <v>540</v>
      </c>
    </row>
    <row r="1516" spans="1:4" x14ac:dyDescent="0.25">
      <c r="A1516" s="1">
        <v>82</v>
      </c>
      <c r="B1516" s="2">
        <v>41185</v>
      </c>
      <c r="C1516" s="4" t="s">
        <v>11</v>
      </c>
      <c r="D1516" s="1">
        <v>527</v>
      </c>
    </row>
    <row r="1517" spans="1:4" x14ac:dyDescent="0.25">
      <c r="A1517" s="1">
        <v>82</v>
      </c>
      <c r="B1517" s="2">
        <v>41220</v>
      </c>
      <c r="C1517" s="4" t="s">
        <v>11</v>
      </c>
      <c r="D1517" s="1">
        <v>811</v>
      </c>
    </row>
    <row r="1518" spans="1:4" x14ac:dyDescent="0.25">
      <c r="A1518" s="1">
        <v>82</v>
      </c>
      <c r="B1518" s="2">
        <v>41248</v>
      </c>
      <c r="C1518" s="4" t="s">
        <v>11</v>
      </c>
      <c r="D1518" s="1">
        <v>415</v>
      </c>
    </row>
    <row r="1519" spans="1:4" x14ac:dyDescent="0.25">
      <c r="A1519" s="1">
        <v>82</v>
      </c>
      <c r="B1519" s="2">
        <v>41094</v>
      </c>
      <c r="C1519" s="4" t="s">
        <v>12</v>
      </c>
      <c r="D1519" s="1">
        <v>11.3</v>
      </c>
    </row>
    <row r="1520" spans="1:4" x14ac:dyDescent="0.25">
      <c r="A1520" s="1">
        <v>82</v>
      </c>
      <c r="B1520" s="2">
        <v>41108</v>
      </c>
      <c r="C1520" s="4" t="s">
        <v>12</v>
      </c>
      <c r="D1520" s="1">
        <v>11.3</v>
      </c>
    </row>
    <row r="1521" spans="1:4" x14ac:dyDescent="0.25">
      <c r="A1521" s="1">
        <v>82</v>
      </c>
      <c r="B1521" s="2">
        <v>41122</v>
      </c>
      <c r="C1521" s="4" t="s">
        <v>12</v>
      </c>
      <c r="D1521" s="1">
        <v>11.6</v>
      </c>
    </row>
    <row r="1522" spans="1:4" x14ac:dyDescent="0.25">
      <c r="A1522" s="1">
        <v>82</v>
      </c>
      <c r="B1522" s="2">
        <v>41129</v>
      </c>
      <c r="C1522" s="4" t="s">
        <v>12</v>
      </c>
      <c r="D1522" s="1">
        <v>11</v>
      </c>
    </row>
    <row r="1523" spans="1:4" x14ac:dyDescent="0.25">
      <c r="A1523" s="1">
        <v>82</v>
      </c>
      <c r="B1523" s="2">
        <v>41136</v>
      </c>
      <c r="C1523" s="4" t="s">
        <v>12</v>
      </c>
      <c r="D1523" s="1">
        <v>10.3</v>
      </c>
    </row>
    <row r="1524" spans="1:4" x14ac:dyDescent="0.25">
      <c r="A1524" s="1">
        <v>82</v>
      </c>
      <c r="B1524" s="2">
        <v>41157</v>
      </c>
      <c r="C1524" s="4" t="s">
        <v>12</v>
      </c>
      <c r="D1524" s="1">
        <v>10.4</v>
      </c>
    </row>
    <row r="1525" spans="1:4" x14ac:dyDescent="0.25">
      <c r="A1525" s="1">
        <v>82</v>
      </c>
      <c r="B1525" s="2">
        <v>41171</v>
      </c>
      <c r="C1525" s="4" t="s">
        <v>12</v>
      </c>
      <c r="D1525" s="1">
        <v>11.2</v>
      </c>
    </row>
    <row r="1526" spans="1:4" x14ac:dyDescent="0.25">
      <c r="A1526" s="1">
        <v>82</v>
      </c>
      <c r="B1526" s="2">
        <v>41185</v>
      </c>
      <c r="C1526" s="4" t="s">
        <v>12</v>
      </c>
      <c r="D1526" s="1">
        <v>10.8</v>
      </c>
    </row>
    <row r="1527" spans="1:4" x14ac:dyDescent="0.25">
      <c r="A1527" s="1">
        <v>82</v>
      </c>
      <c r="B1527" s="2">
        <v>41199</v>
      </c>
      <c r="C1527" s="4" t="s">
        <v>12</v>
      </c>
      <c r="D1527" s="1">
        <v>10.7</v>
      </c>
    </row>
    <row r="1528" spans="1:4" x14ac:dyDescent="0.25">
      <c r="A1528" s="1">
        <v>82</v>
      </c>
      <c r="B1528" s="2">
        <v>41220</v>
      </c>
      <c r="C1528" s="4" t="s">
        <v>12</v>
      </c>
      <c r="D1528" s="1">
        <v>10.9</v>
      </c>
    </row>
    <row r="1529" spans="1:4" x14ac:dyDescent="0.25">
      <c r="A1529" s="1">
        <v>82</v>
      </c>
      <c r="B1529" s="2">
        <v>41233</v>
      </c>
      <c r="C1529" s="4" t="s">
        <v>12</v>
      </c>
      <c r="D1529" s="1">
        <v>9.4</v>
      </c>
    </row>
    <row r="1530" spans="1:4" x14ac:dyDescent="0.25">
      <c r="A1530" s="1">
        <v>82</v>
      </c>
      <c r="B1530" s="2">
        <v>41248</v>
      </c>
      <c r="C1530" s="4" t="s">
        <v>12</v>
      </c>
      <c r="D1530" s="1">
        <v>10.5</v>
      </c>
    </row>
    <row r="1531" spans="1:4" x14ac:dyDescent="0.25">
      <c r="A1531" s="1">
        <v>82</v>
      </c>
      <c r="B1531" s="2">
        <v>41094</v>
      </c>
      <c r="C1531" s="4" t="s">
        <v>13</v>
      </c>
      <c r="D1531" s="1">
        <v>34</v>
      </c>
    </row>
    <row r="1532" spans="1:4" x14ac:dyDescent="0.25">
      <c r="A1532" s="1">
        <v>82</v>
      </c>
      <c r="B1532" s="2">
        <v>41122</v>
      </c>
      <c r="C1532" s="4" t="s">
        <v>13</v>
      </c>
      <c r="D1532" s="1">
        <v>24</v>
      </c>
    </row>
    <row r="1533" spans="1:4" x14ac:dyDescent="0.25">
      <c r="A1533" s="1">
        <v>82</v>
      </c>
      <c r="B1533" s="2">
        <v>41157</v>
      </c>
      <c r="C1533" s="4" t="s">
        <v>13</v>
      </c>
      <c r="D1533" s="1">
        <v>22</v>
      </c>
    </row>
    <row r="1534" spans="1:4" x14ac:dyDescent="0.25">
      <c r="A1534" s="1">
        <v>82</v>
      </c>
      <c r="B1534" s="2">
        <v>41185</v>
      </c>
      <c r="C1534" s="4" t="s">
        <v>13</v>
      </c>
      <c r="D1534" s="1">
        <v>29</v>
      </c>
    </row>
    <row r="1535" spans="1:4" x14ac:dyDescent="0.25">
      <c r="A1535" s="1">
        <v>82</v>
      </c>
      <c r="B1535" s="2">
        <v>41220</v>
      </c>
      <c r="C1535" s="4" t="s">
        <v>13</v>
      </c>
      <c r="D1535" s="1">
        <v>30</v>
      </c>
    </row>
    <row r="1536" spans="1:4" x14ac:dyDescent="0.25">
      <c r="A1536" s="1">
        <v>82</v>
      </c>
      <c r="B1536" s="2">
        <v>41248</v>
      </c>
      <c r="C1536" s="4" t="s">
        <v>13</v>
      </c>
      <c r="D1536" s="1">
        <v>20</v>
      </c>
    </row>
    <row r="1537" spans="1:4" x14ac:dyDescent="0.25">
      <c r="A1537" s="1">
        <v>83</v>
      </c>
      <c r="B1537" s="2">
        <v>41157</v>
      </c>
      <c r="C1537" s="4" t="s">
        <v>11</v>
      </c>
      <c r="D1537" s="1">
        <v>959</v>
      </c>
    </row>
    <row r="1538" spans="1:4" x14ac:dyDescent="0.25">
      <c r="A1538" s="1">
        <v>83</v>
      </c>
      <c r="B1538" s="2">
        <v>41185</v>
      </c>
      <c r="C1538" s="4" t="s">
        <v>11</v>
      </c>
      <c r="D1538" s="1">
        <v>934</v>
      </c>
    </row>
    <row r="1539" spans="1:4" x14ac:dyDescent="0.25">
      <c r="A1539" s="1">
        <v>83</v>
      </c>
      <c r="B1539" s="2">
        <v>41220</v>
      </c>
      <c r="C1539" s="4" t="s">
        <v>11</v>
      </c>
      <c r="D1539" s="1">
        <v>1029</v>
      </c>
    </row>
    <row r="1540" spans="1:4" x14ac:dyDescent="0.25">
      <c r="A1540" s="1">
        <v>83</v>
      </c>
      <c r="B1540" s="2">
        <v>41248</v>
      </c>
      <c r="C1540" s="4" t="s">
        <v>11</v>
      </c>
      <c r="D1540" s="1">
        <v>968</v>
      </c>
    </row>
    <row r="1541" spans="1:4" x14ac:dyDescent="0.25">
      <c r="A1541" s="1">
        <v>83</v>
      </c>
      <c r="B1541" s="2">
        <v>41136</v>
      </c>
      <c r="C1541" s="4" t="s">
        <v>12</v>
      </c>
      <c r="D1541" s="1">
        <v>9.6</v>
      </c>
    </row>
    <row r="1542" spans="1:4" x14ac:dyDescent="0.25">
      <c r="A1542" s="1">
        <v>83</v>
      </c>
      <c r="B1542" s="2">
        <v>41157</v>
      </c>
      <c r="C1542" s="4" t="s">
        <v>12</v>
      </c>
      <c r="D1542" s="1">
        <v>10.4</v>
      </c>
    </row>
    <row r="1543" spans="1:4" x14ac:dyDescent="0.25">
      <c r="A1543" s="1">
        <v>83</v>
      </c>
      <c r="B1543" s="2">
        <v>41171</v>
      </c>
      <c r="C1543" s="4" t="s">
        <v>12</v>
      </c>
      <c r="D1543" s="1">
        <v>11.1</v>
      </c>
    </row>
    <row r="1544" spans="1:4" x14ac:dyDescent="0.25">
      <c r="A1544" s="1">
        <v>83</v>
      </c>
      <c r="B1544" s="2">
        <v>41185</v>
      </c>
      <c r="C1544" s="4" t="s">
        <v>12</v>
      </c>
      <c r="D1544" s="1">
        <v>13</v>
      </c>
    </row>
    <row r="1545" spans="1:4" x14ac:dyDescent="0.25">
      <c r="A1545" s="1">
        <v>83</v>
      </c>
      <c r="B1545" s="2">
        <v>41192</v>
      </c>
      <c r="C1545" s="4" t="s">
        <v>12</v>
      </c>
      <c r="D1545" s="1">
        <v>12.9</v>
      </c>
    </row>
    <row r="1546" spans="1:4" x14ac:dyDescent="0.25">
      <c r="A1546" s="1">
        <v>83</v>
      </c>
      <c r="B1546" s="2">
        <v>41199</v>
      </c>
      <c r="C1546" s="4" t="s">
        <v>12</v>
      </c>
      <c r="D1546" s="1">
        <v>12</v>
      </c>
    </row>
    <row r="1547" spans="1:4" x14ac:dyDescent="0.25">
      <c r="A1547" s="1">
        <v>83</v>
      </c>
      <c r="B1547" s="2">
        <v>41220</v>
      </c>
      <c r="C1547" s="4" t="s">
        <v>12</v>
      </c>
      <c r="D1547" s="1">
        <v>10.7</v>
      </c>
    </row>
    <row r="1548" spans="1:4" x14ac:dyDescent="0.25">
      <c r="A1548" s="1">
        <v>83</v>
      </c>
      <c r="B1548" s="2">
        <v>41233</v>
      </c>
      <c r="C1548" s="4" t="s">
        <v>12</v>
      </c>
      <c r="D1548" s="1">
        <v>10.1</v>
      </c>
    </row>
    <row r="1549" spans="1:4" x14ac:dyDescent="0.25">
      <c r="A1549" s="1">
        <v>83</v>
      </c>
      <c r="B1549" s="2">
        <v>41248</v>
      </c>
      <c r="C1549" s="4" t="s">
        <v>12</v>
      </c>
      <c r="D1549" s="1">
        <v>10.1</v>
      </c>
    </row>
    <row r="1550" spans="1:4" x14ac:dyDescent="0.25">
      <c r="A1550" s="1">
        <v>83</v>
      </c>
      <c r="B1550" s="2">
        <v>41157</v>
      </c>
      <c r="C1550" s="4" t="s">
        <v>13</v>
      </c>
      <c r="D1550" s="1">
        <v>31</v>
      </c>
    </row>
    <row r="1551" spans="1:4" x14ac:dyDescent="0.25">
      <c r="A1551" s="1">
        <v>83</v>
      </c>
      <c r="B1551" s="2">
        <v>41185</v>
      </c>
      <c r="C1551" s="4" t="s">
        <v>13</v>
      </c>
      <c r="D1551" s="1">
        <v>49</v>
      </c>
    </row>
    <row r="1552" spans="1:4" x14ac:dyDescent="0.25">
      <c r="A1552" s="1">
        <v>83</v>
      </c>
      <c r="B1552" s="2">
        <v>41220</v>
      </c>
      <c r="C1552" s="4" t="s">
        <v>13</v>
      </c>
      <c r="D1552" s="1">
        <v>88</v>
      </c>
    </row>
    <row r="1553" spans="1:4" x14ac:dyDescent="0.25">
      <c r="A1553" s="1">
        <v>83</v>
      </c>
      <c r="B1553" s="2">
        <v>41248</v>
      </c>
      <c r="C1553" s="4" t="s">
        <v>13</v>
      </c>
      <c r="D1553" s="1">
        <v>83</v>
      </c>
    </row>
    <row r="1554" spans="1:4" x14ac:dyDescent="0.25">
      <c r="A1554" s="1" t="e">
        <v>#N/A</v>
      </c>
      <c r="B1554" s="2">
        <v>41170</v>
      </c>
      <c r="C1554" s="4" t="s">
        <v>11</v>
      </c>
      <c r="D1554" s="1">
        <v>244</v>
      </c>
    </row>
    <row r="1555" spans="1:4" x14ac:dyDescent="0.25">
      <c r="A1555" s="1" t="e">
        <v>#N/A</v>
      </c>
      <c r="B1555" s="2">
        <v>41170</v>
      </c>
      <c r="C1555" s="4" t="s">
        <v>12</v>
      </c>
      <c r="D1555" s="1">
        <v>9.6</v>
      </c>
    </row>
    <row r="1556" spans="1:4" x14ac:dyDescent="0.25">
      <c r="A1556" s="1" t="e">
        <v>#N/A</v>
      </c>
      <c r="B1556" s="2">
        <v>41172</v>
      </c>
      <c r="C1556" s="4" t="s">
        <v>12</v>
      </c>
      <c r="D1556" s="1">
        <v>9.9</v>
      </c>
    </row>
    <row r="1557" spans="1:4" x14ac:dyDescent="0.25">
      <c r="A1557" s="1" t="e">
        <v>#N/A</v>
      </c>
      <c r="B1557" s="2">
        <v>41170</v>
      </c>
      <c r="C1557" s="4" t="s">
        <v>13</v>
      </c>
      <c r="D1557" s="1">
        <v>17</v>
      </c>
    </row>
    <row r="1558" spans="1:4" x14ac:dyDescent="0.25">
      <c r="A1558" s="1">
        <v>84</v>
      </c>
      <c r="B1558" s="2">
        <v>41192</v>
      </c>
      <c r="C1558" s="4" t="s">
        <v>11</v>
      </c>
      <c r="D1558" s="1">
        <v>792</v>
      </c>
    </row>
    <row r="1559" spans="1:4" x14ac:dyDescent="0.25">
      <c r="A1559" s="1">
        <v>84</v>
      </c>
      <c r="B1559" s="2">
        <v>41192</v>
      </c>
      <c r="C1559" s="4" t="s">
        <v>12</v>
      </c>
      <c r="D1559" s="1">
        <v>10.3</v>
      </c>
    </row>
    <row r="1560" spans="1:4" x14ac:dyDescent="0.25">
      <c r="A1560" s="1">
        <v>84</v>
      </c>
      <c r="B1560" s="2">
        <v>41199</v>
      </c>
      <c r="C1560" s="4" t="s">
        <v>12</v>
      </c>
      <c r="D1560" s="1">
        <v>10.5</v>
      </c>
    </row>
    <row r="1561" spans="1:4" x14ac:dyDescent="0.25">
      <c r="A1561" s="1">
        <v>84</v>
      </c>
      <c r="B1561" s="2">
        <v>41192</v>
      </c>
      <c r="C1561" s="4" t="s">
        <v>13</v>
      </c>
      <c r="D1561" s="1">
        <v>26</v>
      </c>
    </row>
    <row r="1562" spans="1:4" x14ac:dyDescent="0.25">
      <c r="A1562" s="1" t="e">
        <v>#N/A</v>
      </c>
      <c r="B1562" s="2">
        <v>41162</v>
      </c>
      <c r="C1562" s="4" t="s">
        <v>11</v>
      </c>
      <c r="D1562" s="1">
        <v>197</v>
      </c>
    </row>
    <row r="1563" spans="1:4" x14ac:dyDescent="0.25">
      <c r="A1563" s="1" t="e">
        <v>#N/A</v>
      </c>
      <c r="B1563" s="2">
        <v>41162</v>
      </c>
      <c r="C1563" s="4" t="s">
        <v>12</v>
      </c>
      <c r="D1563" s="1">
        <v>10.1</v>
      </c>
    </row>
    <row r="1564" spans="1:4" x14ac:dyDescent="0.25">
      <c r="A1564" s="1" t="e">
        <v>#N/A</v>
      </c>
      <c r="B1564" s="2">
        <v>41171</v>
      </c>
      <c r="C1564" s="4" t="s">
        <v>12</v>
      </c>
      <c r="D1564" s="1">
        <v>10.7</v>
      </c>
    </row>
    <row r="1565" spans="1:4" x14ac:dyDescent="0.25">
      <c r="A1565" s="1" t="e">
        <v>#N/A</v>
      </c>
      <c r="B1565" s="2">
        <v>41162</v>
      </c>
      <c r="C1565" s="4" t="s">
        <v>13</v>
      </c>
      <c r="D1565" s="1">
        <v>10</v>
      </c>
    </row>
    <row r="1566" spans="1:4" x14ac:dyDescent="0.25">
      <c r="A1566" s="1">
        <v>85</v>
      </c>
      <c r="B1566" s="2">
        <v>41095</v>
      </c>
      <c r="C1566" s="4" t="s">
        <v>11</v>
      </c>
      <c r="D1566" s="1">
        <v>426</v>
      </c>
    </row>
    <row r="1567" spans="1:4" x14ac:dyDescent="0.25">
      <c r="A1567" s="1">
        <v>85</v>
      </c>
      <c r="B1567" s="2">
        <v>41123</v>
      </c>
      <c r="C1567" s="4" t="s">
        <v>11</v>
      </c>
      <c r="D1567" s="1">
        <v>196</v>
      </c>
    </row>
    <row r="1568" spans="1:4" x14ac:dyDescent="0.25">
      <c r="A1568" s="1">
        <v>85</v>
      </c>
      <c r="B1568" s="2">
        <v>41156</v>
      </c>
      <c r="C1568" s="4" t="s">
        <v>11</v>
      </c>
      <c r="D1568" s="1">
        <v>459</v>
      </c>
    </row>
    <row r="1569" spans="1:4" x14ac:dyDescent="0.25">
      <c r="A1569" s="1">
        <v>85</v>
      </c>
      <c r="B1569" s="2">
        <v>41095</v>
      </c>
      <c r="C1569" s="4" t="s">
        <v>12</v>
      </c>
      <c r="D1569" s="1">
        <v>11.5</v>
      </c>
    </row>
    <row r="1570" spans="1:4" x14ac:dyDescent="0.25">
      <c r="A1570" s="1">
        <v>85</v>
      </c>
      <c r="B1570" s="2">
        <v>41109</v>
      </c>
      <c r="C1570" s="4" t="s">
        <v>12</v>
      </c>
      <c r="D1570" s="1">
        <v>10.7</v>
      </c>
    </row>
    <row r="1571" spans="1:4" x14ac:dyDescent="0.25">
      <c r="A1571" s="1">
        <v>85</v>
      </c>
      <c r="B1571" s="2">
        <v>41123</v>
      </c>
      <c r="C1571" s="4" t="s">
        <v>12</v>
      </c>
      <c r="D1571" s="1">
        <v>12</v>
      </c>
    </row>
    <row r="1572" spans="1:4" x14ac:dyDescent="0.25">
      <c r="A1572" s="1">
        <v>85</v>
      </c>
      <c r="B1572" s="2">
        <v>41137</v>
      </c>
      <c r="C1572" s="4" t="s">
        <v>12</v>
      </c>
      <c r="D1572" s="1">
        <v>10.9</v>
      </c>
    </row>
    <row r="1573" spans="1:4" x14ac:dyDescent="0.25">
      <c r="A1573" s="1">
        <v>85</v>
      </c>
      <c r="B1573" s="2">
        <v>41156</v>
      </c>
      <c r="C1573" s="4" t="s">
        <v>12</v>
      </c>
      <c r="D1573" s="1">
        <v>10.5</v>
      </c>
    </row>
    <row r="1574" spans="1:4" x14ac:dyDescent="0.25">
      <c r="A1574" s="1">
        <v>85</v>
      </c>
      <c r="B1574" s="2">
        <v>41173</v>
      </c>
      <c r="C1574" s="4" t="s">
        <v>12</v>
      </c>
      <c r="D1574" s="1">
        <v>10.8</v>
      </c>
    </row>
    <row r="1575" spans="1:4" x14ac:dyDescent="0.25">
      <c r="A1575" s="1">
        <v>85</v>
      </c>
      <c r="B1575" s="2">
        <v>41095</v>
      </c>
      <c r="C1575" s="4" t="s">
        <v>13</v>
      </c>
      <c r="D1575" s="1">
        <v>86</v>
      </c>
    </row>
    <row r="1576" spans="1:4" x14ac:dyDescent="0.25">
      <c r="A1576" s="1">
        <v>85</v>
      </c>
      <c r="B1576" s="2">
        <v>41123</v>
      </c>
      <c r="C1576" s="4" t="s">
        <v>13</v>
      </c>
      <c r="D1576" s="1">
        <v>32</v>
      </c>
    </row>
    <row r="1577" spans="1:4" x14ac:dyDescent="0.25">
      <c r="A1577" s="1">
        <v>85</v>
      </c>
      <c r="B1577" s="2">
        <v>41156</v>
      </c>
      <c r="C1577" s="4" t="s">
        <v>13</v>
      </c>
      <c r="D1577" s="1">
        <v>24</v>
      </c>
    </row>
    <row r="1578" spans="1:4" x14ac:dyDescent="0.25">
      <c r="A1578" s="1">
        <v>86</v>
      </c>
      <c r="B1578" s="2">
        <v>41095</v>
      </c>
      <c r="C1578" s="4" t="s">
        <v>11</v>
      </c>
      <c r="D1578" s="1">
        <v>800</v>
      </c>
    </row>
    <row r="1579" spans="1:4" x14ac:dyDescent="0.25">
      <c r="A1579" s="1">
        <v>86</v>
      </c>
      <c r="B1579" s="2">
        <v>41123</v>
      </c>
      <c r="C1579" s="4" t="s">
        <v>11</v>
      </c>
      <c r="D1579" s="1">
        <v>777</v>
      </c>
    </row>
    <row r="1580" spans="1:4" x14ac:dyDescent="0.25">
      <c r="A1580" s="1">
        <v>86</v>
      </c>
      <c r="B1580" s="2">
        <v>41156</v>
      </c>
      <c r="C1580" s="4" t="s">
        <v>11</v>
      </c>
      <c r="D1580" s="1">
        <v>749</v>
      </c>
    </row>
    <row r="1581" spans="1:4" x14ac:dyDescent="0.25">
      <c r="A1581" s="1">
        <v>86</v>
      </c>
      <c r="B1581" s="2">
        <v>41186</v>
      </c>
      <c r="C1581" s="4" t="s">
        <v>11</v>
      </c>
      <c r="D1581" s="1">
        <v>979</v>
      </c>
    </row>
    <row r="1582" spans="1:4" x14ac:dyDescent="0.25">
      <c r="A1582" s="1">
        <v>86</v>
      </c>
      <c r="B1582" s="2">
        <v>41221</v>
      </c>
      <c r="C1582" s="4" t="s">
        <v>11</v>
      </c>
      <c r="D1582" s="1">
        <v>787</v>
      </c>
    </row>
    <row r="1583" spans="1:4" x14ac:dyDescent="0.25">
      <c r="A1583" s="1">
        <v>86</v>
      </c>
      <c r="B1583" s="2">
        <v>41095</v>
      </c>
      <c r="C1583" s="4" t="s">
        <v>12</v>
      </c>
      <c r="D1583" s="1">
        <v>11.8</v>
      </c>
    </row>
    <row r="1584" spans="1:4" x14ac:dyDescent="0.25">
      <c r="A1584" s="1">
        <v>86</v>
      </c>
      <c r="B1584" s="2">
        <v>41102</v>
      </c>
      <c r="C1584" s="4" t="s">
        <v>12</v>
      </c>
      <c r="D1584" s="1">
        <v>12.5</v>
      </c>
    </row>
    <row r="1585" spans="1:4" x14ac:dyDescent="0.25">
      <c r="A1585" s="1">
        <v>86</v>
      </c>
      <c r="B1585" s="2">
        <v>41109</v>
      </c>
      <c r="C1585" s="4" t="s">
        <v>12</v>
      </c>
      <c r="D1585" s="1">
        <v>11.8</v>
      </c>
    </row>
    <row r="1586" spans="1:4" x14ac:dyDescent="0.25">
      <c r="A1586" s="1">
        <v>86</v>
      </c>
      <c r="B1586" s="2">
        <v>41116</v>
      </c>
      <c r="C1586" s="4" t="s">
        <v>12</v>
      </c>
      <c r="D1586" s="1">
        <v>11.9</v>
      </c>
    </row>
    <row r="1587" spans="1:4" x14ac:dyDescent="0.25">
      <c r="A1587" s="1">
        <v>86</v>
      </c>
      <c r="B1587" s="2">
        <v>41123</v>
      </c>
      <c r="C1587" s="4" t="s">
        <v>12</v>
      </c>
      <c r="D1587" s="1">
        <v>12.2</v>
      </c>
    </row>
    <row r="1588" spans="1:4" x14ac:dyDescent="0.25">
      <c r="A1588" s="1">
        <v>86</v>
      </c>
      <c r="B1588" s="2">
        <v>41130</v>
      </c>
      <c r="C1588" s="4" t="s">
        <v>12</v>
      </c>
      <c r="D1588" s="1">
        <v>12.3</v>
      </c>
    </row>
    <row r="1589" spans="1:4" x14ac:dyDescent="0.25">
      <c r="A1589" s="1">
        <v>86</v>
      </c>
      <c r="B1589" s="2">
        <v>41137</v>
      </c>
      <c r="C1589" s="4" t="s">
        <v>12</v>
      </c>
      <c r="D1589" s="1">
        <v>11.2</v>
      </c>
    </row>
    <row r="1590" spans="1:4" x14ac:dyDescent="0.25">
      <c r="A1590" s="1">
        <v>86</v>
      </c>
      <c r="B1590" s="2">
        <v>41156</v>
      </c>
      <c r="C1590" s="4" t="s">
        <v>12</v>
      </c>
      <c r="D1590" s="1">
        <v>11.6</v>
      </c>
    </row>
    <row r="1591" spans="1:4" x14ac:dyDescent="0.25">
      <c r="A1591" s="1">
        <v>86</v>
      </c>
      <c r="B1591" s="2">
        <v>41165</v>
      </c>
      <c r="C1591" s="4" t="s">
        <v>12</v>
      </c>
      <c r="D1591" s="1">
        <v>11.7</v>
      </c>
    </row>
    <row r="1592" spans="1:4" x14ac:dyDescent="0.25">
      <c r="A1592" s="1">
        <v>86</v>
      </c>
      <c r="B1592" s="2">
        <v>41172</v>
      </c>
      <c r="C1592" s="4" t="s">
        <v>12</v>
      </c>
      <c r="D1592" s="1">
        <v>10.6</v>
      </c>
    </row>
    <row r="1593" spans="1:4" x14ac:dyDescent="0.25">
      <c r="A1593" s="1">
        <v>86</v>
      </c>
      <c r="B1593" s="2">
        <v>41186</v>
      </c>
      <c r="C1593" s="4" t="s">
        <v>12</v>
      </c>
      <c r="D1593" s="1">
        <v>11.1</v>
      </c>
    </row>
    <row r="1594" spans="1:4" x14ac:dyDescent="0.25">
      <c r="A1594" s="1">
        <v>86</v>
      </c>
      <c r="B1594" s="2">
        <v>41200</v>
      </c>
      <c r="C1594" s="4" t="s">
        <v>12</v>
      </c>
      <c r="D1594" s="1">
        <v>11.6</v>
      </c>
    </row>
    <row r="1595" spans="1:4" x14ac:dyDescent="0.25">
      <c r="A1595" s="1">
        <v>86</v>
      </c>
      <c r="B1595" s="2">
        <v>41221</v>
      </c>
      <c r="C1595" s="4" t="s">
        <v>12</v>
      </c>
      <c r="D1595" s="1">
        <v>12.1</v>
      </c>
    </row>
    <row r="1596" spans="1:4" x14ac:dyDescent="0.25">
      <c r="A1596" s="1">
        <v>86</v>
      </c>
      <c r="B1596" s="2">
        <v>41232</v>
      </c>
      <c r="C1596" s="4" t="s">
        <v>12</v>
      </c>
      <c r="D1596" s="1">
        <v>12.1</v>
      </c>
    </row>
    <row r="1597" spans="1:4" x14ac:dyDescent="0.25">
      <c r="A1597" s="1">
        <v>86</v>
      </c>
      <c r="B1597" s="2">
        <v>41095</v>
      </c>
      <c r="C1597" s="4" t="s">
        <v>13</v>
      </c>
      <c r="D1597" s="1">
        <v>42</v>
      </c>
    </row>
    <row r="1598" spans="1:4" x14ac:dyDescent="0.25">
      <c r="A1598" s="1">
        <v>86</v>
      </c>
      <c r="B1598" s="2">
        <v>41123</v>
      </c>
      <c r="C1598" s="4" t="s">
        <v>13</v>
      </c>
      <c r="D1598" s="1">
        <v>47</v>
      </c>
    </row>
    <row r="1599" spans="1:4" x14ac:dyDescent="0.25">
      <c r="A1599" s="1">
        <v>86</v>
      </c>
      <c r="B1599" s="2">
        <v>41156</v>
      </c>
      <c r="C1599" s="4" t="s">
        <v>13</v>
      </c>
      <c r="D1599" s="1">
        <v>32</v>
      </c>
    </row>
    <row r="1600" spans="1:4" x14ac:dyDescent="0.25">
      <c r="A1600" s="1">
        <v>86</v>
      </c>
      <c r="B1600" s="2">
        <v>41186</v>
      </c>
      <c r="C1600" s="4" t="s">
        <v>13</v>
      </c>
      <c r="D1600" s="1">
        <v>30</v>
      </c>
    </row>
    <row r="1601" spans="1:4" x14ac:dyDescent="0.25">
      <c r="A1601" s="1">
        <v>86</v>
      </c>
      <c r="B1601" s="2">
        <v>41221</v>
      </c>
      <c r="C1601" s="4" t="s">
        <v>13</v>
      </c>
      <c r="D1601" s="1">
        <v>38</v>
      </c>
    </row>
    <row r="1602" spans="1:4" x14ac:dyDescent="0.25">
      <c r="A1602" s="1">
        <v>87</v>
      </c>
      <c r="B1602" s="2">
        <v>41094</v>
      </c>
      <c r="C1602" s="4" t="s">
        <v>11</v>
      </c>
      <c r="D1602" s="1">
        <v>442</v>
      </c>
    </row>
    <row r="1603" spans="1:4" x14ac:dyDescent="0.25">
      <c r="A1603" s="1">
        <v>87</v>
      </c>
      <c r="B1603" s="2">
        <v>41122</v>
      </c>
      <c r="C1603" s="4" t="s">
        <v>11</v>
      </c>
      <c r="D1603" s="1">
        <v>487</v>
      </c>
    </row>
    <row r="1604" spans="1:4" x14ac:dyDescent="0.25">
      <c r="A1604" s="1">
        <v>87</v>
      </c>
      <c r="B1604" s="2">
        <v>41157</v>
      </c>
      <c r="C1604" s="4" t="s">
        <v>11</v>
      </c>
      <c r="D1604" s="1">
        <v>564</v>
      </c>
    </row>
    <row r="1605" spans="1:4" x14ac:dyDescent="0.25">
      <c r="A1605" s="1">
        <v>87</v>
      </c>
      <c r="B1605" s="2">
        <v>41187</v>
      </c>
      <c r="C1605" s="4" t="s">
        <v>11</v>
      </c>
      <c r="D1605" s="1">
        <v>643</v>
      </c>
    </row>
    <row r="1606" spans="1:4" x14ac:dyDescent="0.25">
      <c r="A1606" s="1">
        <v>87</v>
      </c>
      <c r="B1606" s="2">
        <v>41220</v>
      </c>
      <c r="C1606" s="4" t="s">
        <v>11</v>
      </c>
      <c r="D1606" s="1">
        <v>612</v>
      </c>
    </row>
    <row r="1607" spans="1:4" x14ac:dyDescent="0.25">
      <c r="A1607" s="1">
        <v>87</v>
      </c>
      <c r="B1607" s="2">
        <v>41092</v>
      </c>
      <c r="C1607" s="4" t="s">
        <v>12</v>
      </c>
      <c r="D1607" s="1">
        <v>10.3</v>
      </c>
    </row>
    <row r="1608" spans="1:4" x14ac:dyDescent="0.25">
      <c r="A1608" s="1">
        <v>87</v>
      </c>
      <c r="B1608" s="2">
        <v>41094</v>
      </c>
      <c r="C1608" s="4" t="s">
        <v>12</v>
      </c>
      <c r="D1608" s="1">
        <v>10.6</v>
      </c>
    </row>
    <row r="1609" spans="1:4" x14ac:dyDescent="0.25">
      <c r="A1609" s="1">
        <v>87</v>
      </c>
      <c r="B1609" s="2">
        <v>41108</v>
      </c>
      <c r="C1609" s="4" t="s">
        <v>12</v>
      </c>
      <c r="D1609" s="1">
        <v>10.9</v>
      </c>
    </row>
    <row r="1610" spans="1:4" x14ac:dyDescent="0.25">
      <c r="A1610" s="1">
        <v>87</v>
      </c>
      <c r="B1610" s="2">
        <v>41122</v>
      </c>
      <c r="C1610" s="4" t="s">
        <v>12</v>
      </c>
      <c r="D1610" s="1">
        <v>11.6</v>
      </c>
    </row>
    <row r="1611" spans="1:4" x14ac:dyDescent="0.25">
      <c r="A1611" s="1">
        <v>87</v>
      </c>
      <c r="B1611" s="2">
        <v>41138</v>
      </c>
      <c r="C1611" s="4" t="s">
        <v>12</v>
      </c>
      <c r="D1611" s="1">
        <v>11.1</v>
      </c>
    </row>
    <row r="1612" spans="1:4" x14ac:dyDescent="0.25">
      <c r="A1612" s="1">
        <v>87</v>
      </c>
      <c r="B1612" s="2">
        <v>41157</v>
      </c>
      <c r="C1612" s="4" t="s">
        <v>12</v>
      </c>
      <c r="D1612" s="1">
        <v>11.5</v>
      </c>
    </row>
    <row r="1613" spans="1:4" x14ac:dyDescent="0.25">
      <c r="A1613" s="1">
        <v>87</v>
      </c>
      <c r="B1613" s="2">
        <v>41171</v>
      </c>
      <c r="C1613" s="4" t="s">
        <v>12</v>
      </c>
      <c r="D1613" s="1">
        <v>11.3</v>
      </c>
    </row>
    <row r="1614" spans="1:4" x14ac:dyDescent="0.25">
      <c r="A1614" s="1">
        <v>87</v>
      </c>
      <c r="B1614" s="2">
        <v>41187</v>
      </c>
      <c r="C1614" s="4" t="s">
        <v>12</v>
      </c>
      <c r="D1614" s="1">
        <v>11</v>
      </c>
    </row>
    <row r="1615" spans="1:4" x14ac:dyDescent="0.25">
      <c r="A1615" s="1">
        <v>87</v>
      </c>
      <c r="B1615" s="2">
        <v>41199</v>
      </c>
      <c r="C1615" s="4" t="s">
        <v>12</v>
      </c>
      <c r="D1615" s="1">
        <v>11.4</v>
      </c>
    </row>
    <row r="1616" spans="1:4" x14ac:dyDescent="0.25">
      <c r="A1616" s="1">
        <v>87</v>
      </c>
      <c r="B1616" s="2">
        <v>41220</v>
      </c>
      <c r="C1616" s="4" t="s">
        <v>12</v>
      </c>
      <c r="D1616" s="1">
        <v>10.8</v>
      </c>
    </row>
    <row r="1617" spans="1:4" x14ac:dyDescent="0.25">
      <c r="A1617" s="1">
        <v>87</v>
      </c>
      <c r="B1617" s="2">
        <v>41236</v>
      </c>
      <c r="C1617" s="4" t="s">
        <v>12</v>
      </c>
      <c r="D1617" s="1">
        <v>10.6</v>
      </c>
    </row>
    <row r="1618" spans="1:4" x14ac:dyDescent="0.25">
      <c r="A1618" s="1">
        <v>87</v>
      </c>
      <c r="B1618" s="2">
        <v>41094</v>
      </c>
      <c r="C1618" s="4" t="s">
        <v>13</v>
      </c>
      <c r="D1618" s="1">
        <v>27</v>
      </c>
    </row>
    <row r="1619" spans="1:4" x14ac:dyDescent="0.25">
      <c r="A1619" s="1">
        <v>87</v>
      </c>
      <c r="B1619" s="2">
        <v>41122</v>
      </c>
      <c r="C1619" s="4" t="s">
        <v>13</v>
      </c>
      <c r="D1619" s="1">
        <v>28</v>
      </c>
    </row>
    <row r="1620" spans="1:4" x14ac:dyDescent="0.25">
      <c r="A1620" s="1">
        <v>87</v>
      </c>
      <c r="B1620" s="2">
        <v>41157</v>
      </c>
      <c r="C1620" s="4" t="s">
        <v>13</v>
      </c>
      <c r="D1620" s="1">
        <v>32</v>
      </c>
    </row>
    <row r="1621" spans="1:4" x14ac:dyDescent="0.25">
      <c r="A1621" s="1">
        <v>87</v>
      </c>
      <c r="B1621" s="2">
        <v>41187</v>
      </c>
      <c r="C1621" s="4" t="s">
        <v>13</v>
      </c>
      <c r="D1621" s="1">
        <v>73</v>
      </c>
    </row>
    <row r="1622" spans="1:4" x14ac:dyDescent="0.25">
      <c r="A1622" s="1">
        <v>87</v>
      </c>
      <c r="B1622" s="2">
        <v>41220</v>
      </c>
      <c r="C1622" s="4" t="s">
        <v>13</v>
      </c>
      <c r="D1622" s="1">
        <v>65</v>
      </c>
    </row>
    <row r="1623" spans="1:4" x14ac:dyDescent="0.25">
      <c r="A1623" s="1">
        <v>88</v>
      </c>
      <c r="B1623" s="2">
        <v>41095</v>
      </c>
      <c r="C1623" s="4" t="s">
        <v>11</v>
      </c>
      <c r="D1623" s="1">
        <v>26</v>
      </c>
    </row>
    <row r="1624" spans="1:4" x14ac:dyDescent="0.25">
      <c r="A1624" s="1">
        <v>88</v>
      </c>
      <c r="B1624" s="2">
        <v>41123</v>
      </c>
      <c r="C1624" s="4" t="s">
        <v>11</v>
      </c>
      <c r="D1624" s="1">
        <v>20</v>
      </c>
    </row>
    <row r="1625" spans="1:4" x14ac:dyDescent="0.25">
      <c r="A1625" s="1">
        <v>88</v>
      </c>
      <c r="B1625" s="2">
        <v>41156</v>
      </c>
      <c r="C1625" s="4" t="s">
        <v>11</v>
      </c>
      <c r="D1625" s="1">
        <v>34</v>
      </c>
    </row>
    <row r="1626" spans="1:4" x14ac:dyDescent="0.25">
      <c r="A1626" s="1">
        <v>88</v>
      </c>
      <c r="B1626" s="2">
        <v>41186</v>
      </c>
      <c r="C1626" s="4" t="s">
        <v>11</v>
      </c>
      <c r="D1626" s="1">
        <v>37</v>
      </c>
    </row>
    <row r="1627" spans="1:4" x14ac:dyDescent="0.25">
      <c r="A1627" s="1">
        <v>88</v>
      </c>
      <c r="B1627" s="2">
        <v>41221</v>
      </c>
      <c r="C1627" s="4" t="s">
        <v>11</v>
      </c>
      <c r="D1627" s="1">
        <v>70</v>
      </c>
    </row>
    <row r="1628" spans="1:4" x14ac:dyDescent="0.25">
      <c r="A1628" s="1">
        <v>88</v>
      </c>
      <c r="B1628" s="2">
        <v>41095</v>
      </c>
      <c r="C1628" s="4" t="s">
        <v>12</v>
      </c>
      <c r="D1628" s="1">
        <v>10.3</v>
      </c>
    </row>
    <row r="1629" spans="1:4" x14ac:dyDescent="0.25">
      <c r="A1629" s="1">
        <v>88</v>
      </c>
      <c r="B1629" s="2">
        <v>41109</v>
      </c>
      <c r="C1629" s="4" t="s">
        <v>12</v>
      </c>
      <c r="D1629" s="1">
        <v>8.6999999999999993</v>
      </c>
    </row>
    <row r="1630" spans="1:4" x14ac:dyDescent="0.25">
      <c r="A1630" s="1">
        <v>88</v>
      </c>
      <c r="B1630" s="2">
        <v>41123</v>
      </c>
      <c r="C1630" s="4" t="s">
        <v>12</v>
      </c>
      <c r="D1630" s="1">
        <v>8.4</v>
      </c>
    </row>
    <row r="1631" spans="1:4" x14ac:dyDescent="0.25">
      <c r="A1631" s="1">
        <v>88</v>
      </c>
      <c r="B1631" s="2">
        <v>41130</v>
      </c>
      <c r="C1631" s="4" t="s">
        <v>12</v>
      </c>
      <c r="D1631" s="1">
        <v>9.1999999999999993</v>
      </c>
    </row>
    <row r="1632" spans="1:4" x14ac:dyDescent="0.25">
      <c r="A1632" s="1">
        <v>88</v>
      </c>
      <c r="B1632" s="2">
        <v>41137</v>
      </c>
      <c r="C1632" s="4" t="s">
        <v>12</v>
      </c>
      <c r="D1632" s="1">
        <v>8.6</v>
      </c>
    </row>
    <row r="1633" spans="1:4" x14ac:dyDescent="0.25">
      <c r="A1633" s="1">
        <v>88</v>
      </c>
      <c r="B1633" s="2">
        <v>41156</v>
      </c>
      <c r="C1633" s="4" t="s">
        <v>12</v>
      </c>
      <c r="D1633" s="1">
        <v>8.1</v>
      </c>
    </row>
    <row r="1634" spans="1:4" x14ac:dyDescent="0.25">
      <c r="A1634" s="1">
        <v>88</v>
      </c>
      <c r="B1634" s="2">
        <v>41172</v>
      </c>
      <c r="C1634" s="4" t="s">
        <v>12</v>
      </c>
      <c r="D1634" s="1">
        <v>8.6999999999999993</v>
      </c>
    </row>
    <row r="1635" spans="1:4" x14ac:dyDescent="0.25">
      <c r="A1635" s="1">
        <v>88</v>
      </c>
      <c r="B1635" s="2">
        <v>41186</v>
      </c>
      <c r="C1635" s="4" t="s">
        <v>12</v>
      </c>
      <c r="D1635" s="1">
        <v>9.1</v>
      </c>
    </row>
    <row r="1636" spans="1:4" x14ac:dyDescent="0.25">
      <c r="A1636" s="1">
        <v>88</v>
      </c>
      <c r="B1636" s="2">
        <v>41200</v>
      </c>
      <c r="C1636" s="4" t="s">
        <v>12</v>
      </c>
      <c r="D1636" s="1">
        <v>10.8</v>
      </c>
    </row>
    <row r="1637" spans="1:4" x14ac:dyDescent="0.25">
      <c r="A1637" s="1">
        <v>88</v>
      </c>
      <c r="B1637" s="2">
        <v>41221</v>
      </c>
      <c r="C1637" s="4" t="s">
        <v>12</v>
      </c>
      <c r="D1637" s="1">
        <v>12.1</v>
      </c>
    </row>
    <row r="1638" spans="1:4" x14ac:dyDescent="0.25">
      <c r="A1638" s="1">
        <v>88</v>
      </c>
      <c r="B1638" s="2">
        <v>41232</v>
      </c>
      <c r="C1638" s="4" t="s">
        <v>12</v>
      </c>
      <c r="D1638" s="1">
        <v>11.1</v>
      </c>
    </row>
    <row r="1639" spans="1:4" x14ac:dyDescent="0.25">
      <c r="A1639" s="1">
        <v>88</v>
      </c>
      <c r="B1639" s="2">
        <v>41241</v>
      </c>
      <c r="C1639" s="4" t="s">
        <v>12</v>
      </c>
      <c r="D1639" s="1">
        <v>10.9</v>
      </c>
    </row>
    <row r="1640" spans="1:4" x14ac:dyDescent="0.25">
      <c r="A1640" s="1">
        <v>88</v>
      </c>
      <c r="B1640" s="2">
        <v>41095</v>
      </c>
      <c r="C1640" s="4" t="s">
        <v>13</v>
      </c>
      <c r="D1640" s="1">
        <v>10</v>
      </c>
    </row>
    <row r="1641" spans="1:4" x14ac:dyDescent="0.25">
      <c r="A1641" s="1">
        <v>88</v>
      </c>
      <c r="B1641" s="2">
        <v>41123</v>
      </c>
      <c r="C1641" s="4" t="s">
        <v>13</v>
      </c>
      <c r="D1641" s="1">
        <v>9</v>
      </c>
    </row>
    <row r="1642" spans="1:4" x14ac:dyDescent="0.25">
      <c r="A1642" s="1">
        <v>88</v>
      </c>
      <c r="B1642" s="2">
        <v>41130</v>
      </c>
      <c r="C1642" s="4" t="s">
        <v>13</v>
      </c>
      <c r="D1642" s="1">
        <v>37</v>
      </c>
    </row>
    <row r="1643" spans="1:4" x14ac:dyDescent="0.25">
      <c r="A1643" s="1">
        <v>88</v>
      </c>
      <c r="B1643" s="2">
        <v>41156</v>
      </c>
      <c r="C1643" s="4" t="s">
        <v>13</v>
      </c>
      <c r="D1643" s="1">
        <v>47</v>
      </c>
    </row>
    <row r="1644" spans="1:4" x14ac:dyDescent="0.25">
      <c r="A1644" s="1">
        <v>88</v>
      </c>
      <c r="B1644" s="2">
        <v>41186</v>
      </c>
      <c r="C1644" s="4" t="s">
        <v>13</v>
      </c>
      <c r="D1644" s="1">
        <v>11</v>
      </c>
    </row>
    <row r="1645" spans="1:4" x14ac:dyDescent="0.25">
      <c r="A1645" s="1">
        <v>88</v>
      </c>
      <c r="B1645" s="2">
        <v>41221</v>
      </c>
      <c r="C1645" s="4" t="s">
        <v>13</v>
      </c>
      <c r="D1645" s="1">
        <v>9</v>
      </c>
    </row>
    <row r="1646" spans="1:4" x14ac:dyDescent="0.25">
      <c r="A1646" s="1">
        <v>89</v>
      </c>
      <c r="B1646" s="2">
        <v>41094</v>
      </c>
      <c r="C1646" s="4" t="s">
        <v>11</v>
      </c>
      <c r="D1646" s="1">
        <v>415</v>
      </c>
    </row>
    <row r="1647" spans="1:4" x14ac:dyDescent="0.25">
      <c r="A1647" s="1">
        <v>89</v>
      </c>
      <c r="B1647" s="2">
        <v>41122</v>
      </c>
      <c r="C1647" s="4" t="s">
        <v>11</v>
      </c>
      <c r="D1647" s="1">
        <v>543</v>
      </c>
    </row>
    <row r="1648" spans="1:4" x14ac:dyDescent="0.25">
      <c r="A1648" s="1">
        <v>89</v>
      </c>
      <c r="B1648" s="2">
        <v>41157</v>
      </c>
      <c r="C1648" s="4" t="s">
        <v>11</v>
      </c>
      <c r="D1648" s="1">
        <v>314</v>
      </c>
    </row>
    <row r="1649" spans="1:4" x14ac:dyDescent="0.25">
      <c r="A1649" s="1">
        <v>89</v>
      </c>
      <c r="B1649" s="2">
        <v>41185</v>
      </c>
      <c r="C1649" s="4" t="s">
        <v>11</v>
      </c>
      <c r="D1649" s="1">
        <v>392</v>
      </c>
    </row>
    <row r="1650" spans="1:4" x14ac:dyDescent="0.25">
      <c r="A1650" s="1">
        <v>89</v>
      </c>
      <c r="B1650" s="2">
        <v>41222</v>
      </c>
      <c r="C1650" s="4" t="s">
        <v>11</v>
      </c>
      <c r="D1650" s="1">
        <v>488</v>
      </c>
    </row>
    <row r="1651" spans="1:4" x14ac:dyDescent="0.25">
      <c r="A1651" s="1">
        <v>89</v>
      </c>
      <c r="B1651" s="2">
        <v>41248</v>
      </c>
      <c r="C1651" s="4" t="s">
        <v>11</v>
      </c>
      <c r="D1651" s="1">
        <v>531</v>
      </c>
    </row>
    <row r="1652" spans="1:4" x14ac:dyDescent="0.25">
      <c r="A1652" s="1">
        <v>89</v>
      </c>
      <c r="B1652" s="2">
        <v>41094</v>
      </c>
      <c r="C1652" s="4" t="s">
        <v>12</v>
      </c>
      <c r="D1652" s="1">
        <v>13.6</v>
      </c>
    </row>
    <row r="1653" spans="1:4" x14ac:dyDescent="0.25">
      <c r="A1653" s="1">
        <v>89</v>
      </c>
      <c r="B1653" s="2">
        <v>41101</v>
      </c>
      <c r="C1653" s="4" t="s">
        <v>12</v>
      </c>
      <c r="D1653" s="1">
        <v>14.1</v>
      </c>
    </row>
    <row r="1654" spans="1:4" x14ac:dyDescent="0.25">
      <c r="A1654" s="1">
        <v>89</v>
      </c>
      <c r="B1654" s="2">
        <v>41115</v>
      </c>
      <c r="C1654" s="4" t="s">
        <v>12</v>
      </c>
      <c r="D1654" s="1">
        <v>10</v>
      </c>
    </row>
    <row r="1655" spans="1:4" x14ac:dyDescent="0.25">
      <c r="A1655" s="1">
        <v>89</v>
      </c>
      <c r="B1655" s="2">
        <v>41117</v>
      </c>
      <c r="C1655" s="4" t="s">
        <v>12</v>
      </c>
      <c r="D1655" s="1">
        <v>10.5</v>
      </c>
    </row>
    <row r="1656" spans="1:4" x14ac:dyDescent="0.25">
      <c r="A1656" s="1">
        <v>89</v>
      </c>
      <c r="B1656" s="2">
        <v>41122</v>
      </c>
      <c r="C1656" s="4" t="s">
        <v>12</v>
      </c>
      <c r="D1656" s="1">
        <v>11.2</v>
      </c>
    </row>
    <row r="1657" spans="1:4" x14ac:dyDescent="0.25">
      <c r="A1657" s="1">
        <v>89</v>
      </c>
      <c r="B1657" s="2">
        <v>41136</v>
      </c>
      <c r="C1657" s="4" t="s">
        <v>12</v>
      </c>
      <c r="D1657" s="1">
        <v>11.5</v>
      </c>
    </row>
    <row r="1658" spans="1:4" x14ac:dyDescent="0.25">
      <c r="A1658" s="1">
        <v>89</v>
      </c>
      <c r="B1658" s="2">
        <v>41157</v>
      </c>
      <c r="C1658" s="4" t="s">
        <v>12</v>
      </c>
      <c r="D1658" s="1">
        <v>12.9</v>
      </c>
    </row>
    <row r="1659" spans="1:4" x14ac:dyDescent="0.25">
      <c r="A1659" s="1">
        <v>89</v>
      </c>
      <c r="B1659" s="2">
        <v>41171</v>
      </c>
      <c r="C1659" s="4" t="s">
        <v>12</v>
      </c>
      <c r="D1659" s="1">
        <v>13.8</v>
      </c>
    </row>
    <row r="1660" spans="1:4" x14ac:dyDescent="0.25">
      <c r="A1660" s="1">
        <v>89</v>
      </c>
      <c r="B1660" s="2">
        <v>41185</v>
      </c>
      <c r="C1660" s="4" t="s">
        <v>12</v>
      </c>
      <c r="D1660" s="1">
        <v>14.2</v>
      </c>
    </row>
    <row r="1661" spans="1:4" x14ac:dyDescent="0.25">
      <c r="A1661" s="1">
        <v>89</v>
      </c>
      <c r="B1661" s="2">
        <v>41199</v>
      </c>
      <c r="C1661" s="4" t="s">
        <v>12</v>
      </c>
      <c r="D1661" s="1">
        <v>14.3</v>
      </c>
    </row>
    <row r="1662" spans="1:4" x14ac:dyDescent="0.25">
      <c r="A1662" s="1">
        <v>89</v>
      </c>
      <c r="B1662" s="2">
        <v>41222</v>
      </c>
      <c r="C1662" s="4" t="s">
        <v>12</v>
      </c>
      <c r="D1662" s="1">
        <v>15.1</v>
      </c>
    </row>
    <row r="1663" spans="1:4" x14ac:dyDescent="0.25">
      <c r="A1663" s="1">
        <v>89</v>
      </c>
      <c r="B1663" s="2">
        <v>41233</v>
      </c>
      <c r="C1663" s="4" t="s">
        <v>12</v>
      </c>
      <c r="D1663" s="1">
        <v>13.6</v>
      </c>
    </row>
    <row r="1664" spans="1:4" x14ac:dyDescent="0.25">
      <c r="A1664" s="1">
        <v>89</v>
      </c>
      <c r="B1664" s="2">
        <v>41248</v>
      </c>
      <c r="C1664" s="4" t="s">
        <v>12</v>
      </c>
      <c r="D1664" s="1">
        <v>14.2</v>
      </c>
    </row>
    <row r="1665" spans="1:4" x14ac:dyDescent="0.25">
      <c r="A1665" s="1">
        <v>89</v>
      </c>
      <c r="B1665" s="2">
        <v>41094</v>
      </c>
      <c r="C1665" s="4" t="s">
        <v>13</v>
      </c>
      <c r="D1665" s="1">
        <v>36</v>
      </c>
    </row>
    <row r="1666" spans="1:4" x14ac:dyDescent="0.25">
      <c r="A1666" s="1">
        <v>89</v>
      </c>
      <c r="B1666" s="2">
        <v>41122</v>
      </c>
      <c r="C1666" s="4" t="s">
        <v>13</v>
      </c>
      <c r="D1666" s="1">
        <v>25</v>
      </c>
    </row>
    <row r="1667" spans="1:4" x14ac:dyDescent="0.25">
      <c r="A1667" s="1">
        <v>89</v>
      </c>
      <c r="B1667" s="2">
        <v>41157</v>
      </c>
      <c r="C1667" s="4" t="s">
        <v>13</v>
      </c>
      <c r="D1667" s="1">
        <v>25</v>
      </c>
    </row>
    <row r="1668" spans="1:4" x14ac:dyDescent="0.25">
      <c r="A1668" s="1">
        <v>89</v>
      </c>
      <c r="B1668" s="2">
        <v>41185</v>
      </c>
      <c r="C1668" s="4" t="s">
        <v>13</v>
      </c>
      <c r="D1668" s="1">
        <v>27</v>
      </c>
    </row>
    <row r="1669" spans="1:4" x14ac:dyDescent="0.25">
      <c r="A1669" s="1">
        <v>89</v>
      </c>
      <c r="B1669" s="2">
        <v>41222</v>
      </c>
      <c r="C1669" s="4" t="s">
        <v>13</v>
      </c>
      <c r="D1669" s="1">
        <v>27</v>
      </c>
    </row>
    <row r="1670" spans="1:4" x14ac:dyDescent="0.25">
      <c r="A1670" s="1">
        <v>89</v>
      </c>
      <c r="B1670" s="2">
        <v>41248</v>
      </c>
      <c r="C1670" s="4" t="s">
        <v>13</v>
      </c>
      <c r="D1670" s="1">
        <v>28</v>
      </c>
    </row>
    <row r="1671" spans="1:4" x14ac:dyDescent="0.25">
      <c r="A1671" s="1">
        <v>90</v>
      </c>
      <c r="B1671" s="2">
        <v>41095</v>
      </c>
      <c r="C1671" s="4" t="s">
        <v>11</v>
      </c>
      <c r="D1671" s="1">
        <v>862</v>
      </c>
    </row>
    <row r="1672" spans="1:4" x14ac:dyDescent="0.25">
      <c r="A1672" s="1">
        <v>90</v>
      </c>
      <c r="B1672" s="2">
        <v>41123</v>
      </c>
      <c r="C1672" s="4" t="s">
        <v>11</v>
      </c>
      <c r="D1672" s="1">
        <v>1009</v>
      </c>
    </row>
    <row r="1673" spans="1:4" x14ac:dyDescent="0.25">
      <c r="A1673" s="1">
        <v>90</v>
      </c>
      <c r="B1673" s="2">
        <v>41156</v>
      </c>
      <c r="C1673" s="4" t="s">
        <v>11</v>
      </c>
      <c r="D1673" s="1">
        <v>741</v>
      </c>
    </row>
    <row r="1674" spans="1:4" x14ac:dyDescent="0.25">
      <c r="A1674" s="1">
        <v>90</v>
      </c>
      <c r="B1674" s="2">
        <v>41186</v>
      </c>
      <c r="C1674" s="4" t="s">
        <v>11</v>
      </c>
      <c r="D1674" s="1">
        <v>1031</v>
      </c>
    </row>
    <row r="1675" spans="1:4" x14ac:dyDescent="0.25">
      <c r="A1675" s="1">
        <v>90</v>
      </c>
      <c r="B1675" s="2">
        <v>41221</v>
      </c>
      <c r="C1675" s="4" t="s">
        <v>11</v>
      </c>
      <c r="D1675" s="1">
        <v>872</v>
      </c>
    </row>
    <row r="1676" spans="1:4" x14ac:dyDescent="0.25">
      <c r="A1676" s="1">
        <v>90</v>
      </c>
      <c r="B1676" s="2">
        <v>41095</v>
      </c>
      <c r="C1676" s="4" t="s">
        <v>12</v>
      </c>
      <c r="D1676" s="1">
        <v>11.1</v>
      </c>
    </row>
    <row r="1677" spans="1:4" x14ac:dyDescent="0.25">
      <c r="A1677" s="1">
        <v>90</v>
      </c>
      <c r="B1677" s="2">
        <v>41109</v>
      </c>
      <c r="C1677" s="4" t="s">
        <v>12</v>
      </c>
      <c r="D1677" s="1">
        <v>11.4</v>
      </c>
    </row>
    <row r="1678" spans="1:4" x14ac:dyDescent="0.25">
      <c r="A1678" s="1">
        <v>90</v>
      </c>
      <c r="B1678" s="2">
        <v>41123</v>
      </c>
      <c r="C1678" s="4" t="s">
        <v>12</v>
      </c>
      <c r="D1678" s="1">
        <v>11.8</v>
      </c>
    </row>
    <row r="1679" spans="1:4" x14ac:dyDescent="0.25">
      <c r="A1679" s="1">
        <v>90</v>
      </c>
      <c r="B1679" s="2">
        <v>41130</v>
      </c>
      <c r="C1679" s="4" t="s">
        <v>12</v>
      </c>
      <c r="D1679" s="1">
        <v>11.3</v>
      </c>
    </row>
    <row r="1680" spans="1:4" x14ac:dyDescent="0.25">
      <c r="A1680" s="1">
        <v>90</v>
      </c>
      <c r="B1680" s="2">
        <v>41137</v>
      </c>
      <c r="C1680" s="4" t="s">
        <v>12</v>
      </c>
      <c r="D1680" s="1">
        <v>11</v>
      </c>
    </row>
    <row r="1681" spans="1:4" x14ac:dyDescent="0.25">
      <c r="A1681" s="1">
        <v>90</v>
      </c>
      <c r="B1681" s="2">
        <v>41156</v>
      </c>
      <c r="C1681" s="4" t="s">
        <v>12</v>
      </c>
      <c r="D1681" s="1">
        <v>11.2</v>
      </c>
    </row>
    <row r="1682" spans="1:4" x14ac:dyDescent="0.25">
      <c r="A1682" s="1">
        <v>90</v>
      </c>
      <c r="B1682" s="2">
        <v>41172</v>
      </c>
      <c r="C1682" s="4" t="s">
        <v>12</v>
      </c>
      <c r="D1682" s="1">
        <v>11</v>
      </c>
    </row>
    <row r="1683" spans="1:4" x14ac:dyDescent="0.25">
      <c r="A1683" s="1">
        <v>90</v>
      </c>
      <c r="B1683" s="2">
        <v>41186</v>
      </c>
      <c r="C1683" s="4" t="s">
        <v>12</v>
      </c>
      <c r="D1683" s="1">
        <v>11.8</v>
      </c>
    </row>
    <row r="1684" spans="1:4" x14ac:dyDescent="0.25">
      <c r="A1684" s="1">
        <v>90</v>
      </c>
      <c r="B1684" s="2">
        <v>41200</v>
      </c>
      <c r="C1684" s="4" t="s">
        <v>12</v>
      </c>
      <c r="D1684" s="1">
        <v>11.2</v>
      </c>
    </row>
    <row r="1685" spans="1:4" x14ac:dyDescent="0.25">
      <c r="A1685" s="1">
        <v>90</v>
      </c>
      <c r="B1685" s="2">
        <v>41221</v>
      </c>
      <c r="C1685" s="4" t="s">
        <v>12</v>
      </c>
      <c r="D1685" s="1">
        <v>9.9</v>
      </c>
    </row>
    <row r="1686" spans="1:4" x14ac:dyDescent="0.25">
      <c r="A1686" s="1">
        <v>90</v>
      </c>
      <c r="B1686" s="2">
        <v>41232</v>
      </c>
      <c r="C1686" s="4" t="s">
        <v>12</v>
      </c>
      <c r="D1686" s="1">
        <v>9.6999999999999993</v>
      </c>
    </row>
    <row r="1687" spans="1:4" x14ac:dyDescent="0.25">
      <c r="A1687" s="1">
        <v>90</v>
      </c>
      <c r="B1687" s="2">
        <v>41095</v>
      </c>
      <c r="C1687" s="4" t="s">
        <v>13</v>
      </c>
      <c r="D1687" s="1">
        <v>23</v>
      </c>
    </row>
    <row r="1688" spans="1:4" x14ac:dyDescent="0.25">
      <c r="A1688" s="1">
        <v>90</v>
      </c>
      <c r="B1688" s="2">
        <v>41123</v>
      </c>
      <c r="C1688" s="4" t="s">
        <v>13</v>
      </c>
      <c r="D1688" s="1">
        <v>47</v>
      </c>
    </row>
    <row r="1689" spans="1:4" x14ac:dyDescent="0.25">
      <c r="A1689" s="1">
        <v>90</v>
      </c>
      <c r="B1689" s="2">
        <v>41156</v>
      </c>
      <c r="C1689" s="4" t="s">
        <v>13</v>
      </c>
      <c r="D1689" s="1">
        <v>37</v>
      </c>
    </row>
    <row r="1690" spans="1:4" x14ac:dyDescent="0.25">
      <c r="A1690" s="1">
        <v>90</v>
      </c>
      <c r="B1690" s="2">
        <v>41186</v>
      </c>
      <c r="C1690" s="4" t="s">
        <v>13</v>
      </c>
      <c r="D1690" s="1">
        <v>46</v>
      </c>
    </row>
    <row r="1691" spans="1:4" x14ac:dyDescent="0.25">
      <c r="A1691" s="1">
        <v>90</v>
      </c>
      <c r="B1691" s="2">
        <v>41221</v>
      </c>
      <c r="C1691" s="4" t="s">
        <v>13</v>
      </c>
      <c r="D1691" s="1">
        <v>42</v>
      </c>
    </row>
    <row r="1692" spans="1:4" x14ac:dyDescent="0.25">
      <c r="A1692" s="1">
        <v>91</v>
      </c>
      <c r="B1692" s="2">
        <v>41095</v>
      </c>
      <c r="C1692" s="4" t="s">
        <v>11</v>
      </c>
      <c r="D1692" s="1">
        <v>1385</v>
      </c>
    </row>
    <row r="1693" spans="1:4" x14ac:dyDescent="0.25">
      <c r="A1693" s="1">
        <v>91</v>
      </c>
      <c r="B1693" s="2">
        <v>41123</v>
      </c>
      <c r="C1693" s="4" t="s">
        <v>11</v>
      </c>
      <c r="D1693" s="1">
        <v>1448</v>
      </c>
    </row>
    <row r="1694" spans="1:4" x14ac:dyDescent="0.25">
      <c r="A1694" s="1">
        <v>91</v>
      </c>
      <c r="B1694" s="2">
        <v>41156</v>
      </c>
      <c r="C1694" s="4" t="s">
        <v>11</v>
      </c>
      <c r="D1694" s="1">
        <v>1466</v>
      </c>
    </row>
    <row r="1695" spans="1:4" x14ac:dyDescent="0.25">
      <c r="A1695" s="1">
        <v>91</v>
      </c>
      <c r="B1695" s="2">
        <v>41208</v>
      </c>
      <c r="C1695" s="4" t="s">
        <v>11</v>
      </c>
      <c r="D1695" s="1">
        <v>1406</v>
      </c>
    </row>
    <row r="1696" spans="1:4" x14ac:dyDescent="0.25">
      <c r="A1696" s="1">
        <v>91</v>
      </c>
      <c r="B1696" s="2">
        <v>41220</v>
      </c>
      <c r="C1696" s="4" t="s">
        <v>11</v>
      </c>
      <c r="D1696" s="1" t="s">
        <v>6</v>
      </c>
    </row>
    <row r="1697" spans="1:4" x14ac:dyDescent="0.25">
      <c r="A1697" s="1">
        <v>91</v>
      </c>
      <c r="B1697" s="2">
        <v>41095</v>
      </c>
      <c r="C1697" s="4" t="s">
        <v>12</v>
      </c>
      <c r="D1697" s="1">
        <v>10.4</v>
      </c>
    </row>
    <row r="1698" spans="1:4" x14ac:dyDescent="0.25">
      <c r="A1698" s="1">
        <v>91</v>
      </c>
      <c r="B1698" s="2">
        <v>41109</v>
      </c>
      <c r="C1698" s="4" t="s">
        <v>12</v>
      </c>
      <c r="D1698" s="1">
        <v>10.9</v>
      </c>
    </row>
    <row r="1699" spans="1:4" x14ac:dyDescent="0.25">
      <c r="A1699" s="1">
        <v>91</v>
      </c>
      <c r="B1699" s="2">
        <v>41123</v>
      </c>
      <c r="C1699" s="4" t="s">
        <v>12</v>
      </c>
      <c r="D1699" s="1">
        <v>11.6</v>
      </c>
    </row>
    <row r="1700" spans="1:4" x14ac:dyDescent="0.25">
      <c r="A1700" s="1">
        <v>91</v>
      </c>
      <c r="B1700" s="2">
        <v>41130</v>
      </c>
      <c r="C1700" s="4" t="s">
        <v>12</v>
      </c>
      <c r="D1700" s="1">
        <v>10.8</v>
      </c>
    </row>
    <row r="1701" spans="1:4" x14ac:dyDescent="0.25">
      <c r="A1701" s="1">
        <v>91</v>
      </c>
      <c r="B1701" s="2">
        <v>41137</v>
      </c>
      <c r="C1701" s="4" t="s">
        <v>12</v>
      </c>
      <c r="D1701" s="1">
        <v>11.4</v>
      </c>
    </row>
    <row r="1702" spans="1:4" x14ac:dyDescent="0.25">
      <c r="A1702" s="1">
        <v>91</v>
      </c>
      <c r="B1702" s="2">
        <v>41156</v>
      </c>
      <c r="C1702" s="4" t="s">
        <v>12</v>
      </c>
      <c r="D1702" s="1">
        <v>10.6</v>
      </c>
    </row>
    <row r="1703" spans="1:4" x14ac:dyDescent="0.25">
      <c r="A1703" s="1">
        <v>91</v>
      </c>
      <c r="B1703" s="2">
        <v>41172</v>
      </c>
      <c r="C1703" s="4" t="s">
        <v>12</v>
      </c>
      <c r="D1703" s="1">
        <v>10.9</v>
      </c>
    </row>
    <row r="1704" spans="1:4" x14ac:dyDescent="0.25">
      <c r="A1704" s="1">
        <v>91</v>
      </c>
      <c r="B1704" s="2">
        <v>41208</v>
      </c>
      <c r="C1704" s="4" t="s">
        <v>12</v>
      </c>
      <c r="D1704" s="1">
        <v>11.1</v>
      </c>
    </row>
    <row r="1705" spans="1:4" x14ac:dyDescent="0.25">
      <c r="A1705" s="1">
        <v>91</v>
      </c>
      <c r="B1705" s="2">
        <v>41220</v>
      </c>
      <c r="C1705" s="4" t="s">
        <v>12</v>
      </c>
      <c r="D1705" s="1">
        <v>12.1</v>
      </c>
    </row>
    <row r="1706" spans="1:4" x14ac:dyDescent="0.25">
      <c r="A1706" s="1">
        <v>91</v>
      </c>
      <c r="B1706" s="2">
        <v>41095</v>
      </c>
      <c r="C1706" s="4" t="s">
        <v>13</v>
      </c>
      <c r="D1706" s="1">
        <v>26</v>
      </c>
    </row>
    <row r="1707" spans="1:4" x14ac:dyDescent="0.25">
      <c r="A1707" s="1">
        <v>91</v>
      </c>
      <c r="B1707" s="2">
        <v>41123</v>
      </c>
      <c r="C1707" s="4" t="s">
        <v>13</v>
      </c>
      <c r="D1707" s="1">
        <v>21</v>
      </c>
    </row>
    <row r="1708" spans="1:4" x14ac:dyDescent="0.25">
      <c r="A1708" s="1">
        <v>91</v>
      </c>
      <c r="B1708" s="2">
        <v>41156</v>
      </c>
      <c r="C1708" s="4" t="s">
        <v>13</v>
      </c>
      <c r="D1708" s="1">
        <v>23</v>
      </c>
    </row>
    <row r="1709" spans="1:4" x14ac:dyDescent="0.25">
      <c r="A1709" s="1">
        <v>91</v>
      </c>
      <c r="B1709" s="2">
        <v>41208</v>
      </c>
      <c r="C1709" s="4" t="s">
        <v>13</v>
      </c>
      <c r="D1709" s="1">
        <v>28</v>
      </c>
    </row>
    <row r="1710" spans="1:4" x14ac:dyDescent="0.25">
      <c r="A1710" s="1">
        <v>91</v>
      </c>
      <c r="B1710" s="2">
        <v>41220</v>
      </c>
      <c r="C1710" s="4" t="s">
        <v>13</v>
      </c>
      <c r="D1710" s="1">
        <v>54</v>
      </c>
    </row>
    <row r="1711" spans="1:4" x14ac:dyDescent="0.25">
      <c r="A1711" s="1">
        <v>92</v>
      </c>
      <c r="B1711" s="2">
        <v>41094</v>
      </c>
      <c r="C1711" s="4" t="s">
        <v>11</v>
      </c>
      <c r="D1711" s="1">
        <v>467</v>
      </c>
    </row>
    <row r="1712" spans="1:4" x14ac:dyDescent="0.25">
      <c r="A1712" s="1">
        <v>92</v>
      </c>
      <c r="B1712" s="2">
        <v>41122</v>
      </c>
      <c r="C1712" s="4" t="s">
        <v>11</v>
      </c>
      <c r="D1712" s="1">
        <v>730</v>
      </c>
    </row>
    <row r="1713" spans="1:4" x14ac:dyDescent="0.25">
      <c r="A1713" s="1">
        <v>92</v>
      </c>
      <c r="B1713" s="2">
        <v>41157</v>
      </c>
      <c r="C1713" s="4" t="s">
        <v>11</v>
      </c>
      <c r="D1713" s="1">
        <v>600</v>
      </c>
    </row>
    <row r="1714" spans="1:4" x14ac:dyDescent="0.25">
      <c r="A1714" s="1">
        <v>92</v>
      </c>
      <c r="B1714" s="2">
        <v>41185</v>
      </c>
      <c r="C1714" s="4" t="s">
        <v>11</v>
      </c>
      <c r="D1714" s="1">
        <v>521</v>
      </c>
    </row>
    <row r="1715" spans="1:4" x14ac:dyDescent="0.25">
      <c r="A1715" s="1">
        <v>92</v>
      </c>
      <c r="B1715" s="2">
        <v>41222</v>
      </c>
      <c r="C1715" s="4" t="s">
        <v>11</v>
      </c>
      <c r="D1715" s="1">
        <v>702</v>
      </c>
    </row>
    <row r="1716" spans="1:4" x14ac:dyDescent="0.25">
      <c r="A1716" s="1">
        <v>92</v>
      </c>
      <c r="B1716" s="2">
        <v>41248</v>
      </c>
      <c r="C1716" s="4" t="s">
        <v>11</v>
      </c>
      <c r="D1716" s="1">
        <v>657</v>
      </c>
    </row>
    <row r="1717" spans="1:4" x14ac:dyDescent="0.25">
      <c r="A1717" s="1">
        <v>92</v>
      </c>
      <c r="B1717" s="2">
        <v>41094</v>
      </c>
      <c r="C1717" s="4" t="s">
        <v>12</v>
      </c>
      <c r="D1717" s="1">
        <v>10.1</v>
      </c>
    </row>
    <row r="1718" spans="1:4" x14ac:dyDescent="0.25">
      <c r="A1718" s="1">
        <v>92</v>
      </c>
      <c r="B1718" s="2">
        <v>41108</v>
      </c>
      <c r="C1718" s="4" t="s">
        <v>12</v>
      </c>
      <c r="D1718" s="1">
        <v>10.199999999999999</v>
      </c>
    </row>
    <row r="1719" spans="1:4" x14ac:dyDescent="0.25">
      <c r="A1719" s="1">
        <v>92</v>
      </c>
      <c r="B1719" s="2">
        <v>41122</v>
      </c>
      <c r="C1719" s="4" t="s">
        <v>12</v>
      </c>
      <c r="D1719" s="1">
        <v>11.2</v>
      </c>
    </row>
    <row r="1720" spans="1:4" x14ac:dyDescent="0.25">
      <c r="A1720" s="1">
        <v>92</v>
      </c>
      <c r="B1720" s="2">
        <v>41136</v>
      </c>
      <c r="C1720" s="4" t="s">
        <v>12</v>
      </c>
      <c r="D1720" s="1">
        <v>11</v>
      </c>
    </row>
    <row r="1721" spans="1:4" x14ac:dyDescent="0.25">
      <c r="A1721" s="1">
        <v>92</v>
      </c>
      <c r="B1721" s="2">
        <v>41157</v>
      </c>
      <c r="C1721" s="4" t="s">
        <v>12</v>
      </c>
      <c r="D1721" s="1">
        <v>10.9</v>
      </c>
    </row>
    <row r="1722" spans="1:4" x14ac:dyDescent="0.25">
      <c r="A1722" s="1">
        <v>92</v>
      </c>
      <c r="B1722" s="2">
        <v>41173</v>
      </c>
      <c r="C1722" s="4" t="s">
        <v>12</v>
      </c>
      <c r="D1722" s="1">
        <v>11</v>
      </c>
    </row>
    <row r="1723" spans="1:4" x14ac:dyDescent="0.25">
      <c r="A1723" s="1">
        <v>92</v>
      </c>
      <c r="B1723" s="2">
        <v>41185</v>
      </c>
      <c r="C1723" s="4" t="s">
        <v>12</v>
      </c>
      <c r="D1723" s="1">
        <v>10.7</v>
      </c>
    </row>
    <row r="1724" spans="1:4" x14ac:dyDescent="0.25">
      <c r="A1724" s="1">
        <v>92</v>
      </c>
      <c r="B1724" s="2">
        <v>41199</v>
      </c>
      <c r="C1724" s="4" t="s">
        <v>12</v>
      </c>
      <c r="D1724" s="1">
        <v>11.3</v>
      </c>
    </row>
    <row r="1725" spans="1:4" x14ac:dyDescent="0.25">
      <c r="A1725" s="1">
        <v>92</v>
      </c>
      <c r="B1725" s="2">
        <v>41222</v>
      </c>
      <c r="C1725" s="4" t="s">
        <v>12</v>
      </c>
      <c r="D1725" s="1">
        <v>11.2</v>
      </c>
    </row>
    <row r="1726" spans="1:4" x14ac:dyDescent="0.25">
      <c r="A1726" s="1">
        <v>92</v>
      </c>
      <c r="B1726" s="2">
        <v>41234</v>
      </c>
      <c r="C1726" s="4" t="s">
        <v>12</v>
      </c>
      <c r="D1726" s="1">
        <v>10.9</v>
      </c>
    </row>
    <row r="1727" spans="1:4" x14ac:dyDescent="0.25">
      <c r="A1727" s="1">
        <v>92</v>
      </c>
      <c r="B1727" s="2">
        <v>41248</v>
      </c>
      <c r="C1727" s="4" t="s">
        <v>12</v>
      </c>
      <c r="D1727" s="1">
        <v>10.5</v>
      </c>
    </row>
    <row r="1728" spans="1:4" x14ac:dyDescent="0.25">
      <c r="A1728" s="1">
        <v>92</v>
      </c>
      <c r="B1728" s="2">
        <v>41094</v>
      </c>
      <c r="C1728" s="4" t="s">
        <v>13</v>
      </c>
      <c r="D1728" s="1">
        <v>26</v>
      </c>
    </row>
    <row r="1729" spans="1:4" x14ac:dyDescent="0.25">
      <c r="A1729" s="1">
        <v>92</v>
      </c>
      <c r="B1729" s="2">
        <v>41122</v>
      </c>
      <c r="C1729" s="4" t="s">
        <v>13</v>
      </c>
      <c r="D1729" s="1">
        <v>35</v>
      </c>
    </row>
    <row r="1730" spans="1:4" x14ac:dyDescent="0.25">
      <c r="A1730" s="1">
        <v>92</v>
      </c>
      <c r="B1730" s="2">
        <v>41157</v>
      </c>
      <c r="C1730" s="4" t="s">
        <v>13</v>
      </c>
      <c r="D1730" s="1">
        <v>23</v>
      </c>
    </row>
    <row r="1731" spans="1:4" x14ac:dyDescent="0.25">
      <c r="A1731" s="1">
        <v>92</v>
      </c>
      <c r="B1731" s="2">
        <v>41185</v>
      </c>
      <c r="C1731" s="4" t="s">
        <v>13</v>
      </c>
      <c r="D1731" s="1">
        <v>28</v>
      </c>
    </row>
    <row r="1732" spans="1:4" x14ac:dyDescent="0.25">
      <c r="A1732" s="1">
        <v>92</v>
      </c>
      <c r="B1732" s="2">
        <v>41222</v>
      </c>
      <c r="C1732" s="4" t="s">
        <v>13</v>
      </c>
      <c r="D1732" s="1">
        <v>32</v>
      </c>
    </row>
    <row r="1733" spans="1:4" x14ac:dyDescent="0.25">
      <c r="A1733" s="1">
        <v>92</v>
      </c>
      <c r="B1733" s="2">
        <v>41248</v>
      </c>
      <c r="C1733" s="4" t="s">
        <v>13</v>
      </c>
      <c r="D1733" s="1">
        <v>34</v>
      </c>
    </row>
    <row r="1734" spans="1:4" x14ac:dyDescent="0.25">
      <c r="A1734" s="1">
        <v>93</v>
      </c>
      <c r="B1734" s="2">
        <v>41110</v>
      </c>
      <c r="C1734" s="4" t="s">
        <v>11</v>
      </c>
      <c r="D1734" s="1">
        <v>113</v>
      </c>
    </row>
    <row r="1735" spans="1:4" x14ac:dyDescent="0.25">
      <c r="A1735" s="1">
        <v>93</v>
      </c>
      <c r="B1735" s="2">
        <v>41127</v>
      </c>
      <c r="C1735" s="4" t="s">
        <v>11</v>
      </c>
      <c r="D1735" s="1">
        <v>178</v>
      </c>
    </row>
    <row r="1736" spans="1:4" x14ac:dyDescent="0.25">
      <c r="A1736" s="1">
        <v>93</v>
      </c>
      <c r="B1736" s="2">
        <v>41110</v>
      </c>
      <c r="C1736" s="4" t="s">
        <v>12</v>
      </c>
      <c r="D1736" s="1">
        <v>11.6</v>
      </c>
    </row>
    <row r="1737" spans="1:4" x14ac:dyDescent="0.25">
      <c r="A1737" s="1">
        <v>93</v>
      </c>
      <c r="B1737" s="2">
        <v>41127</v>
      </c>
      <c r="C1737" s="4" t="s">
        <v>12</v>
      </c>
      <c r="D1737" s="1">
        <v>10</v>
      </c>
    </row>
    <row r="1738" spans="1:4" x14ac:dyDescent="0.25">
      <c r="A1738" s="1">
        <v>93</v>
      </c>
      <c r="B1738" s="2">
        <v>41136</v>
      </c>
      <c r="C1738" s="4" t="s">
        <v>12</v>
      </c>
      <c r="D1738" s="1">
        <v>14.3</v>
      </c>
    </row>
    <row r="1739" spans="1:4" x14ac:dyDescent="0.25">
      <c r="A1739" s="1">
        <v>93</v>
      </c>
      <c r="B1739" s="2">
        <v>41110</v>
      </c>
      <c r="C1739" s="4" t="s">
        <v>13</v>
      </c>
      <c r="D1739" s="1">
        <v>34</v>
      </c>
    </row>
    <row r="1740" spans="1:4" x14ac:dyDescent="0.25">
      <c r="A1740" s="1">
        <v>93</v>
      </c>
      <c r="B1740" s="2">
        <v>41127</v>
      </c>
      <c r="C1740" s="4" t="s">
        <v>13</v>
      </c>
      <c r="D1740" s="1">
        <v>35</v>
      </c>
    </row>
    <row r="1741" spans="1:4" x14ac:dyDescent="0.25">
      <c r="A1741" s="1">
        <v>94</v>
      </c>
      <c r="B1741" s="2">
        <v>41094</v>
      </c>
      <c r="C1741" s="4" t="s">
        <v>11</v>
      </c>
      <c r="D1741" s="1">
        <v>2348</v>
      </c>
    </row>
    <row r="1742" spans="1:4" x14ac:dyDescent="0.25">
      <c r="A1742" s="1">
        <v>94</v>
      </c>
      <c r="B1742" s="2">
        <v>41122</v>
      </c>
      <c r="C1742" s="4" t="s">
        <v>11</v>
      </c>
      <c r="D1742" s="1">
        <v>1766</v>
      </c>
    </row>
    <row r="1743" spans="1:4" x14ac:dyDescent="0.25">
      <c r="A1743" s="1">
        <v>94</v>
      </c>
      <c r="B1743" s="2">
        <v>41157</v>
      </c>
      <c r="C1743" s="4" t="s">
        <v>11</v>
      </c>
      <c r="D1743" s="1">
        <v>1449</v>
      </c>
    </row>
    <row r="1744" spans="1:4" x14ac:dyDescent="0.25">
      <c r="A1744" s="1">
        <v>94</v>
      </c>
      <c r="B1744" s="2">
        <v>41185</v>
      </c>
      <c r="C1744" s="4" t="s">
        <v>11</v>
      </c>
      <c r="D1744" s="1">
        <v>1314</v>
      </c>
    </row>
    <row r="1745" spans="1:4" x14ac:dyDescent="0.25">
      <c r="A1745" s="1">
        <v>94</v>
      </c>
      <c r="B1745" s="2">
        <v>41220</v>
      </c>
      <c r="C1745" s="4" t="s">
        <v>11</v>
      </c>
      <c r="D1745" s="1">
        <v>2719</v>
      </c>
    </row>
    <row r="1746" spans="1:4" x14ac:dyDescent="0.25">
      <c r="A1746" s="1">
        <v>94</v>
      </c>
      <c r="B1746" s="2">
        <v>41248</v>
      </c>
      <c r="C1746" s="4" t="s">
        <v>11</v>
      </c>
      <c r="D1746" s="1">
        <v>2702</v>
      </c>
    </row>
    <row r="1747" spans="1:4" x14ac:dyDescent="0.25">
      <c r="A1747" s="1">
        <v>94</v>
      </c>
      <c r="B1747" s="2">
        <v>41094</v>
      </c>
      <c r="C1747" s="4" t="s">
        <v>12</v>
      </c>
      <c r="D1747" s="1">
        <v>8.6</v>
      </c>
    </row>
    <row r="1748" spans="1:4" x14ac:dyDescent="0.25">
      <c r="A1748" s="1">
        <v>94</v>
      </c>
      <c r="B1748" s="2">
        <v>41108</v>
      </c>
      <c r="C1748" s="4" t="s">
        <v>12</v>
      </c>
      <c r="D1748" s="1">
        <v>8.6999999999999993</v>
      </c>
    </row>
    <row r="1749" spans="1:4" x14ac:dyDescent="0.25">
      <c r="A1749" s="1">
        <v>94</v>
      </c>
      <c r="B1749" s="2">
        <v>41122</v>
      </c>
      <c r="C1749" s="4" t="s">
        <v>12</v>
      </c>
      <c r="D1749" s="1">
        <v>9.5</v>
      </c>
    </row>
    <row r="1750" spans="1:4" x14ac:dyDescent="0.25">
      <c r="A1750" s="1">
        <v>94</v>
      </c>
      <c r="B1750" s="2">
        <v>41136</v>
      </c>
      <c r="C1750" s="4" t="s">
        <v>12</v>
      </c>
      <c r="D1750" s="1">
        <v>10.1</v>
      </c>
    </row>
    <row r="1751" spans="1:4" x14ac:dyDescent="0.25">
      <c r="A1751" s="1">
        <v>94</v>
      </c>
      <c r="B1751" s="2">
        <v>41157</v>
      </c>
      <c r="C1751" s="4" t="s">
        <v>12</v>
      </c>
      <c r="D1751" s="1">
        <v>11.3</v>
      </c>
    </row>
    <row r="1752" spans="1:4" x14ac:dyDescent="0.25">
      <c r="A1752" s="1">
        <v>94</v>
      </c>
      <c r="B1752" s="2">
        <v>41171</v>
      </c>
      <c r="C1752" s="4" t="s">
        <v>12</v>
      </c>
      <c r="D1752" s="1">
        <v>11.8</v>
      </c>
    </row>
    <row r="1753" spans="1:4" x14ac:dyDescent="0.25">
      <c r="A1753" s="1">
        <v>94</v>
      </c>
      <c r="B1753" s="2">
        <v>41185</v>
      </c>
      <c r="C1753" s="4" t="s">
        <v>12</v>
      </c>
      <c r="D1753" s="1">
        <v>13.2</v>
      </c>
    </row>
    <row r="1754" spans="1:4" x14ac:dyDescent="0.25">
      <c r="A1754" s="1">
        <v>94</v>
      </c>
      <c r="B1754" s="2">
        <v>41199</v>
      </c>
      <c r="C1754" s="4" t="s">
        <v>12</v>
      </c>
      <c r="D1754" s="1">
        <v>12.9</v>
      </c>
    </row>
    <row r="1755" spans="1:4" x14ac:dyDescent="0.25">
      <c r="A1755" s="1">
        <v>94</v>
      </c>
      <c r="B1755" s="2">
        <v>41220</v>
      </c>
      <c r="C1755" s="4" t="s">
        <v>12</v>
      </c>
      <c r="D1755" s="1">
        <v>11.5</v>
      </c>
    </row>
    <row r="1756" spans="1:4" x14ac:dyDescent="0.25">
      <c r="A1756" s="1">
        <v>94</v>
      </c>
      <c r="B1756" s="2">
        <v>41233</v>
      </c>
      <c r="C1756" s="4" t="s">
        <v>12</v>
      </c>
      <c r="D1756" s="1">
        <v>11.2</v>
      </c>
    </row>
    <row r="1757" spans="1:4" x14ac:dyDescent="0.25">
      <c r="A1757" s="1">
        <v>94</v>
      </c>
      <c r="B1757" s="2">
        <v>41248</v>
      </c>
      <c r="C1757" s="4" t="s">
        <v>12</v>
      </c>
      <c r="D1757" s="1">
        <v>10.6</v>
      </c>
    </row>
    <row r="1758" spans="1:4" x14ac:dyDescent="0.25">
      <c r="A1758" s="1">
        <v>94</v>
      </c>
      <c r="B1758" s="2">
        <v>41094</v>
      </c>
      <c r="C1758" s="4" t="s">
        <v>13</v>
      </c>
      <c r="D1758" s="1">
        <v>18</v>
      </c>
    </row>
    <row r="1759" spans="1:4" x14ac:dyDescent="0.25">
      <c r="A1759" s="1">
        <v>94</v>
      </c>
      <c r="B1759" s="2">
        <v>41122</v>
      </c>
      <c r="C1759" s="4" t="s">
        <v>13</v>
      </c>
      <c r="D1759" s="1">
        <v>17</v>
      </c>
    </row>
    <row r="1760" spans="1:4" x14ac:dyDescent="0.25">
      <c r="A1760" s="1">
        <v>94</v>
      </c>
      <c r="B1760" s="2">
        <v>41157</v>
      </c>
      <c r="C1760" s="4" t="s">
        <v>13</v>
      </c>
      <c r="D1760" s="1">
        <v>16</v>
      </c>
    </row>
    <row r="1761" spans="1:4" x14ac:dyDescent="0.25">
      <c r="A1761" s="1">
        <v>94</v>
      </c>
      <c r="B1761" s="2">
        <v>41185</v>
      </c>
      <c r="C1761" s="4" t="s">
        <v>13</v>
      </c>
      <c r="D1761" s="1">
        <v>20</v>
      </c>
    </row>
    <row r="1762" spans="1:4" x14ac:dyDescent="0.25">
      <c r="A1762" s="1">
        <v>94</v>
      </c>
      <c r="B1762" s="2">
        <v>41220</v>
      </c>
      <c r="C1762" s="4" t="s">
        <v>13</v>
      </c>
      <c r="D1762" s="1">
        <v>41</v>
      </c>
    </row>
    <row r="1763" spans="1:4" x14ac:dyDescent="0.25">
      <c r="A1763" s="1">
        <v>94</v>
      </c>
      <c r="B1763" s="2">
        <v>41248</v>
      </c>
      <c r="C1763" s="4" t="s">
        <v>13</v>
      </c>
      <c r="D1763" s="1">
        <v>43</v>
      </c>
    </row>
    <row r="1764" spans="1:4" x14ac:dyDescent="0.25">
      <c r="A1764" s="1">
        <v>95</v>
      </c>
      <c r="B1764" s="2">
        <v>41095</v>
      </c>
      <c r="C1764" s="4" t="s">
        <v>11</v>
      </c>
      <c r="D1764" s="1">
        <v>460</v>
      </c>
    </row>
    <row r="1765" spans="1:4" x14ac:dyDescent="0.25">
      <c r="A1765" s="1">
        <v>95</v>
      </c>
      <c r="B1765" s="2">
        <v>41123</v>
      </c>
      <c r="C1765" s="4" t="s">
        <v>11</v>
      </c>
      <c r="D1765" s="1">
        <v>638</v>
      </c>
    </row>
    <row r="1766" spans="1:4" x14ac:dyDescent="0.25">
      <c r="A1766" s="1">
        <v>95</v>
      </c>
      <c r="B1766" s="2">
        <v>41095</v>
      </c>
      <c r="C1766" s="4" t="s">
        <v>12</v>
      </c>
      <c r="D1766" s="1">
        <v>12.1</v>
      </c>
    </row>
    <row r="1767" spans="1:4" x14ac:dyDescent="0.25">
      <c r="A1767" s="1">
        <v>95</v>
      </c>
      <c r="B1767" s="2">
        <v>41102</v>
      </c>
      <c r="C1767" s="4" t="s">
        <v>12</v>
      </c>
      <c r="D1767" s="1">
        <v>11.7</v>
      </c>
    </row>
    <row r="1768" spans="1:4" x14ac:dyDescent="0.25">
      <c r="A1768" s="1">
        <v>95</v>
      </c>
      <c r="B1768" s="2">
        <v>41111</v>
      </c>
      <c r="C1768" s="4" t="s">
        <v>12</v>
      </c>
      <c r="D1768" s="1">
        <v>11.4</v>
      </c>
    </row>
    <row r="1769" spans="1:4" x14ac:dyDescent="0.25">
      <c r="A1769" s="1">
        <v>95</v>
      </c>
      <c r="B1769" s="2">
        <v>41118</v>
      </c>
      <c r="C1769" s="4" t="s">
        <v>12</v>
      </c>
      <c r="D1769" s="1">
        <v>11.3</v>
      </c>
    </row>
    <row r="1770" spans="1:4" x14ac:dyDescent="0.25">
      <c r="A1770" s="1">
        <v>95</v>
      </c>
      <c r="B1770" s="2">
        <v>41123</v>
      </c>
      <c r="C1770" s="4" t="s">
        <v>12</v>
      </c>
      <c r="D1770" s="1">
        <v>10.199999999999999</v>
      </c>
    </row>
    <row r="1771" spans="1:4" x14ac:dyDescent="0.25">
      <c r="A1771" s="1">
        <v>95</v>
      </c>
      <c r="B1771" s="2">
        <v>41137</v>
      </c>
      <c r="C1771" s="4" t="s">
        <v>12</v>
      </c>
      <c r="D1771" s="1">
        <v>9.8000000000000007</v>
      </c>
    </row>
    <row r="1772" spans="1:4" x14ac:dyDescent="0.25">
      <c r="A1772" s="1">
        <v>95</v>
      </c>
      <c r="B1772" s="2">
        <v>41095</v>
      </c>
      <c r="C1772" s="4" t="s">
        <v>13</v>
      </c>
      <c r="D1772" s="1">
        <v>44</v>
      </c>
    </row>
    <row r="1773" spans="1:4" x14ac:dyDescent="0.25">
      <c r="A1773" s="1">
        <v>95</v>
      </c>
      <c r="B1773" s="2">
        <v>41123</v>
      </c>
      <c r="C1773" s="4" t="s">
        <v>13</v>
      </c>
      <c r="D1773" s="1">
        <v>27</v>
      </c>
    </row>
    <row r="1774" spans="1:4" x14ac:dyDescent="0.25">
      <c r="A1774" s="1">
        <v>96</v>
      </c>
      <c r="B1774" s="2">
        <v>41095</v>
      </c>
      <c r="C1774" s="4" t="s">
        <v>11</v>
      </c>
      <c r="D1774" s="1">
        <v>2175</v>
      </c>
    </row>
    <row r="1775" spans="1:4" x14ac:dyDescent="0.25">
      <c r="A1775" s="1">
        <v>96</v>
      </c>
      <c r="B1775" s="2">
        <v>41123</v>
      </c>
      <c r="C1775" s="4" t="s">
        <v>11</v>
      </c>
      <c r="D1775" s="1">
        <v>2096</v>
      </c>
    </row>
    <row r="1776" spans="1:4" x14ac:dyDescent="0.25">
      <c r="A1776" s="1">
        <v>96</v>
      </c>
      <c r="B1776" s="2">
        <v>41156</v>
      </c>
      <c r="C1776" s="4" t="s">
        <v>11</v>
      </c>
      <c r="D1776" s="1">
        <v>1782</v>
      </c>
    </row>
    <row r="1777" spans="1:4" x14ac:dyDescent="0.25">
      <c r="A1777" s="1">
        <v>96</v>
      </c>
      <c r="B1777" s="2">
        <v>41186</v>
      </c>
      <c r="C1777" s="4" t="s">
        <v>11</v>
      </c>
      <c r="D1777" s="1">
        <v>1707</v>
      </c>
    </row>
    <row r="1778" spans="1:4" x14ac:dyDescent="0.25">
      <c r="A1778" s="1">
        <v>96</v>
      </c>
      <c r="B1778" s="2">
        <v>41221</v>
      </c>
      <c r="C1778" s="4" t="s">
        <v>11</v>
      </c>
      <c r="D1778" s="1">
        <v>2083</v>
      </c>
    </row>
    <row r="1779" spans="1:4" x14ac:dyDescent="0.25">
      <c r="A1779" s="1">
        <v>96</v>
      </c>
      <c r="B1779" s="2">
        <v>41095</v>
      </c>
      <c r="C1779" s="4" t="s">
        <v>12</v>
      </c>
      <c r="D1779" s="1">
        <v>11.2</v>
      </c>
    </row>
    <row r="1780" spans="1:4" x14ac:dyDescent="0.25">
      <c r="A1780" s="1">
        <v>96</v>
      </c>
      <c r="B1780" s="2">
        <v>41108</v>
      </c>
      <c r="C1780" s="4" t="s">
        <v>12</v>
      </c>
      <c r="D1780" s="1">
        <v>10.9</v>
      </c>
    </row>
    <row r="1781" spans="1:4" x14ac:dyDescent="0.25">
      <c r="A1781" s="1">
        <v>96</v>
      </c>
      <c r="B1781" s="2">
        <v>41123</v>
      </c>
      <c r="C1781" s="4" t="s">
        <v>12</v>
      </c>
      <c r="D1781" s="1">
        <v>11.4</v>
      </c>
    </row>
    <row r="1782" spans="1:4" x14ac:dyDescent="0.25">
      <c r="A1782" s="1">
        <v>96</v>
      </c>
      <c r="B1782" s="2">
        <v>41137</v>
      </c>
      <c r="C1782" s="4" t="s">
        <v>12</v>
      </c>
      <c r="D1782" s="1">
        <v>10</v>
      </c>
    </row>
    <row r="1783" spans="1:4" x14ac:dyDescent="0.25">
      <c r="A1783" s="1">
        <v>96</v>
      </c>
      <c r="B1783" s="2">
        <v>41156</v>
      </c>
      <c r="C1783" s="4" t="s">
        <v>12</v>
      </c>
      <c r="D1783" s="1">
        <v>10.8</v>
      </c>
    </row>
    <row r="1784" spans="1:4" x14ac:dyDescent="0.25">
      <c r="A1784" s="1">
        <v>96</v>
      </c>
      <c r="B1784" s="2">
        <v>41170</v>
      </c>
      <c r="C1784" s="4" t="s">
        <v>12</v>
      </c>
      <c r="D1784" s="1">
        <v>12.3</v>
      </c>
    </row>
    <row r="1785" spans="1:4" x14ac:dyDescent="0.25">
      <c r="A1785" s="1">
        <v>96</v>
      </c>
      <c r="B1785" s="2">
        <v>41172</v>
      </c>
      <c r="C1785" s="4" t="s">
        <v>12</v>
      </c>
      <c r="D1785" s="1">
        <v>12</v>
      </c>
    </row>
    <row r="1786" spans="1:4" x14ac:dyDescent="0.25">
      <c r="A1786" s="1">
        <v>96</v>
      </c>
      <c r="B1786" s="2">
        <v>41186</v>
      </c>
      <c r="C1786" s="4" t="s">
        <v>12</v>
      </c>
      <c r="D1786" s="1">
        <v>12.3</v>
      </c>
    </row>
    <row r="1787" spans="1:4" x14ac:dyDescent="0.25">
      <c r="A1787" s="1">
        <v>96</v>
      </c>
      <c r="B1787" s="2">
        <v>41200</v>
      </c>
      <c r="C1787" s="4" t="s">
        <v>12</v>
      </c>
      <c r="D1787" s="1">
        <v>11.8</v>
      </c>
    </row>
    <row r="1788" spans="1:4" x14ac:dyDescent="0.25">
      <c r="A1788" s="1">
        <v>96</v>
      </c>
      <c r="B1788" s="2">
        <v>41221</v>
      </c>
      <c r="C1788" s="4" t="s">
        <v>12</v>
      </c>
      <c r="D1788" s="1">
        <v>11.2</v>
      </c>
    </row>
    <row r="1789" spans="1:4" x14ac:dyDescent="0.25">
      <c r="A1789" s="1">
        <v>96</v>
      </c>
      <c r="B1789" s="2">
        <v>41232</v>
      </c>
      <c r="C1789" s="4" t="s">
        <v>12</v>
      </c>
      <c r="D1789" s="1">
        <v>11.1</v>
      </c>
    </row>
    <row r="1790" spans="1:4" x14ac:dyDescent="0.25">
      <c r="A1790" s="1">
        <v>96</v>
      </c>
      <c r="B1790" s="2">
        <v>41095</v>
      </c>
      <c r="C1790" s="4" t="s">
        <v>13</v>
      </c>
      <c r="D1790" s="1">
        <v>93</v>
      </c>
    </row>
    <row r="1791" spans="1:4" x14ac:dyDescent="0.25">
      <c r="A1791" s="1">
        <v>96</v>
      </c>
      <c r="B1791" s="2">
        <v>41123</v>
      </c>
      <c r="C1791" s="4" t="s">
        <v>13</v>
      </c>
      <c r="D1791" s="1">
        <v>45</v>
      </c>
    </row>
    <row r="1792" spans="1:4" x14ac:dyDescent="0.25">
      <c r="A1792" s="1">
        <v>96</v>
      </c>
      <c r="B1792" s="2">
        <v>41156</v>
      </c>
      <c r="C1792" s="4" t="s">
        <v>13</v>
      </c>
      <c r="D1792" s="1">
        <v>32</v>
      </c>
    </row>
    <row r="1793" spans="1:4" x14ac:dyDescent="0.25">
      <c r="A1793" s="1">
        <v>96</v>
      </c>
      <c r="B1793" s="2">
        <v>41170</v>
      </c>
      <c r="C1793" s="4" t="s">
        <v>13</v>
      </c>
      <c r="D1793" s="1">
        <v>58</v>
      </c>
    </row>
    <row r="1794" spans="1:4" x14ac:dyDescent="0.25">
      <c r="A1794" s="1">
        <v>96</v>
      </c>
      <c r="B1794" s="2">
        <v>41186</v>
      </c>
      <c r="C1794" s="4" t="s">
        <v>13</v>
      </c>
      <c r="D1794" s="1">
        <v>58</v>
      </c>
    </row>
    <row r="1795" spans="1:4" x14ac:dyDescent="0.25">
      <c r="A1795" s="1">
        <v>96</v>
      </c>
      <c r="B1795" s="2">
        <v>41221</v>
      </c>
      <c r="C1795" s="4" t="s">
        <v>13</v>
      </c>
      <c r="D1795" s="1">
        <v>90</v>
      </c>
    </row>
    <row r="1796" spans="1:4" x14ac:dyDescent="0.25">
      <c r="A1796" s="1">
        <v>97</v>
      </c>
      <c r="B1796" s="2">
        <v>41157</v>
      </c>
      <c r="C1796" s="4" t="s">
        <v>11</v>
      </c>
      <c r="D1796" s="1">
        <v>856</v>
      </c>
    </row>
    <row r="1797" spans="1:4" x14ac:dyDescent="0.25">
      <c r="A1797" s="1">
        <v>97</v>
      </c>
      <c r="B1797" s="2">
        <v>41185</v>
      </c>
      <c r="C1797" s="4" t="s">
        <v>11</v>
      </c>
      <c r="D1797" s="1">
        <v>688</v>
      </c>
    </row>
    <row r="1798" spans="1:4" x14ac:dyDescent="0.25">
      <c r="A1798" s="1">
        <v>97</v>
      </c>
      <c r="B1798" s="2">
        <v>41136</v>
      </c>
      <c r="C1798" s="4" t="s">
        <v>12</v>
      </c>
      <c r="D1798" s="1">
        <v>11.6</v>
      </c>
    </row>
    <row r="1799" spans="1:4" x14ac:dyDescent="0.25">
      <c r="A1799" s="1">
        <v>97</v>
      </c>
      <c r="B1799" s="2">
        <v>41143</v>
      </c>
      <c r="C1799" s="4" t="s">
        <v>12</v>
      </c>
      <c r="D1799" s="1">
        <v>11.3</v>
      </c>
    </row>
    <row r="1800" spans="1:4" x14ac:dyDescent="0.25">
      <c r="A1800" s="1">
        <v>97</v>
      </c>
      <c r="B1800" s="2">
        <v>41157</v>
      </c>
      <c r="C1800" s="4" t="s">
        <v>12</v>
      </c>
      <c r="D1800" s="1">
        <v>11.1</v>
      </c>
    </row>
    <row r="1801" spans="1:4" x14ac:dyDescent="0.25">
      <c r="A1801" s="1">
        <v>97</v>
      </c>
      <c r="B1801" s="2">
        <v>41171</v>
      </c>
      <c r="C1801" s="4" t="s">
        <v>12</v>
      </c>
      <c r="D1801" s="1">
        <v>10.6</v>
      </c>
    </row>
    <row r="1802" spans="1:4" x14ac:dyDescent="0.25">
      <c r="A1802" s="1">
        <v>97</v>
      </c>
      <c r="B1802" s="2">
        <v>41185</v>
      </c>
      <c r="C1802" s="4" t="s">
        <v>12</v>
      </c>
      <c r="D1802" s="1">
        <v>10.3</v>
      </c>
    </row>
    <row r="1803" spans="1:4" x14ac:dyDescent="0.25">
      <c r="A1803" s="1">
        <v>97</v>
      </c>
      <c r="B1803" s="2">
        <v>41157</v>
      </c>
      <c r="C1803" s="4" t="s">
        <v>13</v>
      </c>
      <c r="D1803" s="1">
        <v>23</v>
      </c>
    </row>
    <row r="1804" spans="1:4" x14ac:dyDescent="0.25">
      <c r="A1804" s="1">
        <v>97</v>
      </c>
      <c r="B1804" s="2">
        <v>41185</v>
      </c>
      <c r="C1804" s="4" t="s">
        <v>13</v>
      </c>
      <c r="D1804" s="1">
        <v>19</v>
      </c>
    </row>
    <row r="1805" spans="1:4" x14ac:dyDescent="0.25">
      <c r="A1805" s="1">
        <v>98</v>
      </c>
      <c r="B1805" s="2">
        <v>41095</v>
      </c>
      <c r="C1805" s="4" t="s">
        <v>11</v>
      </c>
      <c r="D1805" s="1">
        <v>701</v>
      </c>
    </row>
    <row r="1806" spans="1:4" x14ac:dyDescent="0.25">
      <c r="A1806" s="1">
        <v>98</v>
      </c>
      <c r="B1806" s="2">
        <v>41123</v>
      </c>
      <c r="C1806" s="4" t="s">
        <v>11</v>
      </c>
      <c r="D1806" s="1">
        <v>454</v>
      </c>
    </row>
    <row r="1807" spans="1:4" x14ac:dyDescent="0.25">
      <c r="A1807" s="1">
        <v>98</v>
      </c>
      <c r="B1807" s="2">
        <v>41158</v>
      </c>
      <c r="C1807" s="4" t="s">
        <v>11</v>
      </c>
      <c r="D1807" s="1">
        <v>618</v>
      </c>
    </row>
    <row r="1808" spans="1:4" x14ac:dyDescent="0.25">
      <c r="A1808" s="1">
        <v>98</v>
      </c>
      <c r="B1808" s="2">
        <v>41186</v>
      </c>
      <c r="C1808" s="4" t="s">
        <v>11</v>
      </c>
      <c r="D1808" s="1">
        <v>841</v>
      </c>
    </row>
    <row r="1809" spans="1:4" x14ac:dyDescent="0.25">
      <c r="A1809" s="1">
        <v>98</v>
      </c>
      <c r="B1809" s="2">
        <v>41221</v>
      </c>
      <c r="C1809" s="4" t="s">
        <v>11</v>
      </c>
      <c r="D1809" s="1">
        <v>772</v>
      </c>
    </row>
    <row r="1810" spans="1:4" x14ac:dyDescent="0.25">
      <c r="A1810" s="1">
        <v>98</v>
      </c>
      <c r="B1810" s="2">
        <v>41095</v>
      </c>
      <c r="C1810" s="4" t="s">
        <v>12</v>
      </c>
      <c r="D1810" s="1">
        <v>9.6</v>
      </c>
    </row>
    <row r="1811" spans="1:4" x14ac:dyDescent="0.25">
      <c r="A1811" s="1">
        <v>98</v>
      </c>
      <c r="B1811" s="2">
        <v>41109</v>
      </c>
      <c r="C1811" s="4" t="s">
        <v>12</v>
      </c>
      <c r="D1811" s="1">
        <v>10.1</v>
      </c>
    </row>
    <row r="1812" spans="1:4" x14ac:dyDescent="0.25">
      <c r="A1812" s="1">
        <v>98</v>
      </c>
      <c r="B1812" s="2">
        <v>41123</v>
      </c>
      <c r="C1812" s="4" t="s">
        <v>12</v>
      </c>
      <c r="D1812" s="1">
        <v>10.3</v>
      </c>
    </row>
    <row r="1813" spans="1:4" x14ac:dyDescent="0.25">
      <c r="A1813" s="1">
        <v>98</v>
      </c>
      <c r="B1813" s="2">
        <v>41137</v>
      </c>
      <c r="C1813" s="4" t="s">
        <v>12</v>
      </c>
      <c r="D1813" s="1">
        <v>11.4</v>
      </c>
    </row>
    <row r="1814" spans="1:4" x14ac:dyDescent="0.25">
      <c r="A1814" s="1">
        <v>98</v>
      </c>
      <c r="B1814" s="2">
        <v>41158</v>
      </c>
      <c r="C1814" s="4" t="s">
        <v>12</v>
      </c>
      <c r="D1814" s="1">
        <v>12.1</v>
      </c>
    </row>
    <row r="1815" spans="1:4" x14ac:dyDescent="0.25">
      <c r="A1815" s="1">
        <v>98</v>
      </c>
      <c r="B1815" s="2">
        <v>41174</v>
      </c>
      <c r="C1815" s="4" t="s">
        <v>12</v>
      </c>
      <c r="D1815" s="1">
        <v>11.2</v>
      </c>
    </row>
    <row r="1816" spans="1:4" x14ac:dyDescent="0.25">
      <c r="A1816" s="1">
        <v>98</v>
      </c>
      <c r="B1816" s="2">
        <v>41186</v>
      </c>
      <c r="C1816" s="4" t="s">
        <v>12</v>
      </c>
      <c r="D1816" s="1">
        <v>10.4</v>
      </c>
    </row>
    <row r="1817" spans="1:4" x14ac:dyDescent="0.25">
      <c r="A1817" s="1">
        <v>98</v>
      </c>
      <c r="B1817" s="2">
        <v>41221</v>
      </c>
      <c r="C1817" s="4" t="s">
        <v>12</v>
      </c>
      <c r="D1817" s="1">
        <v>9</v>
      </c>
    </row>
    <row r="1818" spans="1:4" x14ac:dyDescent="0.25">
      <c r="A1818" s="1">
        <v>98</v>
      </c>
      <c r="B1818" s="2">
        <v>41232</v>
      </c>
      <c r="C1818" s="4" t="s">
        <v>12</v>
      </c>
      <c r="D1818" s="1">
        <v>9.4</v>
      </c>
    </row>
    <row r="1819" spans="1:4" x14ac:dyDescent="0.25">
      <c r="A1819" s="1">
        <v>98</v>
      </c>
      <c r="B1819" s="2">
        <v>41237</v>
      </c>
      <c r="C1819" s="4" t="s">
        <v>12</v>
      </c>
      <c r="D1819" s="1">
        <v>8.4</v>
      </c>
    </row>
    <row r="1820" spans="1:4" x14ac:dyDescent="0.25">
      <c r="A1820" s="1">
        <v>98</v>
      </c>
      <c r="B1820" s="2">
        <v>41240</v>
      </c>
      <c r="C1820" s="4" t="s">
        <v>12</v>
      </c>
      <c r="D1820" s="1">
        <v>8.1</v>
      </c>
    </row>
    <row r="1821" spans="1:4" x14ac:dyDescent="0.25">
      <c r="A1821" s="1">
        <v>98</v>
      </c>
      <c r="B1821" s="2">
        <v>41095</v>
      </c>
      <c r="C1821" s="4" t="s">
        <v>13</v>
      </c>
      <c r="D1821" s="1">
        <v>23</v>
      </c>
    </row>
    <row r="1822" spans="1:4" x14ac:dyDescent="0.25">
      <c r="A1822" s="1">
        <v>98</v>
      </c>
      <c r="B1822" s="2">
        <v>41123</v>
      </c>
      <c r="C1822" s="4" t="s">
        <v>13</v>
      </c>
      <c r="D1822" s="1">
        <v>27</v>
      </c>
    </row>
    <row r="1823" spans="1:4" x14ac:dyDescent="0.25">
      <c r="A1823" s="1">
        <v>98</v>
      </c>
      <c r="B1823" s="2">
        <v>41158</v>
      </c>
      <c r="C1823" s="4" t="s">
        <v>13</v>
      </c>
      <c r="D1823" s="1">
        <v>25</v>
      </c>
    </row>
    <row r="1824" spans="1:4" x14ac:dyDescent="0.25">
      <c r="A1824" s="1">
        <v>98</v>
      </c>
      <c r="B1824" s="2">
        <v>41186</v>
      </c>
      <c r="C1824" s="4" t="s">
        <v>13</v>
      </c>
      <c r="D1824" s="1">
        <v>38</v>
      </c>
    </row>
    <row r="1825" spans="1:4" x14ac:dyDescent="0.25">
      <c r="A1825" s="1">
        <v>98</v>
      </c>
      <c r="B1825" s="2">
        <v>41221</v>
      </c>
      <c r="C1825" s="4" t="s">
        <v>13</v>
      </c>
      <c r="D1825" s="1">
        <v>32</v>
      </c>
    </row>
    <row r="1826" spans="1:4" x14ac:dyDescent="0.25">
      <c r="A1826" s="1">
        <v>99</v>
      </c>
      <c r="B1826" s="2">
        <v>41094</v>
      </c>
      <c r="C1826" s="4" t="s">
        <v>11</v>
      </c>
      <c r="D1826" s="1">
        <v>792</v>
      </c>
    </row>
    <row r="1827" spans="1:4" x14ac:dyDescent="0.25">
      <c r="A1827" s="1">
        <v>99</v>
      </c>
      <c r="B1827" s="2">
        <v>41122</v>
      </c>
      <c r="C1827" s="4" t="s">
        <v>11</v>
      </c>
      <c r="D1827" s="1">
        <v>692</v>
      </c>
    </row>
    <row r="1828" spans="1:4" x14ac:dyDescent="0.25">
      <c r="A1828" s="1">
        <v>99</v>
      </c>
      <c r="B1828" s="2">
        <v>41157</v>
      </c>
      <c r="C1828" s="4" t="s">
        <v>11</v>
      </c>
      <c r="D1828" s="1">
        <v>724</v>
      </c>
    </row>
    <row r="1829" spans="1:4" x14ac:dyDescent="0.25">
      <c r="A1829" s="1">
        <v>99</v>
      </c>
      <c r="B1829" s="2">
        <v>41185</v>
      </c>
      <c r="C1829" s="4" t="s">
        <v>11</v>
      </c>
      <c r="D1829" s="1">
        <v>756</v>
      </c>
    </row>
    <row r="1830" spans="1:4" x14ac:dyDescent="0.25">
      <c r="A1830" s="1">
        <v>99</v>
      </c>
      <c r="B1830" s="2">
        <v>41220</v>
      </c>
      <c r="C1830" s="4" t="s">
        <v>11</v>
      </c>
      <c r="D1830" s="1">
        <v>762</v>
      </c>
    </row>
    <row r="1831" spans="1:4" x14ac:dyDescent="0.25">
      <c r="A1831" s="1">
        <v>99</v>
      </c>
      <c r="B1831" s="2">
        <v>41248</v>
      </c>
      <c r="C1831" s="4" t="s">
        <v>11</v>
      </c>
      <c r="D1831" s="1">
        <v>695</v>
      </c>
    </row>
    <row r="1832" spans="1:4" x14ac:dyDescent="0.25">
      <c r="A1832" s="1">
        <v>99</v>
      </c>
      <c r="B1832" s="2">
        <v>41094</v>
      </c>
      <c r="C1832" s="4" t="s">
        <v>12</v>
      </c>
      <c r="D1832" s="1">
        <v>9.3000000000000007</v>
      </c>
    </row>
    <row r="1833" spans="1:4" x14ac:dyDescent="0.25">
      <c r="A1833" s="1">
        <v>99</v>
      </c>
      <c r="B1833" s="2">
        <v>41108</v>
      </c>
      <c r="C1833" s="4" t="s">
        <v>12</v>
      </c>
      <c r="D1833" s="1">
        <v>9.8000000000000007</v>
      </c>
    </row>
    <row r="1834" spans="1:4" x14ac:dyDescent="0.25">
      <c r="A1834" s="1">
        <v>99</v>
      </c>
      <c r="B1834" s="2">
        <v>41122</v>
      </c>
      <c r="C1834" s="4" t="s">
        <v>12</v>
      </c>
      <c r="D1834" s="1">
        <v>10.3</v>
      </c>
    </row>
    <row r="1835" spans="1:4" x14ac:dyDescent="0.25">
      <c r="A1835" s="1">
        <v>99</v>
      </c>
      <c r="B1835" s="2">
        <v>41136</v>
      </c>
      <c r="C1835" s="4" t="s">
        <v>12</v>
      </c>
      <c r="D1835" s="1">
        <v>10.8</v>
      </c>
    </row>
    <row r="1836" spans="1:4" x14ac:dyDescent="0.25">
      <c r="A1836" s="1">
        <v>99</v>
      </c>
      <c r="B1836" s="2">
        <v>41157</v>
      </c>
      <c r="C1836" s="4" t="s">
        <v>12</v>
      </c>
      <c r="D1836" s="1">
        <v>10.7</v>
      </c>
    </row>
    <row r="1837" spans="1:4" x14ac:dyDescent="0.25">
      <c r="A1837" s="1">
        <v>99</v>
      </c>
      <c r="B1837" s="2">
        <v>41171</v>
      </c>
      <c r="C1837" s="4" t="s">
        <v>12</v>
      </c>
      <c r="D1837" s="1">
        <v>11.2</v>
      </c>
    </row>
    <row r="1838" spans="1:4" x14ac:dyDescent="0.25">
      <c r="A1838" s="1">
        <v>99</v>
      </c>
      <c r="B1838" s="2">
        <v>41185</v>
      </c>
      <c r="C1838" s="4" t="s">
        <v>12</v>
      </c>
      <c r="D1838" s="1">
        <v>11.1</v>
      </c>
    </row>
    <row r="1839" spans="1:4" x14ac:dyDescent="0.25">
      <c r="A1839" s="1">
        <v>99</v>
      </c>
      <c r="B1839" s="2">
        <v>41199</v>
      </c>
      <c r="C1839" s="4" t="s">
        <v>12</v>
      </c>
      <c r="D1839" s="1">
        <v>11.9</v>
      </c>
    </row>
    <row r="1840" spans="1:4" x14ac:dyDescent="0.25">
      <c r="A1840" s="1">
        <v>99</v>
      </c>
      <c r="B1840" s="2">
        <v>41220</v>
      </c>
      <c r="C1840" s="4" t="s">
        <v>12</v>
      </c>
      <c r="D1840" s="1">
        <v>11.8</v>
      </c>
    </row>
    <row r="1841" spans="1:4" x14ac:dyDescent="0.25">
      <c r="A1841" s="1">
        <v>99</v>
      </c>
      <c r="B1841" s="2">
        <v>41233</v>
      </c>
      <c r="C1841" s="4" t="s">
        <v>12</v>
      </c>
      <c r="D1841" s="1">
        <v>12</v>
      </c>
    </row>
    <row r="1842" spans="1:4" x14ac:dyDescent="0.25">
      <c r="A1842" s="1">
        <v>99</v>
      </c>
      <c r="B1842" s="2">
        <v>41241</v>
      </c>
      <c r="C1842" s="4" t="s">
        <v>12</v>
      </c>
      <c r="D1842" s="1">
        <v>10.7</v>
      </c>
    </row>
    <row r="1843" spans="1:4" x14ac:dyDescent="0.25">
      <c r="A1843" s="1">
        <v>99</v>
      </c>
      <c r="B1843" s="2">
        <v>41248</v>
      </c>
      <c r="C1843" s="4" t="s">
        <v>12</v>
      </c>
      <c r="D1843" s="1">
        <v>11</v>
      </c>
    </row>
    <row r="1844" spans="1:4" x14ac:dyDescent="0.25">
      <c r="A1844" s="1">
        <v>99</v>
      </c>
      <c r="B1844" s="2">
        <v>41094</v>
      </c>
      <c r="C1844" s="4" t="s">
        <v>13</v>
      </c>
      <c r="D1844" s="1">
        <v>14</v>
      </c>
    </row>
    <row r="1845" spans="1:4" x14ac:dyDescent="0.25">
      <c r="A1845" s="1">
        <v>99</v>
      </c>
      <c r="B1845" s="2">
        <v>41122</v>
      </c>
      <c r="C1845" s="4" t="s">
        <v>13</v>
      </c>
      <c r="D1845" s="1">
        <v>17</v>
      </c>
    </row>
    <row r="1846" spans="1:4" x14ac:dyDescent="0.25">
      <c r="A1846" s="1">
        <v>99</v>
      </c>
      <c r="B1846" s="2">
        <v>41157</v>
      </c>
      <c r="C1846" s="4" t="s">
        <v>13</v>
      </c>
      <c r="D1846" s="1">
        <v>15</v>
      </c>
    </row>
    <row r="1847" spans="1:4" x14ac:dyDescent="0.25">
      <c r="A1847" s="1">
        <v>99</v>
      </c>
      <c r="B1847" s="2">
        <v>41185</v>
      </c>
      <c r="C1847" s="4" t="s">
        <v>13</v>
      </c>
      <c r="D1847" s="1">
        <v>24</v>
      </c>
    </row>
    <row r="1848" spans="1:4" x14ac:dyDescent="0.25">
      <c r="A1848" s="1">
        <v>99</v>
      </c>
      <c r="B1848" s="2">
        <v>41220</v>
      </c>
      <c r="C1848" s="4" t="s">
        <v>13</v>
      </c>
      <c r="D1848" s="1">
        <v>24</v>
      </c>
    </row>
    <row r="1849" spans="1:4" x14ac:dyDescent="0.25">
      <c r="A1849" s="1">
        <v>99</v>
      </c>
      <c r="B1849" s="2">
        <v>41248</v>
      </c>
      <c r="C1849" s="4" t="s">
        <v>13</v>
      </c>
      <c r="D1849" s="1">
        <v>25</v>
      </c>
    </row>
    <row r="1850" spans="1:4" x14ac:dyDescent="0.25">
      <c r="A1850" s="1">
        <v>100</v>
      </c>
      <c r="B1850" s="2">
        <v>41095</v>
      </c>
      <c r="C1850" s="4" t="s">
        <v>11</v>
      </c>
      <c r="D1850" s="1">
        <v>1362</v>
      </c>
    </row>
    <row r="1851" spans="1:4" x14ac:dyDescent="0.25">
      <c r="A1851" s="1">
        <v>100</v>
      </c>
      <c r="B1851" s="2">
        <v>41123</v>
      </c>
      <c r="C1851" s="4" t="s">
        <v>11</v>
      </c>
      <c r="D1851" s="1">
        <v>1501</v>
      </c>
    </row>
    <row r="1852" spans="1:4" x14ac:dyDescent="0.25">
      <c r="A1852" s="1">
        <v>100</v>
      </c>
      <c r="B1852" s="2">
        <v>41156</v>
      </c>
      <c r="C1852" s="4" t="s">
        <v>11</v>
      </c>
      <c r="D1852" s="1">
        <v>1854</v>
      </c>
    </row>
    <row r="1853" spans="1:4" x14ac:dyDescent="0.25">
      <c r="A1853" s="1">
        <v>100</v>
      </c>
      <c r="B1853" s="2">
        <v>41188</v>
      </c>
      <c r="C1853" s="4" t="s">
        <v>11</v>
      </c>
      <c r="D1853" s="1">
        <v>1902</v>
      </c>
    </row>
    <row r="1854" spans="1:4" x14ac:dyDescent="0.25">
      <c r="A1854" s="1">
        <v>100</v>
      </c>
      <c r="B1854" s="2">
        <v>41195</v>
      </c>
      <c r="C1854" s="4" t="s">
        <v>11</v>
      </c>
      <c r="D1854" s="1">
        <v>1490</v>
      </c>
    </row>
    <row r="1855" spans="1:4" x14ac:dyDescent="0.25">
      <c r="A1855" s="1">
        <v>100</v>
      </c>
      <c r="B1855" s="2">
        <v>41221</v>
      </c>
      <c r="C1855" s="4" t="s">
        <v>11</v>
      </c>
      <c r="D1855" s="1">
        <v>1600</v>
      </c>
    </row>
    <row r="1856" spans="1:4" x14ac:dyDescent="0.25">
      <c r="A1856" s="1">
        <v>100</v>
      </c>
      <c r="B1856" s="2">
        <v>41095</v>
      </c>
      <c r="C1856" s="4" t="s">
        <v>12</v>
      </c>
      <c r="D1856" s="1">
        <v>10.5</v>
      </c>
    </row>
    <row r="1857" spans="1:4" x14ac:dyDescent="0.25">
      <c r="A1857" s="1">
        <v>100</v>
      </c>
      <c r="B1857" s="2">
        <v>41109</v>
      </c>
      <c r="C1857" s="4" t="s">
        <v>12</v>
      </c>
      <c r="D1857" s="1">
        <v>8.8000000000000007</v>
      </c>
    </row>
    <row r="1858" spans="1:4" x14ac:dyDescent="0.25">
      <c r="A1858" s="1">
        <v>100</v>
      </c>
      <c r="B1858" s="2">
        <v>41123</v>
      </c>
      <c r="C1858" s="4" t="s">
        <v>12</v>
      </c>
      <c r="D1858" s="1">
        <v>11.6</v>
      </c>
    </row>
    <row r="1859" spans="1:4" x14ac:dyDescent="0.25">
      <c r="A1859" s="1">
        <v>100</v>
      </c>
      <c r="B1859" s="2">
        <v>41125</v>
      </c>
      <c r="C1859" s="4" t="s">
        <v>12</v>
      </c>
      <c r="D1859" s="1">
        <v>10.5</v>
      </c>
    </row>
    <row r="1860" spans="1:4" x14ac:dyDescent="0.25">
      <c r="A1860" s="1">
        <v>100</v>
      </c>
      <c r="B1860" s="2">
        <v>41137</v>
      </c>
      <c r="C1860" s="4" t="s">
        <v>12</v>
      </c>
      <c r="D1860" s="1">
        <v>7.6</v>
      </c>
    </row>
    <row r="1861" spans="1:4" x14ac:dyDescent="0.25">
      <c r="A1861" s="1">
        <v>100</v>
      </c>
      <c r="B1861" s="2">
        <v>41142</v>
      </c>
      <c r="C1861" s="4" t="s">
        <v>12</v>
      </c>
      <c r="D1861" s="1">
        <v>9.5</v>
      </c>
    </row>
    <row r="1862" spans="1:4" x14ac:dyDescent="0.25">
      <c r="A1862" s="1">
        <v>100</v>
      </c>
      <c r="B1862" s="2">
        <v>41156</v>
      </c>
      <c r="C1862" s="4" t="s">
        <v>12</v>
      </c>
      <c r="D1862" s="1">
        <v>9.5</v>
      </c>
    </row>
    <row r="1863" spans="1:4" x14ac:dyDescent="0.25">
      <c r="A1863" s="1">
        <v>100</v>
      </c>
      <c r="B1863" s="2">
        <v>41172</v>
      </c>
      <c r="C1863" s="4" t="s">
        <v>12</v>
      </c>
      <c r="D1863" s="1">
        <v>10</v>
      </c>
    </row>
    <row r="1864" spans="1:4" x14ac:dyDescent="0.25">
      <c r="A1864" s="1">
        <v>100</v>
      </c>
      <c r="B1864" s="2">
        <v>41187</v>
      </c>
      <c r="C1864" s="4" t="s">
        <v>12</v>
      </c>
      <c r="D1864" s="1">
        <v>10.8</v>
      </c>
    </row>
    <row r="1865" spans="1:4" x14ac:dyDescent="0.25">
      <c r="A1865" s="1">
        <v>100</v>
      </c>
      <c r="B1865" s="2">
        <v>41200</v>
      </c>
      <c r="C1865" s="4" t="s">
        <v>12</v>
      </c>
      <c r="D1865" s="1">
        <v>9.6</v>
      </c>
    </row>
    <row r="1866" spans="1:4" x14ac:dyDescent="0.25">
      <c r="A1866" s="1">
        <v>100</v>
      </c>
      <c r="B1866" s="2">
        <v>41221</v>
      </c>
      <c r="C1866" s="4" t="s">
        <v>12</v>
      </c>
      <c r="D1866" s="1">
        <v>10.8</v>
      </c>
    </row>
    <row r="1867" spans="1:4" x14ac:dyDescent="0.25">
      <c r="A1867" s="1">
        <v>100</v>
      </c>
      <c r="B1867" s="2">
        <v>41232</v>
      </c>
      <c r="C1867" s="4" t="s">
        <v>12</v>
      </c>
      <c r="D1867" s="1">
        <v>8.9</v>
      </c>
    </row>
    <row r="1868" spans="1:4" x14ac:dyDescent="0.25">
      <c r="A1868" s="1">
        <v>100</v>
      </c>
      <c r="B1868" s="2">
        <v>41095</v>
      </c>
      <c r="C1868" s="4" t="s">
        <v>13</v>
      </c>
      <c r="D1868" s="1">
        <v>35</v>
      </c>
    </row>
    <row r="1869" spans="1:4" x14ac:dyDescent="0.25">
      <c r="A1869" s="1">
        <v>100</v>
      </c>
      <c r="B1869" s="2">
        <v>41123</v>
      </c>
      <c r="C1869" s="4" t="s">
        <v>13</v>
      </c>
      <c r="D1869" s="1">
        <v>33</v>
      </c>
    </row>
    <row r="1870" spans="1:4" x14ac:dyDescent="0.25">
      <c r="A1870" s="1">
        <v>100</v>
      </c>
      <c r="B1870" s="2">
        <v>41156</v>
      </c>
      <c r="C1870" s="4" t="s">
        <v>13</v>
      </c>
      <c r="D1870" s="1">
        <v>27</v>
      </c>
    </row>
    <row r="1871" spans="1:4" x14ac:dyDescent="0.25">
      <c r="A1871" s="1">
        <v>100</v>
      </c>
      <c r="B1871" s="2">
        <v>41187</v>
      </c>
      <c r="C1871" s="4" t="s">
        <v>13</v>
      </c>
      <c r="D1871" s="1">
        <v>25</v>
      </c>
    </row>
    <row r="1872" spans="1:4" x14ac:dyDescent="0.25">
      <c r="A1872" s="1">
        <v>100</v>
      </c>
      <c r="B1872" s="2">
        <v>41195</v>
      </c>
      <c r="C1872" s="4" t="s">
        <v>13</v>
      </c>
      <c r="D1872" s="1">
        <v>52</v>
      </c>
    </row>
    <row r="1873" spans="1:4" x14ac:dyDescent="0.25">
      <c r="A1873" s="1">
        <v>100</v>
      </c>
      <c r="B1873" s="2">
        <v>41221</v>
      </c>
      <c r="C1873" s="4" t="s">
        <v>13</v>
      </c>
      <c r="D1873" s="1">
        <v>40</v>
      </c>
    </row>
    <row r="1874" spans="1:4" x14ac:dyDescent="0.25">
      <c r="A1874" s="1">
        <v>101</v>
      </c>
      <c r="B1874" s="2">
        <v>41093</v>
      </c>
      <c r="C1874" s="4" t="s">
        <v>11</v>
      </c>
      <c r="D1874" s="1">
        <v>575</v>
      </c>
    </row>
    <row r="1875" spans="1:4" x14ac:dyDescent="0.25">
      <c r="A1875" s="1">
        <v>101</v>
      </c>
      <c r="B1875" s="2">
        <v>41124</v>
      </c>
      <c r="C1875" s="4" t="s">
        <v>11</v>
      </c>
      <c r="D1875" s="1">
        <v>742</v>
      </c>
    </row>
    <row r="1876" spans="1:4" x14ac:dyDescent="0.25">
      <c r="A1876" s="1">
        <v>101</v>
      </c>
      <c r="B1876" s="2">
        <v>41156</v>
      </c>
      <c r="C1876" s="4" t="s">
        <v>11</v>
      </c>
      <c r="D1876" s="1">
        <v>880</v>
      </c>
    </row>
    <row r="1877" spans="1:4" x14ac:dyDescent="0.25">
      <c r="A1877" s="1">
        <v>101</v>
      </c>
      <c r="B1877" s="2">
        <v>41184</v>
      </c>
      <c r="C1877" s="4" t="s">
        <v>11</v>
      </c>
      <c r="D1877" s="1">
        <v>1114</v>
      </c>
    </row>
    <row r="1878" spans="1:4" x14ac:dyDescent="0.25">
      <c r="A1878" s="1">
        <v>101</v>
      </c>
      <c r="B1878" s="2">
        <v>41219</v>
      </c>
      <c r="C1878" s="4" t="s">
        <v>11</v>
      </c>
      <c r="D1878" s="1">
        <v>686</v>
      </c>
    </row>
    <row r="1879" spans="1:4" x14ac:dyDescent="0.25">
      <c r="A1879" s="1">
        <v>101</v>
      </c>
      <c r="B1879" s="2">
        <v>41247</v>
      </c>
      <c r="C1879" s="4" t="s">
        <v>11</v>
      </c>
      <c r="D1879" s="1">
        <v>729</v>
      </c>
    </row>
    <row r="1880" spans="1:4" x14ac:dyDescent="0.25">
      <c r="A1880" s="1">
        <v>101</v>
      </c>
      <c r="B1880" s="2">
        <v>41093</v>
      </c>
      <c r="C1880" s="4" t="s">
        <v>12</v>
      </c>
      <c r="D1880" s="1">
        <v>9.6999999999999993</v>
      </c>
    </row>
    <row r="1881" spans="1:4" x14ac:dyDescent="0.25">
      <c r="A1881" s="1">
        <v>101</v>
      </c>
      <c r="B1881" s="2">
        <v>41107</v>
      </c>
      <c r="C1881" s="4" t="s">
        <v>12</v>
      </c>
      <c r="D1881" s="1">
        <v>9.9</v>
      </c>
    </row>
    <row r="1882" spans="1:4" x14ac:dyDescent="0.25">
      <c r="A1882" s="1">
        <v>101</v>
      </c>
      <c r="B1882" s="2">
        <v>41124</v>
      </c>
      <c r="C1882" s="4" t="s">
        <v>12</v>
      </c>
      <c r="D1882" s="1">
        <v>10.1</v>
      </c>
    </row>
    <row r="1883" spans="1:4" x14ac:dyDescent="0.25">
      <c r="A1883" s="1">
        <v>101</v>
      </c>
      <c r="B1883" s="2">
        <v>41135</v>
      </c>
      <c r="C1883" s="4" t="s">
        <v>12</v>
      </c>
      <c r="D1883" s="1">
        <v>9.9</v>
      </c>
    </row>
    <row r="1884" spans="1:4" x14ac:dyDescent="0.25">
      <c r="A1884" s="1">
        <v>101</v>
      </c>
      <c r="B1884" s="2">
        <v>41156</v>
      </c>
      <c r="C1884" s="4" t="s">
        <v>12</v>
      </c>
      <c r="D1884" s="1">
        <v>10.199999999999999</v>
      </c>
    </row>
    <row r="1885" spans="1:4" x14ac:dyDescent="0.25">
      <c r="A1885" s="1">
        <v>101</v>
      </c>
      <c r="B1885" s="2">
        <v>41170</v>
      </c>
      <c r="C1885" s="4" t="s">
        <v>12</v>
      </c>
      <c r="D1885" s="1">
        <v>10.4</v>
      </c>
    </row>
    <row r="1886" spans="1:4" x14ac:dyDescent="0.25">
      <c r="A1886" s="1">
        <v>101</v>
      </c>
      <c r="B1886" s="2">
        <v>41184</v>
      </c>
      <c r="C1886" s="4" t="s">
        <v>12</v>
      </c>
      <c r="D1886" s="1">
        <v>10.7</v>
      </c>
    </row>
    <row r="1887" spans="1:4" x14ac:dyDescent="0.25">
      <c r="A1887" s="1">
        <v>101</v>
      </c>
      <c r="B1887" s="2">
        <v>41198</v>
      </c>
      <c r="C1887" s="4" t="s">
        <v>12</v>
      </c>
      <c r="D1887" s="1">
        <v>10.8</v>
      </c>
    </row>
    <row r="1888" spans="1:4" x14ac:dyDescent="0.25">
      <c r="A1888" s="1">
        <v>101</v>
      </c>
      <c r="B1888" s="2">
        <v>41219</v>
      </c>
      <c r="C1888" s="4" t="s">
        <v>12</v>
      </c>
      <c r="D1888" s="1">
        <v>10.6</v>
      </c>
    </row>
    <row r="1889" spans="1:4" x14ac:dyDescent="0.25">
      <c r="A1889" s="1">
        <v>101</v>
      </c>
      <c r="B1889" s="2">
        <v>41237</v>
      </c>
      <c r="C1889" s="4" t="s">
        <v>12</v>
      </c>
      <c r="D1889" s="1">
        <v>11.6</v>
      </c>
    </row>
    <row r="1890" spans="1:4" x14ac:dyDescent="0.25">
      <c r="A1890" s="1">
        <v>101</v>
      </c>
      <c r="B1890" s="2">
        <v>41247</v>
      </c>
      <c r="C1890" s="4" t="s">
        <v>12</v>
      </c>
      <c r="D1890" s="1">
        <v>11.3</v>
      </c>
    </row>
    <row r="1891" spans="1:4" x14ac:dyDescent="0.25">
      <c r="A1891" s="1">
        <v>101</v>
      </c>
      <c r="B1891" s="2">
        <v>41093</v>
      </c>
      <c r="C1891" s="4" t="s">
        <v>13</v>
      </c>
      <c r="D1891" s="1">
        <v>19</v>
      </c>
    </row>
    <row r="1892" spans="1:4" x14ac:dyDescent="0.25">
      <c r="A1892" s="1">
        <v>101</v>
      </c>
      <c r="B1892" s="2">
        <v>41124</v>
      </c>
      <c r="C1892" s="4" t="s">
        <v>13</v>
      </c>
      <c r="D1892" s="1">
        <v>33</v>
      </c>
    </row>
    <row r="1893" spans="1:4" x14ac:dyDescent="0.25">
      <c r="A1893" s="1">
        <v>101</v>
      </c>
      <c r="B1893" s="2">
        <v>41156</v>
      </c>
      <c r="C1893" s="4" t="s">
        <v>13</v>
      </c>
      <c r="D1893" s="1">
        <v>30</v>
      </c>
    </row>
    <row r="1894" spans="1:4" x14ac:dyDescent="0.25">
      <c r="A1894" s="1">
        <v>101</v>
      </c>
      <c r="B1894" s="2">
        <v>41184</v>
      </c>
      <c r="C1894" s="4" t="s">
        <v>13</v>
      </c>
      <c r="D1894" s="1">
        <v>41</v>
      </c>
    </row>
    <row r="1895" spans="1:4" x14ac:dyDescent="0.25">
      <c r="A1895" s="1">
        <v>101</v>
      </c>
      <c r="B1895" s="2">
        <v>41219</v>
      </c>
      <c r="C1895" s="4" t="s">
        <v>13</v>
      </c>
      <c r="D1895" s="1">
        <v>36</v>
      </c>
    </row>
    <row r="1896" spans="1:4" x14ac:dyDescent="0.25">
      <c r="A1896" s="1">
        <v>101</v>
      </c>
      <c r="B1896" s="2">
        <v>41247</v>
      </c>
      <c r="C1896" s="4" t="s">
        <v>13</v>
      </c>
      <c r="D1896" s="1">
        <v>45</v>
      </c>
    </row>
    <row r="1897" spans="1:4" x14ac:dyDescent="0.25">
      <c r="A1897" s="1">
        <v>103</v>
      </c>
      <c r="B1897" s="2">
        <v>41094</v>
      </c>
      <c r="C1897" s="4" t="s">
        <v>11</v>
      </c>
      <c r="D1897" s="1">
        <v>844</v>
      </c>
    </row>
    <row r="1898" spans="1:4" x14ac:dyDescent="0.25">
      <c r="A1898" s="1">
        <v>103</v>
      </c>
      <c r="B1898" s="2">
        <v>41144</v>
      </c>
      <c r="C1898" s="4" t="s">
        <v>11</v>
      </c>
      <c r="D1898" s="1" t="s">
        <v>7</v>
      </c>
    </row>
    <row r="1899" spans="1:4" x14ac:dyDescent="0.25">
      <c r="A1899" s="1">
        <v>103</v>
      </c>
      <c r="B1899" s="2">
        <v>41094</v>
      </c>
      <c r="C1899" s="4" t="s">
        <v>12</v>
      </c>
      <c r="D1899" s="1">
        <v>11.6</v>
      </c>
    </row>
    <row r="1900" spans="1:4" x14ac:dyDescent="0.25">
      <c r="A1900" s="1">
        <v>103</v>
      </c>
      <c r="B1900" s="2">
        <v>41101</v>
      </c>
      <c r="C1900" s="4" t="s">
        <v>12</v>
      </c>
      <c r="D1900" s="1">
        <v>11.7</v>
      </c>
    </row>
    <row r="1901" spans="1:4" x14ac:dyDescent="0.25">
      <c r="A1901" s="1">
        <v>103</v>
      </c>
      <c r="B1901" s="2">
        <v>41108</v>
      </c>
      <c r="C1901" s="4" t="s">
        <v>12</v>
      </c>
      <c r="D1901" s="1">
        <v>11.4</v>
      </c>
    </row>
    <row r="1902" spans="1:4" x14ac:dyDescent="0.25">
      <c r="A1902" s="1">
        <v>103</v>
      </c>
      <c r="B1902" s="2">
        <v>41144</v>
      </c>
      <c r="C1902" s="4" t="s">
        <v>12</v>
      </c>
      <c r="D1902" s="1">
        <v>8.8000000000000007</v>
      </c>
    </row>
    <row r="1903" spans="1:4" x14ac:dyDescent="0.25">
      <c r="A1903" s="1">
        <v>103</v>
      </c>
      <c r="B1903" s="2">
        <v>41094</v>
      </c>
      <c r="C1903" s="4" t="s">
        <v>13</v>
      </c>
      <c r="D1903" s="1">
        <v>24</v>
      </c>
    </row>
    <row r="1904" spans="1:4" x14ac:dyDescent="0.25">
      <c r="A1904" s="1">
        <v>103</v>
      </c>
      <c r="B1904" s="2">
        <v>41144</v>
      </c>
      <c r="C1904" s="4" t="s">
        <v>13</v>
      </c>
      <c r="D1904" s="1" t="s">
        <v>7</v>
      </c>
    </row>
    <row r="1905" spans="1:4" x14ac:dyDescent="0.25">
      <c r="A1905" s="1">
        <v>104</v>
      </c>
      <c r="B1905" s="2">
        <v>41095</v>
      </c>
      <c r="C1905" s="4" t="s">
        <v>11</v>
      </c>
      <c r="D1905" s="1">
        <v>616</v>
      </c>
    </row>
    <row r="1906" spans="1:4" x14ac:dyDescent="0.25">
      <c r="A1906" s="1">
        <v>104</v>
      </c>
      <c r="B1906" s="2">
        <v>41123</v>
      </c>
      <c r="C1906" s="4" t="s">
        <v>11</v>
      </c>
      <c r="D1906" s="1">
        <v>690</v>
      </c>
    </row>
    <row r="1907" spans="1:4" x14ac:dyDescent="0.25">
      <c r="A1907" s="1">
        <v>104</v>
      </c>
      <c r="B1907" s="2">
        <v>41156</v>
      </c>
      <c r="C1907" s="4" t="s">
        <v>11</v>
      </c>
      <c r="D1907" s="1">
        <v>558</v>
      </c>
    </row>
    <row r="1908" spans="1:4" x14ac:dyDescent="0.25">
      <c r="A1908" s="1">
        <v>104</v>
      </c>
      <c r="B1908" s="2">
        <v>41186</v>
      </c>
      <c r="C1908" s="4" t="s">
        <v>11</v>
      </c>
      <c r="D1908" s="1">
        <v>585</v>
      </c>
    </row>
    <row r="1909" spans="1:4" x14ac:dyDescent="0.25">
      <c r="A1909" s="1">
        <v>104</v>
      </c>
      <c r="B1909" s="2">
        <v>41095</v>
      </c>
      <c r="C1909" s="4" t="s">
        <v>12</v>
      </c>
      <c r="D1909" s="1">
        <v>11.4</v>
      </c>
    </row>
    <row r="1910" spans="1:4" x14ac:dyDescent="0.25">
      <c r="A1910" s="1">
        <v>104</v>
      </c>
      <c r="B1910" s="2">
        <v>41109</v>
      </c>
      <c r="C1910" s="4" t="s">
        <v>12</v>
      </c>
      <c r="D1910" s="1">
        <v>11.4</v>
      </c>
    </row>
    <row r="1911" spans="1:4" x14ac:dyDescent="0.25">
      <c r="A1911" s="1">
        <v>104</v>
      </c>
      <c r="B1911" s="2">
        <v>41123</v>
      </c>
      <c r="C1911" s="4" t="s">
        <v>12</v>
      </c>
      <c r="D1911" s="1">
        <v>11.7</v>
      </c>
    </row>
    <row r="1912" spans="1:4" x14ac:dyDescent="0.25">
      <c r="A1912" s="1">
        <v>104</v>
      </c>
      <c r="B1912" s="2">
        <v>41130</v>
      </c>
      <c r="C1912" s="4" t="s">
        <v>12</v>
      </c>
      <c r="D1912" s="1">
        <v>10.9</v>
      </c>
    </row>
    <row r="1913" spans="1:4" x14ac:dyDescent="0.25">
      <c r="A1913" s="1">
        <v>104</v>
      </c>
      <c r="B1913" s="2">
        <v>41137</v>
      </c>
      <c r="C1913" s="4" t="s">
        <v>12</v>
      </c>
      <c r="D1913" s="1">
        <v>10.6</v>
      </c>
    </row>
    <row r="1914" spans="1:4" x14ac:dyDescent="0.25">
      <c r="A1914" s="1">
        <v>104</v>
      </c>
      <c r="B1914" s="2">
        <v>41156</v>
      </c>
      <c r="C1914" s="4" t="s">
        <v>12</v>
      </c>
      <c r="D1914" s="1">
        <v>9.9</v>
      </c>
    </row>
    <row r="1915" spans="1:4" x14ac:dyDescent="0.25">
      <c r="A1915" s="1">
        <v>104</v>
      </c>
      <c r="B1915" s="2">
        <v>41172</v>
      </c>
      <c r="C1915" s="4" t="s">
        <v>12</v>
      </c>
      <c r="D1915" s="1">
        <v>10.5</v>
      </c>
    </row>
    <row r="1916" spans="1:4" x14ac:dyDescent="0.25">
      <c r="A1916" s="1">
        <v>104</v>
      </c>
      <c r="B1916" s="2">
        <v>41186</v>
      </c>
      <c r="C1916" s="4" t="s">
        <v>12</v>
      </c>
      <c r="D1916" s="1">
        <v>11.5</v>
      </c>
    </row>
    <row r="1917" spans="1:4" x14ac:dyDescent="0.25">
      <c r="A1917" s="1">
        <v>104</v>
      </c>
      <c r="B1917" s="2">
        <v>41200</v>
      </c>
      <c r="C1917" s="4" t="s">
        <v>12</v>
      </c>
      <c r="D1917" s="1">
        <v>11.2</v>
      </c>
    </row>
    <row r="1918" spans="1:4" x14ac:dyDescent="0.25">
      <c r="A1918" s="1">
        <v>104</v>
      </c>
      <c r="B1918" s="2">
        <v>41095</v>
      </c>
      <c r="C1918" s="4" t="s">
        <v>13</v>
      </c>
      <c r="D1918" s="1">
        <v>27</v>
      </c>
    </row>
    <row r="1919" spans="1:4" x14ac:dyDescent="0.25">
      <c r="A1919" s="1">
        <v>104</v>
      </c>
      <c r="B1919" s="2">
        <v>41123</v>
      </c>
      <c r="C1919" s="4" t="s">
        <v>13</v>
      </c>
      <c r="D1919" s="1">
        <v>23</v>
      </c>
    </row>
    <row r="1920" spans="1:4" x14ac:dyDescent="0.25">
      <c r="A1920" s="1">
        <v>104</v>
      </c>
      <c r="B1920" s="2">
        <v>41156</v>
      </c>
      <c r="C1920" s="4" t="s">
        <v>13</v>
      </c>
      <c r="D1920" s="1">
        <v>32</v>
      </c>
    </row>
    <row r="1921" spans="1:4" x14ac:dyDescent="0.25">
      <c r="A1921" s="1">
        <v>104</v>
      </c>
      <c r="B1921" s="2">
        <v>41186</v>
      </c>
      <c r="C1921" s="4" t="s">
        <v>13</v>
      </c>
      <c r="D1921" s="1">
        <v>32</v>
      </c>
    </row>
    <row r="1922" spans="1:4" x14ac:dyDescent="0.25">
      <c r="A1922" s="1">
        <v>105</v>
      </c>
      <c r="B1922" s="2">
        <v>41094</v>
      </c>
      <c r="C1922" s="4" t="s">
        <v>11</v>
      </c>
      <c r="D1922" s="1">
        <v>1107</v>
      </c>
    </row>
    <row r="1923" spans="1:4" x14ac:dyDescent="0.25">
      <c r="A1923" s="1">
        <v>105</v>
      </c>
      <c r="B1923" s="2">
        <v>41122</v>
      </c>
      <c r="C1923" s="4" t="s">
        <v>11</v>
      </c>
      <c r="D1923" s="1">
        <v>837</v>
      </c>
    </row>
    <row r="1924" spans="1:4" x14ac:dyDescent="0.25">
      <c r="A1924" s="1">
        <v>105</v>
      </c>
      <c r="B1924" s="2">
        <v>41157</v>
      </c>
      <c r="C1924" s="4" t="s">
        <v>11</v>
      </c>
      <c r="D1924" s="1">
        <v>993</v>
      </c>
    </row>
    <row r="1925" spans="1:4" x14ac:dyDescent="0.25">
      <c r="A1925" s="1">
        <v>105</v>
      </c>
      <c r="B1925" s="2">
        <v>41186</v>
      </c>
      <c r="C1925" s="4" t="s">
        <v>11</v>
      </c>
      <c r="D1925" s="1">
        <v>843</v>
      </c>
    </row>
    <row r="1926" spans="1:4" x14ac:dyDescent="0.25">
      <c r="A1926" s="1">
        <v>105</v>
      </c>
      <c r="B1926" s="2">
        <v>41221</v>
      </c>
      <c r="C1926" s="4" t="s">
        <v>11</v>
      </c>
      <c r="D1926" s="1">
        <v>847</v>
      </c>
    </row>
    <row r="1927" spans="1:4" x14ac:dyDescent="0.25">
      <c r="A1927" s="1">
        <v>105</v>
      </c>
      <c r="B1927" s="2">
        <v>41094</v>
      </c>
      <c r="C1927" s="4" t="s">
        <v>12</v>
      </c>
      <c r="D1927" s="1">
        <v>11.9</v>
      </c>
    </row>
    <row r="1928" spans="1:4" x14ac:dyDescent="0.25">
      <c r="A1928" s="1">
        <v>105</v>
      </c>
      <c r="B1928" s="2">
        <v>41101</v>
      </c>
      <c r="C1928" s="4" t="s">
        <v>12</v>
      </c>
      <c r="D1928" s="1">
        <v>11.8</v>
      </c>
    </row>
    <row r="1929" spans="1:4" x14ac:dyDescent="0.25">
      <c r="A1929" s="1">
        <v>105</v>
      </c>
      <c r="B1929" s="2">
        <v>41108</v>
      </c>
      <c r="C1929" s="4" t="s">
        <v>12</v>
      </c>
      <c r="D1929" s="1">
        <v>9.8000000000000007</v>
      </c>
    </row>
    <row r="1930" spans="1:4" x14ac:dyDescent="0.25">
      <c r="A1930" s="1">
        <v>105</v>
      </c>
      <c r="B1930" s="2">
        <v>41110</v>
      </c>
      <c r="C1930" s="4" t="s">
        <v>12</v>
      </c>
      <c r="D1930" s="1">
        <v>10.199999999999999</v>
      </c>
    </row>
    <row r="1931" spans="1:4" x14ac:dyDescent="0.25">
      <c r="A1931" s="1">
        <v>105</v>
      </c>
      <c r="B1931" s="2">
        <v>41122</v>
      </c>
      <c r="C1931" s="4" t="s">
        <v>12</v>
      </c>
      <c r="D1931" s="1">
        <v>9</v>
      </c>
    </row>
    <row r="1932" spans="1:4" x14ac:dyDescent="0.25">
      <c r="A1932" s="1">
        <v>105</v>
      </c>
      <c r="B1932" s="2">
        <v>41150</v>
      </c>
      <c r="C1932" s="4" t="s">
        <v>12</v>
      </c>
      <c r="D1932" s="1">
        <v>10.5</v>
      </c>
    </row>
    <row r="1933" spans="1:4" x14ac:dyDescent="0.25">
      <c r="A1933" s="1">
        <v>105</v>
      </c>
      <c r="B1933" s="2">
        <v>41157</v>
      </c>
      <c r="C1933" s="4" t="s">
        <v>12</v>
      </c>
      <c r="D1933" s="1">
        <v>10.9</v>
      </c>
    </row>
    <row r="1934" spans="1:4" x14ac:dyDescent="0.25">
      <c r="A1934" s="1">
        <v>105</v>
      </c>
      <c r="B1934" s="2">
        <v>41171</v>
      </c>
      <c r="C1934" s="4" t="s">
        <v>12</v>
      </c>
      <c r="D1934" s="1">
        <v>11.8</v>
      </c>
    </row>
    <row r="1935" spans="1:4" x14ac:dyDescent="0.25">
      <c r="A1935" s="1">
        <v>105</v>
      </c>
      <c r="B1935" s="2">
        <v>41186</v>
      </c>
      <c r="C1935" s="4" t="s">
        <v>12</v>
      </c>
      <c r="D1935" s="1">
        <v>12.3</v>
      </c>
    </row>
    <row r="1936" spans="1:4" x14ac:dyDescent="0.25">
      <c r="A1936" s="1">
        <v>105</v>
      </c>
      <c r="B1936" s="2">
        <v>41200</v>
      </c>
      <c r="C1936" s="4" t="s">
        <v>12</v>
      </c>
      <c r="D1936" s="1">
        <v>10.5</v>
      </c>
    </row>
    <row r="1937" spans="1:4" x14ac:dyDescent="0.25">
      <c r="A1937" s="1">
        <v>105</v>
      </c>
      <c r="B1937" s="2">
        <v>41215</v>
      </c>
      <c r="C1937" s="4" t="s">
        <v>12</v>
      </c>
      <c r="D1937" s="1">
        <v>10.7</v>
      </c>
    </row>
    <row r="1938" spans="1:4" x14ac:dyDescent="0.25">
      <c r="A1938" s="1">
        <v>105</v>
      </c>
      <c r="B1938" s="2">
        <v>41216</v>
      </c>
      <c r="C1938" s="4" t="s">
        <v>12</v>
      </c>
      <c r="D1938" s="1">
        <v>8.1999999999999993</v>
      </c>
    </row>
    <row r="1939" spans="1:4" x14ac:dyDescent="0.25">
      <c r="A1939" s="1">
        <v>105</v>
      </c>
      <c r="B1939" s="2">
        <v>41221</v>
      </c>
      <c r="C1939" s="4" t="s">
        <v>12</v>
      </c>
      <c r="D1939" s="1">
        <v>8</v>
      </c>
    </row>
    <row r="1940" spans="1:4" x14ac:dyDescent="0.25">
      <c r="A1940" s="1">
        <v>105</v>
      </c>
      <c r="B1940" s="2">
        <v>41232</v>
      </c>
      <c r="C1940" s="4" t="s">
        <v>12</v>
      </c>
      <c r="D1940" s="1">
        <v>8.6999999999999993</v>
      </c>
    </row>
    <row r="1941" spans="1:4" x14ac:dyDescent="0.25">
      <c r="A1941" s="1">
        <v>105</v>
      </c>
      <c r="B1941" s="2">
        <v>41094</v>
      </c>
      <c r="C1941" s="4" t="s">
        <v>13</v>
      </c>
      <c r="D1941" s="1">
        <v>89</v>
      </c>
    </row>
    <row r="1942" spans="1:4" x14ac:dyDescent="0.25">
      <c r="A1942" s="1">
        <v>105</v>
      </c>
      <c r="B1942" s="2">
        <v>41122</v>
      </c>
      <c r="C1942" s="4" t="s">
        <v>13</v>
      </c>
      <c r="D1942" s="1">
        <v>85</v>
      </c>
    </row>
    <row r="1943" spans="1:4" x14ac:dyDescent="0.25">
      <c r="A1943" s="1">
        <v>105</v>
      </c>
      <c r="B1943" s="2">
        <v>41157</v>
      </c>
      <c r="C1943" s="4" t="s">
        <v>13</v>
      </c>
      <c r="D1943" s="1">
        <v>24</v>
      </c>
    </row>
    <row r="1944" spans="1:4" x14ac:dyDescent="0.25">
      <c r="A1944" s="1">
        <v>105</v>
      </c>
      <c r="B1944" s="2">
        <v>41186</v>
      </c>
      <c r="C1944" s="4" t="s">
        <v>13</v>
      </c>
      <c r="D1944" s="1">
        <v>50</v>
      </c>
    </row>
    <row r="1945" spans="1:4" x14ac:dyDescent="0.25">
      <c r="A1945" s="1">
        <v>105</v>
      </c>
      <c r="B1945" s="2">
        <v>41221</v>
      </c>
      <c r="C1945" s="4" t="s">
        <v>13</v>
      </c>
      <c r="D1945" s="1">
        <v>71</v>
      </c>
    </row>
    <row r="1946" spans="1:4" x14ac:dyDescent="0.25">
      <c r="A1946" s="1">
        <v>106</v>
      </c>
      <c r="B1946" s="2">
        <v>41094</v>
      </c>
      <c r="C1946" s="4" t="s">
        <v>11</v>
      </c>
      <c r="D1946" s="1">
        <v>498</v>
      </c>
    </row>
    <row r="1947" spans="1:4" x14ac:dyDescent="0.25">
      <c r="A1947" s="1">
        <v>106</v>
      </c>
      <c r="B1947" s="2">
        <v>41122</v>
      </c>
      <c r="C1947" s="4" t="s">
        <v>11</v>
      </c>
      <c r="D1947" s="1">
        <v>785</v>
      </c>
    </row>
    <row r="1948" spans="1:4" x14ac:dyDescent="0.25">
      <c r="A1948" s="1">
        <v>106</v>
      </c>
      <c r="B1948" s="2">
        <v>41156</v>
      </c>
      <c r="C1948" s="4" t="s">
        <v>11</v>
      </c>
      <c r="D1948" s="1">
        <v>1149</v>
      </c>
    </row>
    <row r="1949" spans="1:4" x14ac:dyDescent="0.25">
      <c r="A1949" s="1">
        <v>106</v>
      </c>
      <c r="B1949" s="2">
        <v>41186</v>
      </c>
      <c r="C1949" s="4" t="s">
        <v>11</v>
      </c>
      <c r="D1949" s="1">
        <v>765</v>
      </c>
    </row>
    <row r="1950" spans="1:4" x14ac:dyDescent="0.25">
      <c r="A1950" s="1">
        <v>106</v>
      </c>
      <c r="B1950" s="2">
        <v>41221</v>
      </c>
      <c r="C1950" s="4" t="s">
        <v>11</v>
      </c>
      <c r="D1950" s="1">
        <v>497</v>
      </c>
    </row>
    <row r="1951" spans="1:4" x14ac:dyDescent="0.25">
      <c r="A1951" s="1">
        <v>106</v>
      </c>
      <c r="B1951" s="2">
        <v>41094</v>
      </c>
      <c r="C1951" s="4" t="s">
        <v>12</v>
      </c>
      <c r="D1951" s="1">
        <v>8.6999999999999993</v>
      </c>
    </row>
    <row r="1952" spans="1:4" x14ac:dyDescent="0.25">
      <c r="A1952" s="1">
        <v>106</v>
      </c>
      <c r="B1952" s="2">
        <v>41108</v>
      </c>
      <c r="C1952" s="4" t="s">
        <v>12</v>
      </c>
      <c r="D1952" s="1">
        <v>9.6</v>
      </c>
    </row>
    <row r="1953" spans="1:4" x14ac:dyDescent="0.25">
      <c r="A1953" s="1">
        <v>106</v>
      </c>
      <c r="B1953" s="2">
        <v>41122</v>
      </c>
      <c r="C1953" s="4" t="s">
        <v>12</v>
      </c>
      <c r="D1953" s="1">
        <v>8.4</v>
      </c>
    </row>
    <row r="1954" spans="1:4" x14ac:dyDescent="0.25">
      <c r="A1954" s="1">
        <v>106</v>
      </c>
      <c r="B1954" s="2">
        <v>41137</v>
      </c>
      <c r="C1954" s="4" t="s">
        <v>12</v>
      </c>
      <c r="D1954" s="1">
        <v>8.6</v>
      </c>
    </row>
    <row r="1955" spans="1:4" x14ac:dyDescent="0.25">
      <c r="A1955" s="1">
        <v>106</v>
      </c>
      <c r="B1955" s="2">
        <v>41156</v>
      </c>
      <c r="C1955" s="4" t="s">
        <v>12</v>
      </c>
      <c r="D1955" s="1">
        <v>8</v>
      </c>
    </row>
    <row r="1956" spans="1:4" x14ac:dyDescent="0.25">
      <c r="A1956" s="1">
        <v>106</v>
      </c>
      <c r="B1956" s="2">
        <v>41172</v>
      </c>
      <c r="C1956" s="4" t="s">
        <v>12</v>
      </c>
      <c r="D1956" s="1">
        <v>8.8000000000000007</v>
      </c>
    </row>
    <row r="1957" spans="1:4" x14ac:dyDescent="0.25">
      <c r="A1957" s="1">
        <v>106</v>
      </c>
      <c r="B1957" s="2">
        <v>41186</v>
      </c>
      <c r="C1957" s="4" t="s">
        <v>12</v>
      </c>
      <c r="D1957" s="1">
        <v>11.3</v>
      </c>
    </row>
    <row r="1958" spans="1:4" x14ac:dyDescent="0.25">
      <c r="A1958" s="1">
        <v>106</v>
      </c>
      <c r="B1958" s="2">
        <v>41193</v>
      </c>
      <c r="C1958" s="4" t="s">
        <v>12</v>
      </c>
      <c r="D1958" s="1">
        <v>8.6</v>
      </c>
    </row>
    <row r="1959" spans="1:4" x14ac:dyDescent="0.25">
      <c r="A1959" s="1">
        <v>106</v>
      </c>
      <c r="B1959" s="2">
        <v>41200</v>
      </c>
      <c r="C1959" s="4" t="s">
        <v>12</v>
      </c>
      <c r="D1959" s="1">
        <v>9.3000000000000007</v>
      </c>
    </row>
    <row r="1960" spans="1:4" x14ac:dyDescent="0.25">
      <c r="A1960" s="1">
        <v>106</v>
      </c>
      <c r="B1960" s="2">
        <v>41221</v>
      </c>
      <c r="C1960" s="4" t="s">
        <v>12</v>
      </c>
      <c r="D1960" s="1">
        <v>10.199999999999999</v>
      </c>
    </row>
    <row r="1961" spans="1:4" x14ac:dyDescent="0.25">
      <c r="A1961" s="1">
        <v>106</v>
      </c>
      <c r="B1961" s="2">
        <v>41094</v>
      </c>
      <c r="C1961" s="4" t="s">
        <v>13</v>
      </c>
      <c r="D1961" s="1">
        <v>15</v>
      </c>
    </row>
    <row r="1962" spans="1:4" x14ac:dyDescent="0.25">
      <c r="A1962" s="1">
        <v>106</v>
      </c>
      <c r="B1962" s="2">
        <v>41122</v>
      </c>
      <c r="C1962" s="4" t="s">
        <v>13</v>
      </c>
      <c r="D1962" s="1">
        <v>11</v>
      </c>
    </row>
    <row r="1963" spans="1:4" x14ac:dyDescent="0.25">
      <c r="A1963" s="1">
        <v>106</v>
      </c>
      <c r="B1963" s="2">
        <v>41156</v>
      </c>
      <c r="C1963" s="4" t="s">
        <v>13</v>
      </c>
      <c r="D1963" s="1">
        <v>13</v>
      </c>
    </row>
    <row r="1964" spans="1:4" x14ac:dyDescent="0.25">
      <c r="A1964" s="1">
        <v>106</v>
      </c>
      <c r="B1964" s="2">
        <v>41186</v>
      </c>
      <c r="C1964" s="4" t="s">
        <v>13</v>
      </c>
      <c r="D1964" s="1">
        <v>18</v>
      </c>
    </row>
    <row r="1965" spans="1:4" x14ac:dyDescent="0.25">
      <c r="A1965" s="1">
        <v>106</v>
      </c>
      <c r="B1965" s="2">
        <v>41221</v>
      </c>
      <c r="C1965" s="4" t="s">
        <v>13</v>
      </c>
      <c r="D1965" s="1">
        <v>12</v>
      </c>
    </row>
    <row r="1966" spans="1:4" x14ac:dyDescent="0.25">
      <c r="A1966" s="1">
        <v>108</v>
      </c>
      <c r="B1966" s="2">
        <v>41095</v>
      </c>
      <c r="C1966" s="4" t="s">
        <v>11</v>
      </c>
      <c r="D1966" s="1">
        <v>1009</v>
      </c>
    </row>
    <row r="1967" spans="1:4" x14ac:dyDescent="0.25">
      <c r="A1967" s="1">
        <v>108</v>
      </c>
      <c r="B1967" s="2">
        <v>41123</v>
      </c>
      <c r="C1967" s="4" t="s">
        <v>11</v>
      </c>
      <c r="D1967" s="1">
        <v>510</v>
      </c>
    </row>
    <row r="1968" spans="1:4" x14ac:dyDescent="0.25">
      <c r="A1968" s="1">
        <v>108</v>
      </c>
      <c r="B1968" s="2">
        <v>41165</v>
      </c>
      <c r="C1968" s="4" t="s">
        <v>11</v>
      </c>
      <c r="D1968" s="1">
        <v>439</v>
      </c>
    </row>
    <row r="1969" spans="1:4" x14ac:dyDescent="0.25">
      <c r="A1969" s="1">
        <v>108</v>
      </c>
      <c r="B1969" s="2">
        <v>41186</v>
      </c>
      <c r="C1969" s="4" t="s">
        <v>11</v>
      </c>
      <c r="D1969" s="1">
        <v>351</v>
      </c>
    </row>
    <row r="1970" spans="1:4" x14ac:dyDescent="0.25">
      <c r="A1970" s="1">
        <v>108</v>
      </c>
      <c r="B1970" s="2">
        <v>41095</v>
      </c>
      <c r="C1970" s="4" t="s">
        <v>12</v>
      </c>
      <c r="D1970" s="1">
        <v>10.199999999999999</v>
      </c>
    </row>
    <row r="1971" spans="1:4" x14ac:dyDescent="0.25">
      <c r="A1971" s="1">
        <v>108</v>
      </c>
      <c r="B1971" s="2">
        <v>41109</v>
      </c>
      <c r="C1971" s="4" t="s">
        <v>12</v>
      </c>
      <c r="D1971" s="1">
        <v>11.2</v>
      </c>
    </row>
    <row r="1972" spans="1:4" x14ac:dyDescent="0.25">
      <c r="A1972" s="1">
        <v>108</v>
      </c>
      <c r="B1972" s="2">
        <v>41123</v>
      </c>
      <c r="C1972" s="4" t="s">
        <v>12</v>
      </c>
      <c r="D1972" s="1">
        <v>11.8</v>
      </c>
    </row>
    <row r="1973" spans="1:4" x14ac:dyDescent="0.25">
      <c r="A1973" s="1">
        <v>108</v>
      </c>
      <c r="B1973" s="2">
        <v>41130</v>
      </c>
      <c r="C1973" s="4" t="s">
        <v>12</v>
      </c>
      <c r="D1973" s="1">
        <v>11.9</v>
      </c>
    </row>
    <row r="1974" spans="1:4" x14ac:dyDescent="0.25">
      <c r="A1974" s="1">
        <v>108</v>
      </c>
      <c r="B1974" s="2">
        <v>41137</v>
      </c>
      <c r="C1974" s="4" t="s">
        <v>12</v>
      </c>
      <c r="D1974" s="1">
        <v>11.2</v>
      </c>
    </row>
    <row r="1975" spans="1:4" x14ac:dyDescent="0.25">
      <c r="A1975" s="1">
        <v>108</v>
      </c>
      <c r="B1975" s="2">
        <v>41165</v>
      </c>
      <c r="C1975" s="4" t="s">
        <v>12</v>
      </c>
      <c r="D1975" s="1">
        <v>10.6</v>
      </c>
    </row>
    <row r="1976" spans="1:4" x14ac:dyDescent="0.25">
      <c r="A1976" s="1">
        <v>108</v>
      </c>
      <c r="B1976" s="2">
        <v>41172</v>
      </c>
      <c r="C1976" s="4" t="s">
        <v>12</v>
      </c>
      <c r="D1976" s="1">
        <v>10.1</v>
      </c>
    </row>
    <row r="1977" spans="1:4" x14ac:dyDescent="0.25">
      <c r="A1977" s="1">
        <v>108</v>
      </c>
      <c r="B1977" s="2">
        <v>41186</v>
      </c>
      <c r="C1977" s="4" t="s">
        <v>12</v>
      </c>
      <c r="D1977" s="1">
        <v>11.4</v>
      </c>
    </row>
    <row r="1978" spans="1:4" x14ac:dyDescent="0.25">
      <c r="A1978" s="1">
        <v>108</v>
      </c>
      <c r="B1978" s="2">
        <v>41200</v>
      </c>
      <c r="C1978" s="4" t="s">
        <v>12</v>
      </c>
      <c r="D1978" s="1">
        <v>10.4</v>
      </c>
    </row>
    <row r="1979" spans="1:4" x14ac:dyDescent="0.25">
      <c r="A1979" s="1">
        <v>108</v>
      </c>
      <c r="B1979" s="2">
        <v>41244</v>
      </c>
      <c r="C1979" s="4" t="s">
        <v>12</v>
      </c>
      <c r="D1979" s="1">
        <v>9.8000000000000007</v>
      </c>
    </row>
    <row r="1980" spans="1:4" x14ac:dyDescent="0.25">
      <c r="A1980" s="1">
        <v>108</v>
      </c>
      <c r="B1980" s="2">
        <v>41095</v>
      </c>
      <c r="C1980" s="4" t="s">
        <v>13</v>
      </c>
      <c r="D1980" s="1">
        <v>22</v>
      </c>
    </row>
    <row r="1981" spans="1:4" x14ac:dyDescent="0.25">
      <c r="A1981" s="1">
        <v>108</v>
      </c>
      <c r="B1981" s="2">
        <v>41123</v>
      </c>
      <c r="C1981" s="4" t="s">
        <v>13</v>
      </c>
      <c r="D1981" s="1">
        <v>34</v>
      </c>
    </row>
    <row r="1982" spans="1:4" x14ac:dyDescent="0.25">
      <c r="A1982" s="1">
        <v>108</v>
      </c>
      <c r="B1982" s="2">
        <v>41165</v>
      </c>
      <c r="C1982" s="4" t="s">
        <v>13</v>
      </c>
      <c r="D1982" s="1">
        <v>40</v>
      </c>
    </row>
    <row r="1983" spans="1:4" x14ac:dyDescent="0.25">
      <c r="A1983" s="1">
        <v>108</v>
      </c>
      <c r="B1983" s="2">
        <v>41186</v>
      </c>
      <c r="C1983" s="4" t="s">
        <v>13</v>
      </c>
      <c r="D1983" s="1">
        <v>31</v>
      </c>
    </row>
    <row r="1984" spans="1:4" x14ac:dyDescent="0.25">
      <c r="A1984" s="1">
        <v>109</v>
      </c>
      <c r="B1984" s="2">
        <v>41094</v>
      </c>
      <c r="C1984" s="4" t="s">
        <v>11</v>
      </c>
      <c r="D1984" s="1">
        <v>672</v>
      </c>
    </row>
    <row r="1985" spans="1:4" x14ac:dyDescent="0.25">
      <c r="A1985" s="1">
        <v>109</v>
      </c>
      <c r="B1985" s="2">
        <v>41122</v>
      </c>
      <c r="C1985" s="4" t="s">
        <v>11</v>
      </c>
      <c r="D1985" s="1">
        <v>650</v>
      </c>
    </row>
    <row r="1986" spans="1:4" x14ac:dyDescent="0.25">
      <c r="A1986" s="1">
        <v>109</v>
      </c>
      <c r="B1986" s="2">
        <v>41157</v>
      </c>
      <c r="C1986" s="4" t="s">
        <v>11</v>
      </c>
      <c r="D1986" s="1">
        <v>566</v>
      </c>
    </row>
    <row r="1987" spans="1:4" x14ac:dyDescent="0.25">
      <c r="A1987" s="1">
        <v>109</v>
      </c>
      <c r="B1987" s="2">
        <v>41185</v>
      </c>
      <c r="C1987" s="4" t="s">
        <v>11</v>
      </c>
      <c r="D1987" s="1">
        <v>445</v>
      </c>
    </row>
    <row r="1988" spans="1:4" x14ac:dyDescent="0.25">
      <c r="A1988" s="1">
        <v>109</v>
      </c>
      <c r="B1988" s="2">
        <v>41220</v>
      </c>
      <c r="C1988" s="4" t="s">
        <v>11</v>
      </c>
      <c r="D1988" s="1">
        <v>1047</v>
      </c>
    </row>
    <row r="1989" spans="1:4" x14ac:dyDescent="0.25">
      <c r="A1989" s="1">
        <v>109</v>
      </c>
      <c r="B1989" s="2">
        <v>41248</v>
      </c>
      <c r="C1989" s="4" t="s">
        <v>11</v>
      </c>
      <c r="D1989" s="1">
        <v>872</v>
      </c>
    </row>
    <row r="1990" spans="1:4" x14ac:dyDescent="0.25">
      <c r="A1990" s="1">
        <v>109</v>
      </c>
      <c r="B1990" s="2">
        <v>41094</v>
      </c>
      <c r="C1990" s="4" t="s">
        <v>12</v>
      </c>
      <c r="D1990" s="1">
        <v>11.7</v>
      </c>
    </row>
    <row r="1991" spans="1:4" x14ac:dyDescent="0.25">
      <c r="A1991" s="1">
        <v>109</v>
      </c>
      <c r="B1991" s="2">
        <v>41103</v>
      </c>
      <c r="C1991" s="4" t="s">
        <v>12</v>
      </c>
      <c r="D1991" s="1">
        <v>12.4</v>
      </c>
    </row>
    <row r="1992" spans="1:4" x14ac:dyDescent="0.25">
      <c r="A1992" s="1">
        <v>109</v>
      </c>
      <c r="B1992" s="2">
        <v>41108</v>
      </c>
      <c r="C1992" s="4" t="s">
        <v>12</v>
      </c>
      <c r="D1992" s="1">
        <v>12.6</v>
      </c>
    </row>
    <row r="1993" spans="1:4" x14ac:dyDescent="0.25">
      <c r="A1993" s="1">
        <v>109</v>
      </c>
      <c r="B1993" s="2">
        <v>41115</v>
      </c>
      <c r="C1993" s="4" t="s">
        <v>12</v>
      </c>
      <c r="D1993" s="1">
        <v>13.1</v>
      </c>
    </row>
    <row r="1994" spans="1:4" x14ac:dyDescent="0.25">
      <c r="A1994" s="1">
        <v>109</v>
      </c>
      <c r="B1994" s="2">
        <v>41122</v>
      </c>
      <c r="C1994" s="4" t="s">
        <v>12</v>
      </c>
      <c r="D1994" s="1">
        <v>13.3</v>
      </c>
    </row>
    <row r="1995" spans="1:4" x14ac:dyDescent="0.25">
      <c r="A1995" s="1">
        <v>109</v>
      </c>
      <c r="B1995" s="2">
        <v>41136</v>
      </c>
      <c r="C1995" s="4" t="s">
        <v>12</v>
      </c>
      <c r="D1995" s="1">
        <v>12.5</v>
      </c>
    </row>
    <row r="1996" spans="1:4" x14ac:dyDescent="0.25">
      <c r="A1996" s="1">
        <v>109</v>
      </c>
      <c r="B1996" s="2">
        <v>41143</v>
      </c>
      <c r="C1996" s="4" t="s">
        <v>12</v>
      </c>
      <c r="D1996" s="1">
        <v>12.3</v>
      </c>
    </row>
    <row r="1997" spans="1:4" x14ac:dyDescent="0.25">
      <c r="A1997" s="1">
        <v>109</v>
      </c>
      <c r="B1997" s="2">
        <v>41157</v>
      </c>
      <c r="C1997" s="4" t="s">
        <v>12</v>
      </c>
      <c r="D1997" s="1">
        <v>12.3</v>
      </c>
    </row>
    <row r="1998" spans="1:4" x14ac:dyDescent="0.25">
      <c r="A1998" s="1">
        <v>109</v>
      </c>
      <c r="B1998" s="2">
        <v>41171</v>
      </c>
      <c r="C1998" s="4" t="s">
        <v>12</v>
      </c>
      <c r="D1998" s="1">
        <v>11.5</v>
      </c>
    </row>
    <row r="1999" spans="1:4" x14ac:dyDescent="0.25">
      <c r="A1999" s="1">
        <v>109</v>
      </c>
      <c r="B1999" s="2">
        <v>41185</v>
      </c>
      <c r="C1999" s="4" t="s">
        <v>12</v>
      </c>
      <c r="D1999" s="1">
        <v>10.4</v>
      </c>
    </row>
    <row r="2000" spans="1:4" x14ac:dyDescent="0.25">
      <c r="A2000" s="1">
        <v>109</v>
      </c>
      <c r="B2000" s="2">
        <v>41199</v>
      </c>
      <c r="C2000" s="4" t="s">
        <v>12</v>
      </c>
      <c r="D2000" s="1">
        <v>11.2</v>
      </c>
    </row>
    <row r="2001" spans="1:4" x14ac:dyDescent="0.25">
      <c r="A2001" s="1">
        <v>109</v>
      </c>
      <c r="B2001" s="2">
        <v>41220</v>
      </c>
      <c r="C2001" s="4" t="s">
        <v>12</v>
      </c>
      <c r="D2001" s="1">
        <v>10.1</v>
      </c>
    </row>
    <row r="2002" spans="1:4" x14ac:dyDescent="0.25">
      <c r="A2002" s="1">
        <v>109</v>
      </c>
      <c r="B2002" s="2">
        <v>41233</v>
      </c>
      <c r="C2002" s="4" t="s">
        <v>12</v>
      </c>
      <c r="D2002" s="1">
        <v>9.6999999999999993</v>
      </c>
    </row>
    <row r="2003" spans="1:4" x14ac:dyDescent="0.25">
      <c r="A2003" s="1">
        <v>109</v>
      </c>
      <c r="B2003" s="2">
        <v>41248</v>
      </c>
      <c r="C2003" s="4" t="s">
        <v>12</v>
      </c>
      <c r="D2003" s="1">
        <v>10.3</v>
      </c>
    </row>
    <row r="2004" spans="1:4" x14ac:dyDescent="0.25">
      <c r="A2004" s="1">
        <v>109</v>
      </c>
      <c r="B2004" s="2">
        <v>41094</v>
      </c>
      <c r="C2004" s="4" t="s">
        <v>13</v>
      </c>
      <c r="D2004" s="1">
        <v>24</v>
      </c>
    </row>
    <row r="2005" spans="1:4" x14ac:dyDescent="0.25">
      <c r="A2005" s="1">
        <v>109</v>
      </c>
      <c r="B2005" s="2">
        <v>41122</v>
      </c>
      <c r="C2005" s="4" t="s">
        <v>13</v>
      </c>
      <c r="D2005" s="1">
        <v>22</v>
      </c>
    </row>
    <row r="2006" spans="1:4" x14ac:dyDescent="0.25">
      <c r="A2006" s="1">
        <v>109</v>
      </c>
      <c r="B2006" s="2">
        <v>41157</v>
      </c>
      <c r="C2006" s="4" t="s">
        <v>13</v>
      </c>
      <c r="D2006" s="1">
        <v>19</v>
      </c>
    </row>
    <row r="2007" spans="1:4" x14ac:dyDescent="0.25">
      <c r="A2007" s="1">
        <v>109</v>
      </c>
      <c r="B2007" s="2">
        <v>41185</v>
      </c>
      <c r="C2007" s="4" t="s">
        <v>13</v>
      </c>
      <c r="D2007" s="1">
        <v>20</v>
      </c>
    </row>
    <row r="2008" spans="1:4" x14ac:dyDescent="0.25">
      <c r="A2008" s="1">
        <v>109</v>
      </c>
      <c r="B2008" s="2">
        <v>41220</v>
      </c>
      <c r="C2008" s="4" t="s">
        <v>13</v>
      </c>
      <c r="D2008" s="1">
        <v>24</v>
      </c>
    </row>
    <row r="2009" spans="1:4" x14ac:dyDescent="0.25">
      <c r="A2009" s="1">
        <v>109</v>
      </c>
      <c r="B2009" s="2">
        <v>41248</v>
      </c>
      <c r="C2009" s="4" t="s">
        <v>13</v>
      </c>
      <c r="D2009" s="1">
        <v>22</v>
      </c>
    </row>
    <row r="2010" spans="1:4" x14ac:dyDescent="0.25">
      <c r="A2010" s="1">
        <v>110</v>
      </c>
      <c r="B2010" s="2">
        <v>41095</v>
      </c>
      <c r="C2010" s="4" t="s">
        <v>11</v>
      </c>
      <c r="D2010" s="1">
        <v>1251</v>
      </c>
    </row>
    <row r="2011" spans="1:4" x14ac:dyDescent="0.25">
      <c r="A2011" s="1">
        <v>110</v>
      </c>
      <c r="B2011" s="2">
        <v>41123</v>
      </c>
      <c r="C2011" s="4" t="s">
        <v>11</v>
      </c>
      <c r="D2011" s="1">
        <v>1034</v>
      </c>
    </row>
    <row r="2012" spans="1:4" x14ac:dyDescent="0.25">
      <c r="A2012" s="1">
        <v>110</v>
      </c>
      <c r="B2012" s="2">
        <v>41156</v>
      </c>
      <c r="C2012" s="4" t="s">
        <v>11</v>
      </c>
      <c r="D2012" s="1">
        <v>854</v>
      </c>
    </row>
    <row r="2013" spans="1:4" x14ac:dyDescent="0.25">
      <c r="A2013" s="1">
        <v>110</v>
      </c>
      <c r="B2013" s="2">
        <v>41186</v>
      </c>
      <c r="C2013" s="4" t="s">
        <v>11</v>
      </c>
      <c r="D2013" s="1">
        <v>794</v>
      </c>
    </row>
    <row r="2014" spans="1:4" x14ac:dyDescent="0.25">
      <c r="A2014" s="1">
        <v>110</v>
      </c>
      <c r="B2014" s="2">
        <v>41221</v>
      </c>
      <c r="C2014" s="4" t="s">
        <v>11</v>
      </c>
      <c r="D2014" s="1">
        <v>1312</v>
      </c>
    </row>
    <row r="2015" spans="1:4" x14ac:dyDescent="0.25">
      <c r="A2015" s="1">
        <v>110</v>
      </c>
      <c r="B2015" s="2">
        <v>41095</v>
      </c>
      <c r="C2015" s="4" t="s">
        <v>12</v>
      </c>
      <c r="D2015" s="1">
        <v>10.6</v>
      </c>
    </row>
    <row r="2016" spans="1:4" x14ac:dyDescent="0.25">
      <c r="A2016" s="1">
        <v>110</v>
      </c>
      <c r="B2016" s="2">
        <v>41109</v>
      </c>
      <c r="C2016" s="4" t="s">
        <v>12</v>
      </c>
      <c r="D2016" s="1">
        <v>10.6</v>
      </c>
    </row>
    <row r="2017" spans="1:4" x14ac:dyDescent="0.25">
      <c r="A2017" s="1">
        <v>110</v>
      </c>
      <c r="B2017" s="2">
        <v>41123</v>
      </c>
      <c r="C2017" s="4" t="s">
        <v>12</v>
      </c>
      <c r="D2017" s="1">
        <v>10.3</v>
      </c>
    </row>
    <row r="2018" spans="1:4" x14ac:dyDescent="0.25">
      <c r="A2018" s="1">
        <v>110</v>
      </c>
      <c r="B2018" s="2">
        <v>41137</v>
      </c>
      <c r="C2018" s="4" t="s">
        <v>12</v>
      </c>
      <c r="D2018" s="1">
        <v>10.3</v>
      </c>
    </row>
    <row r="2019" spans="1:4" x14ac:dyDescent="0.25">
      <c r="A2019" s="1">
        <v>110</v>
      </c>
      <c r="B2019" s="2">
        <v>41156</v>
      </c>
      <c r="C2019" s="4" t="s">
        <v>12</v>
      </c>
      <c r="D2019" s="1">
        <v>10.5</v>
      </c>
    </row>
    <row r="2020" spans="1:4" x14ac:dyDescent="0.25">
      <c r="A2020" s="1">
        <v>110</v>
      </c>
      <c r="B2020" s="2">
        <v>41172</v>
      </c>
      <c r="C2020" s="4" t="s">
        <v>12</v>
      </c>
      <c r="D2020" s="1">
        <v>11.7</v>
      </c>
    </row>
    <row r="2021" spans="1:4" x14ac:dyDescent="0.25">
      <c r="A2021" s="1">
        <v>110</v>
      </c>
      <c r="B2021" s="2">
        <v>41186</v>
      </c>
      <c r="C2021" s="4" t="s">
        <v>12</v>
      </c>
      <c r="D2021" s="1">
        <v>11.2</v>
      </c>
    </row>
    <row r="2022" spans="1:4" x14ac:dyDescent="0.25">
      <c r="A2022" s="1">
        <v>110</v>
      </c>
      <c r="B2022" s="2">
        <v>41200</v>
      </c>
      <c r="C2022" s="4" t="s">
        <v>12</v>
      </c>
      <c r="D2022" s="1">
        <v>11.3</v>
      </c>
    </row>
    <row r="2023" spans="1:4" x14ac:dyDescent="0.25">
      <c r="A2023" s="1">
        <v>110</v>
      </c>
      <c r="B2023" s="2">
        <v>41214</v>
      </c>
      <c r="C2023" s="4" t="s">
        <v>12</v>
      </c>
      <c r="D2023" s="1">
        <v>10.3</v>
      </c>
    </row>
    <row r="2024" spans="1:4" x14ac:dyDescent="0.25">
      <c r="A2024" s="1">
        <v>110</v>
      </c>
      <c r="B2024" s="2">
        <v>41221</v>
      </c>
      <c r="C2024" s="4" t="s">
        <v>12</v>
      </c>
      <c r="D2024" s="1">
        <v>9.1999999999999993</v>
      </c>
    </row>
    <row r="2025" spans="1:4" x14ac:dyDescent="0.25">
      <c r="A2025" s="1">
        <v>110</v>
      </c>
      <c r="B2025" s="2">
        <v>41226</v>
      </c>
      <c r="C2025" s="4" t="s">
        <v>12</v>
      </c>
      <c r="D2025" s="1">
        <v>7.7</v>
      </c>
    </row>
    <row r="2026" spans="1:4" x14ac:dyDescent="0.25">
      <c r="A2026" s="1">
        <v>110</v>
      </c>
      <c r="B2026" s="2">
        <v>41234</v>
      </c>
      <c r="C2026" s="4" t="s">
        <v>12</v>
      </c>
      <c r="D2026" s="1">
        <v>10.3</v>
      </c>
    </row>
    <row r="2027" spans="1:4" x14ac:dyDescent="0.25">
      <c r="A2027" s="1">
        <v>110</v>
      </c>
      <c r="B2027" s="2">
        <v>41239</v>
      </c>
      <c r="C2027" s="4" t="s">
        <v>12</v>
      </c>
      <c r="D2027" s="1">
        <v>10.3</v>
      </c>
    </row>
    <row r="2028" spans="1:4" x14ac:dyDescent="0.25">
      <c r="A2028" s="1">
        <v>110</v>
      </c>
      <c r="B2028" s="2">
        <v>41095</v>
      </c>
      <c r="C2028" s="4" t="s">
        <v>13</v>
      </c>
      <c r="D2028" s="1">
        <v>35</v>
      </c>
    </row>
    <row r="2029" spans="1:4" x14ac:dyDescent="0.25">
      <c r="A2029" s="1">
        <v>110</v>
      </c>
      <c r="B2029" s="2">
        <v>41123</v>
      </c>
      <c r="C2029" s="4" t="s">
        <v>13</v>
      </c>
      <c r="D2029" s="1">
        <v>35</v>
      </c>
    </row>
    <row r="2030" spans="1:4" x14ac:dyDescent="0.25">
      <c r="A2030" s="1">
        <v>110</v>
      </c>
      <c r="B2030" s="2">
        <v>41156</v>
      </c>
      <c r="C2030" s="4" t="s">
        <v>13</v>
      </c>
      <c r="D2030" s="1">
        <v>35</v>
      </c>
    </row>
    <row r="2031" spans="1:4" x14ac:dyDescent="0.25">
      <c r="A2031" s="1">
        <v>110</v>
      </c>
      <c r="B2031" s="2">
        <v>41186</v>
      </c>
      <c r="C2031" s="4" t="s">
        <v>13</v>
      </c>
      <c r="D2031" s="1">
        <v>32</v>
      </c>
    </row>
    <row r="2032" spans="1:4" x14ac:dyDescent="0.25">
      <c r="A2032" s="1">
        <v>110</v>
      </c>
      <c r="B2032" s="2">
        <v>41221</v>
      </c>
      <c r="C2032" s="4" t="s">
        <v>13</v>
      </c>
      <c r="D2032" s="1">
        <v>50</v>
      </c>
    </row>
    <row r="2033" spans="1:4" x14ac:dyDescent="0.25">
      <c r="A2033" s="1">
        <v>111</v>
      </c>
      <c r="B2033" s="2">
        <v>41095</v>
      </c>
      <c r="C2033" s="4" t="s">
        <v>11</v>
      </c>
      <c r="D2033" s="1">
        <v>630</v>
      </c>
    </row>
    <row r="2034" spans="1:4" x14ac:dyDescent="0.25">
      <c r="A2034" s="1">
        <v>111</v>
      </c>
      <c r="B2034" s="2">
        <v>41127</v>
      </c>
      <c r="C2034" s="4" t="s">
        <v>11</v>
      </c>
      <c r="D2034" s="1">
        <v>745</v>
      </c>
    </row>
    <row r="2035" spans="1:4" x14ac:dyDescent="0.25">
      <c r="A2035" s="1">
        <v>111</v>
      </c>
      <c r="B2035" s="2">
        <v>41156</v>
      </c>
      <c r="C2035" s="4" t="s">
        <v>11</v>
      </c>
      <c r="D2035" s="1">
        <v>749</v>
      </c>
    </row>
    <row r="2036" spans="1:4" x14ac:dyDescent="0.25">
      <c r="A2036" s="1">
        <v>111</v>
      </c>
      <c r="B2036" s="2">
        <v>41186</v>
      </c>
      <c r="C2036" s="4" t="s">
        <v>11</v>
      </c>
      <c r="D2036" s="1">
        <v>781</v>
      </c>
    </row>
    <row r="2037" spans="1:4" x14ac:dyDescent="0.25">
      <c r="A2037" s="1">
        <v>111</v>
      </c>
      <c r="B2037" s="2">
        <v>41221</v>
      </c>
      <c r="C2037" s="4" t="s">
        <v>11</v>
      </c>
      <c r="D2037" s="1">
        <v>719</v>
      </c>
    </row>
    <row r="2038" spans="1:4" x14ac:dyDescent="0.25">
      <c r="A2038" s="1">
        <v>111</v>
      </c>
      <c r="B2038" s="2">
        <v>41095</v>
      </c>
      <c r="C2038" s="4" t="s">
        <v>12</v>
      </c>
      <c r="D2038" s="1">
        <v>11.5</v>
      </c>
    </row>
    <row r="2039" spans="1:4" x14ac:dyDescent="0.25">
      <c r="A2039" s="1">
        <v>111</v>
      </c>
      <c r="B2039" s="2">
        <v>41109</v>
      </c>
      <c r="C2039" s="4" t="s">
        <v>12</v>
      </c>
      <c r="D2039" s="1">
        <v>11.7</v>
      </c>
    </row>
    <row r="2040" spans="1:4" x14ac:dyDescent="0.25">
      <c r="A2040" s="1">
        <v>111</v>
      </c>
      <c r="B2040" s="2">
        <v>41116</v>
      </c>
      <c r="C2040" s="4" t="s">
        <v>12</v>
      </c>
      <c r="D2040" s="1">
        <v>11.7</v>
      </c>
    </row>
    <row r="2041" spans="1:4" x14ac:dyDescent="0.25">
      <c r="A2041" s="1">
        <v>111</v>
      </c>
      <c r="B2041" s="2">
        <v>41127</v>
      </c>
      <c r="C2041" s="4" t="s">
        <v>12</v>
      </c>
      <c r="D2041" s="1">
        <v>11.5</v>
      </c>
    </row>
    <row r="2042" spans="1:4" x14ac:dyDescent="0.25">
      <c r="A2042" s="1">
        <v>111</v>
      </c>
      <c r="B2042" s="2">
        <v>41137</v>
      </c>
      <c r="C2042" s="4" t="s">
        <v>12</v>
      </c>
      <c r="D2042" s="1">
        <v>11.2</v>
      </c>
    </row>
    <row r="2043" spans="1:4" x14ac:dyDescent="0.25">
      <c r="A2043" s="1">
        <v>111</v>
      </c>
      <c r="B2043" s="2">
        <v>41156</v>
      </c>
      <c r="C2043" s="4" t="s">
        <v>12</v>
      </c>
      <c r="D2043" s="1">
        <v>10.6</v>
      </c>
    </row>
    <row r="2044" spans="1:4" x14ac:dyDescent="0.25">
      <c r="A2044" s="1">
        <v>111</v>
      </c>
      <c r="B2044" s="2">
        <v>41174</v>
      </c>
      <c r="C2044" s="4" t="s">
        <v>12</v>
      </c>
      <c r="D2044" s="1">
        <v>11.1</v>
      </c>
    </row>
    <row r="2045" spans="1:4" x14ac:dyDescent="0.25">
      <c r="A2045" s="1">
        <v>111</v>
      </c>
      <c r="B2045" s="2">
        <v>41186</v>
      </c>
      <c r="C2045" s="4" t="s">
        <v>12</v>
      </c>
      <c r="D2045" s="1">
        <v>10.1</v>
      </c>
    </row>
    <row r="2046" spans="1:4" x14ac:dyDescent="0.25">
      <c r="A2046" s="1">
        <v>111</v>
      </c>
      <c r="B2046" s="2">
        <v>41200</v>
      </c>
      <c r="C2046" s="4" t="s">
        <v>12</v>
      </c>
      <c r="D2046" s="1">
        <v>10.6</v>
      </c>
    </row>
    <row r="2047" spans="1:4" x14ac:dyDescent="0.25">
      <c r="A2047" s="1">
        <v>111</v>
      </c>
      <c r="B2047" s="2">
        <v>41221</v>
      </c>
      <c r="C2047" s="4" t="s">
        <v>12</v>
      </c>
      <c r="D2047" s="1">
        <v>10.7</v>
      </c>
    </row>
    <row r="2048" spans="1:4" x14ac:dyDescent="0.25">
      <c r="A2048" s="1">
        <v>111</v>
      </c>
      <c r="B2048" s="2">
        <v>41240</v>
      </c>
      <c r="C2048" s="4" t="s">
        <v>12</v>
      </c>
      <c r="D2048" s="1">
        <v>11.2</v>
      </c>
    </row>
    <row r="2049" spans="1:4" x14ac:dyDescent="0.25">
      <c r="A2049" s="1">
        <v>111</v>
      </c>
      <c r="B2049" s="2">
        <v>41095</v>
      </c>
      <c r="C2049" s="4" t="s">
        <v>13</v>
      </c>
      <c r="D2049" s="1">
        <v>38</v>
      </c>
    </row>
    <row r="2050" spans="1:4" x14ac:dyDescent="0.25">
      <c r="A2050" s="1">
        <v>111</v>
      </c>
      <c r="B2050" s="2">
        <v>41127</v>
      </c>
      <c r="C2050" s="4" t="s">
        <v>13</v>
      </c>
      <c r="D2050" s="1">
        <v>47</v>
      </c>
    </row>
    <row r="2051" spans="1:4" x14ac:dyDescent="0.25">
      <c r="A2051" s="1">
        <v>111</v>
      </c>
      <c r="B2051" s="2">
        <v>41156</v>
      </c>
      <c r="C2051" s="4" t="s">
        <v>13</v>
      </c>
      <c r="D2051" s="1">
        <v>26</v>
      </c>
    </row>
    <row r="2052" spans="1:4" x14ac:dyDescent="0.25">
      <c r="A2052" s="1">
        <v>111</v>
      </c>
      <c r="B2052" s="2">
        <v>41186</v>
      </c>
      <c r="C2052" s="4" t="s">
        <v>13</v>
      </c>
      <c r="D2052" s="1">
        <v>47</v>
      </c>
    </row>
    <row r="2053" spans="1:4" x14ac:dyDescent="0.25">
      <c r="A2053" s="1">
        <v>111</v>
      </c>
      <c r="B2053" s="2">
        <v>41221</v>
      </c>
      <c r="C2053" s="4" t="s">
        <v>13</v>
      </c>
      <c r="D2053" s="1">
        <v>39</v>
      </c>
    </row>
    <row r="2054" spans="1:4" x14ac:dyDescent="0.25">
      <c r="A2054" s="1">
        <v>112</v>
      </c>
      <c r="B2054" s="2">
        <v>41094</v>
      </c>
      <c r="C2054" s="4" t="s">
        <v>11</v>
      </c>
      <c r="D2054" s="1">
        <v>446</v>
      </c>
    </row>
    <row r="2055" spans="1:4" x14ac:dyDescent="0.25">
      <c r="A2055" s="1">
        <v>112</v>
      </c>
      <c r="B2055" s="2">
        <v>41122</v>
      </c>
      <c r="C2055" s="4" t="s">
        <v>11</v>
      </c>
      <c r="D2055" s="1">
        <v>452</v>
      </c>
    </row>
    <row r="2056" spans="1:4" x14ac:dyDescent="0.25">
      <c r="A2056" s="1">
        <v>112</v>
      </c>
      <c r="B2056" s="2">
        <v>41157</v>
      </c>
      <c r="C2056" s="4" t="s">
        <v>11</v>
      </c>
      <c r="D2056" s="1">
        <v>695</v>
      </c>
    </row>
    <row r="2057" spans="1:4" x14ac:dyDescent="0.25">
      <c r="A2057" s="1">
        <v>112</v>
      </c>
      <c r="B2057" s="2">
        <v>41185</v>
      </c>
      <c r="C2057" s="4" t="s">
        <v>11</v>
      </c>
      <c r="D2057" s="1">
        <v>634</v>
      </c>
    </row>
    <row r="2058" spans="1:4" x14ac:dyDescent="0.25">
      <c r="A2058" s="1">
        <v>112</v>
      </c>
      <c r="B2058" s="2">
        <v>41220</v>
      </c>
      <c r="C2058" s="4" t="s">
        <v>11</v>
      </c>
      <c r="D2058" s="1">
        <v>778</v>
      </c>
    </row>
    <row r="2059" spans="1:4" x14ac:dyDescent="0.25">
      <c r="A2059" s="1">
        <v>112</v>
      </c>
      <c r="B2059" s="2">
        <v>41248</v>
      </c>
      <c r="C2059" s="4" t="s">
        <v>11</v>
      </c>
      <c r="D2059" s="1">
        <v>675</v>
      </c>
    </row>
    <row r="2060" spans="1:4" x14ac:dyDescent="0.25">
      <c r="A2060" s="1">
        <v>112</v>
      </c>
      <c r="B2060" s="2">
        <v>41094</v>
      </c>
      <c r="C2060" s="4" t="s">
        <v>12</v>
      </c>
      <c r="D2060" s="1">
        <v>10.8</v>
      </c>
    </row>
    <row r="2061" spans="1:4" x14ac:dyDescent="0.25">
      <c r="A2061" s="1">
        <v>112</v>
      </c>
      <c r="B2061" s="2">
        <v>41108</v>
      </c>
      <c r="C2061" s="4" t="s">
        <v>12</v>
      </c>
      <c r="D2061" s="1">
        <v>11</v>
      </c>
    </row>
    <row r="2062" spans="1:4" x14ac:dyDescent="0.25">
      <c r="A2062" s="1">
        <v>112</v>
      </c>
      <c r="B2062" s="2">
        <v>41122</v>
      </c>
      <c r="C2062" s="4" t="s">
        <v>12</v>
      </c>
      <c r="D2062" s="1">
        <v>11.8</v>
      </c>
    </row>
    <row r="2063" spans="1:4" x14ac:dyDescent="0.25">
      <c r="A2063" s="1">
        <v>112</v>
      </c>
      <c r="B2063" s="2">
        <v>41129</v>
      </c>
      <c r="C2063" s="4" t="s">
        <v>12</v>
      </c>
      <c r="D2063" s="1">
        <v>11.6</v>
      </c>
    </row>
    <row r="2064" spans="1:4" x14ac:dyDescent="0.25">
      <c r="A2064" s="1">
        <v>112</v>
      </c>
      <c r="B2064" s="2">
        <v>41136</v>
      </c>
      <c r="C2064" s="4" t="s">
        <v>12</v>
      </c>
      <c r="D2064" s="1">
        <v>11.1</v>
      </c>
    </row>
    <row r="2065" spans="1:4" x14ac:dyDescent="0.25">
      <c r="A2065" s="1">
        <v>112</v>
      </c>
      <c r="B2065" s="2">
        <v>41157</v>
      </c>
      <c r="C2065" s="4" t="s">
        <v>12</v>
      </c>
      <c r="D2065" s="1">
        <v>11.1</v>
      </c>
    </row>
    <row r="2066" spans="1:4" x14ac:dyDescent="0.25">
      <c r="A2066" s="1">
        <v>112</v>
      </c>
      <c r="B2066" s="2">
        <v>41171</v>
      </c>
      <c r="C2066" s="4" t="s">
        <v>12</v>
      </c>
      <c r="D2066" s="1">
        <v>11.7</v>
      </c>
    </row>
    <row r="2067" spans="1:4" x14ac:dyDescent="0.25">
      <c r="A2067" s="1">
        <v>112</v>
      </c>
      <c r="B2067" s="2">
        <v>41185</v>
      </c>
      <c r="C2067" s="4" t="s">
        <v>12</v>
      </c>
      <c r="D2067" s="1">
        <v>12.1</v>
      </c>
    </row>
    <row r="2068" spans="1:4" x14ac:dyDescent="0.25">
      <c r="A2068" s="1">
        <v>112</v>
      </c>
      <c r="B2068" s="2">
        <v>41199</v>
      </c>
      <c r="C2068" s="4" t="s">
        <v>12</v>
      </c>
      <c r="D2068" s="1">
        <v>11.7</v>
      </c>
    </row>
    <row r="2069" spans="1:4" x14ac:dyDescent="0.25">
      <c r="A2069" s="1">
        <v>112</v>
      </c>
      <c r="B2069" s="2">
        <v>41220</v>
      </c>
      <c r="C2069" s="4" t="s">
        <v>12</v>
      </c>
      <c r="D2069" s="1">
        <v>10.1</v>
      </c>
    </row>
    <row r="2070" spans="1:4" x14ac:dyDescent="0.25">
      <c r="A2070" s="1">
        <v>112</v>
      </c>
      <c r="B2070" s="2">
        <v>41233</v>
      </c>
      <c r="C2070" s="4" t="s">
        <v>12</v>
      </c>
      <c r="D2070" s="1">
        <v>9.8000000000000007</v>
      </c>
    </row>
    <row r="2071" spans="1:4" x14ac:dyDescent="0.25">
      <c r="A2071" s="1">
        <v>112</v>
      </c>
      <c r="B2071" s="2">
        <v>41248</v>
      </c>
      <c r="C2071" s="4" t="s">
        <v>12</v>
      </c>
      <c r="D2071" s="1">
        <v>10.1</v>
      </c>
    </row>
    <row r="2072" spans="1:4" x14ac:dyDescent="0.25">
      <c r="A2072" s="1">
        <v>112</v>
      </c>
      <c r="B2072" s="2">
        <v>41094</v>
      </c>
      <c r="C2072" s="4" t="s">
        <v>13</v>
      </c>
      <c r="D2072" s="1">
        <v>26</v>
      </c>
    </row>
    <row r="2073" spans="1:4" x14ac:dyDescent="0.25">
      <c r="A2073" s="1">
        <v>112</v>
      </c>
      <c r="B2073" s="2">
        <v>41122</v>
      </c>
      <c r="C2073" s="4" t="s">
        <v>13</v>
      </c>
      <c r="D2073" s="1">
        <v>26</v>
      </c>
    </row>
    <row r="2074" spans="1:4" x14ac:dyDescent="0.25">
      <c r="A2074" s="1">
        <v>112</v>
      </c>
      <c r="B2074" s="2">
        <v>41157</v>
      </c>
      <c r="C2074" s="4" t="s">
        <v>13</v>
      </c>
      <c r="D2074" s="1">
        <v>29</v>
      </c>
    </row>
    <row r="2075" spans="1:4" x14ac:dyDescent="0.25">
      <c r="A2075" s="1">
        <v>112</v>
      </c>
      <c r="B2075" s="2">
        <v>41185</v>
      </c>
      <c r="C2075" s="4" t="s">
        <v>13</v>
      </c>
      <c r="D2075" s="1">
        <v>27</v>
      </c>
    </row>
    <row r="2076" spans="1:4" x14ac:dyDescent="0.25">
      <c r="A2076" s="1">
        <v>112</v>
      </c>
      <c r="B2076" s="2">
        <v>41220</v>
      </c>
      <c r="C2076" s="4" t="s">
        <v>13</v>
      </c>
      <c r="D2076" s="1">
        <v>42</v>
      </c>
    </row>
    <row r="2077" spans="1:4" x14ac:dyDescent="0.25">
      <c r="A2077" s="1">
        <v>112</v>
      </c>
      <c r="B2077" s="2">
        <v>41248</v>
      </c>
      <c r="C2077" s="4" t="s">
        <v>13</v>
      </c>
      <c r="D2077" s="1">
        <v>33</v>
      </c>
    </row>
    <row r="2078" spans="1:4" x14ac:dyDescent="0.25">
      <c r="A2078" s="1" t="e">
        <v>#N/A</v>
      </c>
      <c r="B2078" s="2">
        <v>41097</v>
      </c>
      <c r="C2078" s="4" t="s">
        <v>11</v>
      </c>
      <c r="D2078" s="1">
        <v>1323</v>
      </c>
    </row>
    <row r="2079" spans="1:4" x14ac:dyDescent="0.25">
      <c r="A2079" s="1" t="e">
        <v>#N/A</v>
      </c>
      <c r="B2079" s="2">
        <v>41125</v>
      </c>
      <c r="C2079" s="4" t="s">
        <v>11</v>
      </c>
      <c r="D2079" s="1">
        <v>924</v>
      </c>
    </row>
    <row r="2080" spans="1:4" x14ac:dyDescent="0.25">
      <c r="A2080" s="1" t="e">
        <v>#N/A</v>
      </c>
      <c r="B2080" s="2">
        <v>41156</v>
      </c>
      <c r="C2080" s="4" t="s">
        <v>11</v>
      </c>
      <c r="D2080" s="1">
        <v>855</v>
      </c>
    </row>
    <row r="2081" spans="1:4" x14ac:dyDescent="0.25">
      <c r="A2081" s="1" t="e">
        <v>#N/A</v>
      </c>
      <c r="B2081" s="2">
        <v>41186</v>
      </c>
      <c r="C2081" s="4" t="s">
        <v>11</v>
      </c>
      <c r="D2081" s="1">
        <v>798</v>
      </c>
    </row>
    <row r="2082" spans="1:4" x14ac:dyDescent="0.25">
      <c r="A2082" s="1" t="e">
        <v>#N/A</v>
      </c>
      <c r="B2082" s="2">
        <v>41221</v>
      </c>
      <c r="C2082" s="4" t="s">
        <v>11</v>
      </c>
      <c r="D2082" s="1">
        <v>962</v>
      </c>
    </row>
    <row r="2083" spans="1:4" x14ac:dyDescent="0.25">
      <c r="A2083" s="1" t="e">
        <v>#N/A</v>
      </c>
      <c r="B2083" s="2">
        <v>41097</v>
      </c>
      <c r="C2083" s="4" t="s">
        <v>12</v>
      </c>
      <c r="D2083" s="1">
        <v>9.3000000000000007</v>
      </c>
    </row>
    <row r="2084" spans="1:4" x14ac:dyDescent="0.25">
      <c r="A2084" s="1" t="e">
        <v>#N/A</v>
      </c>
      <c r="B2084" s="2">
        <v>41109</v>
      </c>
      <c r="C2084" s="4" t="s">
        <v>12</v>
      </c>
      <c r="D2084" s="1">
        <v>9.3000000000000007</v>
      </c>
    </row>
    <row r="2085" spans="1:4" x14ac:dyDescent="0.25">
      <c r="A2085" s="1" t="e">
        <v>#N/A</v>
      </c>
      <c r="B2085" s="2">
        <v>41125</v>
      </c>
      <c r="C2085" s="4" t="s">
        <v>12</v>
      </c>
      <c r="D2085" s="1">
        <v>8.9</v>
      </c>
    </row>
    <row r="2086" spans="1:4" x14ac:dyDescent="0.25">
      <c r="A2086" s="1" t="e">
        <v>#N/A</v>
      </c>
      <c r="B2086" s="2">
        <v>41139</v>
      </c>
      <c r="C2086" s="4" t="s">
        <v>12</v>
      </c>
      <c r="D2086" s="1">
        <v>8.4</v>
      </c>
    </row>
    <row r="2087" spans="1:4" x14ac:dyDescent="0.25">
      <c r="A2087" s="1" t="e">
        <v>#N/A</v>
      </c>
      <c r="B2087" s="2">
        <v>41156</v>
      </c>
      <c r="C2087" s="4" t="s">
        <v>12</v>
      </c>
      <c r="D2087" s="1">
        <v>9</v>
      </c>
    </row>
    <row r="2088" spans="1:4" x14ac:dyDescent="0.25">
      <c r="A2088" s="1" t="e">
        <v>#N/A</v>
      </c>
      <c r="B2088" s="2">
        <v>41172</v>
      </c>
      <c r="C2088" s="4" t="s">
        <v>12</v>
      </c>
      <c r="D2088" s="1">
        <v>8.9</v>
      </c>
    </row>
    <row r="2089" spans="1:4" x14ac:dyDescent="0.25">
      <c r="A2089" s="1" t="e">
        <v>#N/A</v>
      </c>
      <c r="B2089" s="2">
        <v>41186</v>
      </c>
      <c r="C2089" s="4" t="s">
        <v>12</v>
      </c>
      <c r="D2089" s="1">
        <v>8.4</v>
      </c>
    </row>
    <row r="2090" spans="1:4" x14ac:dyDescent="0.25">
      <c r="A2090" s="1" t="e">
        <v>#N/A</v>
      </c>
      <c r="B2090" s="2">
        <v>41200</v>
      </c>
      <c r="C2090" s="4" t="s">
        <v>12</v>
      </c>
      <c r="D2090" s="1">
        <v>8.9</v>
      </c>
    </row>
    <row r="2091" spans="1:4" x14ac:dyDescent="0.25">
      <c r="A2091" s="1" t="e">
        <v>#N/A</v>
      </c>
      <c r="B2091" s="2">
        <v>41221</v>
      </c>
      <c r="C2091" s="4" t="s">
        <v>12</v>
      </c>
      <c r="D2091" s="1">
        <v>8.9</v>
      </c>
    </row>
    <row r="2092" spans="1:4" x14ac:dyDescent="0.25">
      <c r="A2092" s="1" t="e">
        <v>#N/A</v>
      </c>
      <c r="B2092" s="2">
        <v>41240</v>
      </c>
      <c r="C2092" s="4" t="s">
        <v>12</v>
      </c>
      <c r="D2092" s="1">
        <v>8.3000000000000007</v>
      </c>
    </row>
    <row r="2093" spans="1:4" x14ac:dyDescent="0.25">
      <c r="A2093" s="1" t="e">
        <v>#N/A</v>
      </c>
      <c r="B2093" s="2">
        <v>41097</v>
      </c>
      <c r="C2093" s="4" t="s">
        <v>13</v>
      </c>
      <c r="D2093" s="1">
        <v>49</v>
      </c>
    </row>
    <row r="2094" spans="1:4" x14ac:dyDescent="0.25">
      <c r="A2094" s="1" t="e">
        <v>#N/A</v>
      </c>
      <c r="B2094" s="2">
        <v>41125</v>
      </c>
      <c r="C2094" s="4" t="s">
        <v>13</v>
      </c>
      <c r="D2094" s="1">
        <v>29</v>
      </c>
    </row>
    <row r="2095" spans="1:4" x14ac:dyDescent="0.25">
      <c r="A2095" s="1" t="e">
        <v>#N/A</v>
      </c>
      <c r="B2095" s="2">
        <v>41156</v>
      </c>
      <c r="C2095" s="4" t="s">
        <v>13</v>
      </c>
      <c r="D2095" s="1">
        <v>37</v>
      </c>
    </row>
    <row r="2096" spans="1:4" x14ac:dyDescent="0.25">
      <c r="A2096" s="1" t="e">
        <v>#N/A</v>
      </c>
      <c r="B2096" s="2">
        <v>41186</v>
      </c>
      <c r="C2096" s="4" t="s">
        <v>13</v>
      </c>
      <c r="D2096" s="1">
        <v>45</v>
      </c>
    </row>
    <row r="2097" spans="1:4" x14ac:dyDescent="0.25">
      <c r="A2097" s="1" t="e">
        <v>#N/A</v>
      </c>
      <c r="B2097" s="2">
        <v>41221</v>
      </c>
      <c r="C2097" s="4" t="s">
        <v>13</v>
      </c>
      <c r="D2097" s="1">
        <v>33</v>
      </c>
    </row>
    <row r="2098" spans="1:4" x14ac:dyDescent="0.25">
      <c r="A2098" s="1">
        <v>113</v>
      </c>
      <c r="B2098" s="2">
        <v>41095</v>
      </c>
      <c r="C2098" s="4" t="s">
        <v>11</v>
      </c>
      <c r="D2098" s="1">
        <v>564</v>
      </c>
    </row>
    <row r="2099" spans="1:4" x14ac:dyDescent="0.25">
      <c r="A2099" s="1">
        <v>113</v>
      </c>
      <c r="B2099" s="2">
        <v>41123</v>
      </c>
      <c r="C2099" s="4" t="s">
        <v>11</v>
      </c>
      <c r="D2099" s="1">
        <v>330</v>
      </c>
    </row>
    <row r="2100" spans="1:4" x14ac:dyDescent="0.25">
      <c r="A2100" s="1">
        <v>113</v>
      </c>
      <c r="B2100" s="2">
        <v>41156</v>
      </c>
      <c r="C2100" s="4" t="s">
        <v>11</v>
      </c>
      <c r="D2100" s="1">
        <v>342</v>
      </c>
    </row>
    <row r="2101" spans="1:4" x14ac:dyDescent="0.25">
      <c r="A2101" s="1">
        <v>113</v>
      </c>
      <c r="B2101" s="2">
        <v>41191</v>
      </c>
      <c r="C2101" s="4" t="s">
        <v>11</v>
      </c>
      <c r="D2101" s="1">
        <v>402</v>
      </c>
    </row>
    <row r="2102" spans="1:4" x14ac:dyDescent="0.25">
      <c r="A2102" s="1">
        <v>113</v>
      </c>
      <c r="B2102" s="2">
        <v>41221</v>
      </c>
      <c r="C2102" s="4" t="s">
        <v>11</v>
      </c>
      <c r="D2102" s="1">
        <v>544</v>
      </c>
    </row>
    <row r="2103" spans="1:4" x14ac:dyDescent="0.25">
      <c r="A2103" s="1">
        <v>113</v>
      </c>
      <c r="B2103" s="2">
        <v>41095</v>
      </c>
      <c r="C2103" s="4" t="s">
        <v>12</v>
      </c>
      <c r="D2103" s="1">
        <v>11.1</v>
      </c>
    </row>
    <row r="2104" spans="1:4" x14ac:dyDescent="0.25">
      <c r="A2104" s="1">
        <v>113</v>
      </c>
      <c r="B2104" s="2">
        <v>41109</v>
      </c>
      <c r="C2104" s="4" t="s">
        <v>12</v>
      </c>
      <c r="D2104" s="1">
        <v>10.7</v>
      </c>
    </row>
    <row r="2105" spans="1:4" x14ac:dyDescent="0.25">
      <c r="A2105" s="1">
        <v>113</v>
      </c>
      <c r="B2105" s="2">
        <v>41123</v>
      </c>
      <c r="C2105" s="4" t="s">
        <v>12</v>
      </c>
      <c r="D2105" s="1">
        <v>10.7</v>
      </c>
    </row>
    <row r="2106" spans="1:4" x14ac:dyDescent="0.25">
      <c r="A2106" s="1">
        <v>113</v>
      </c>
      <c r="B2106" s="2">
        <v>41137</v>
      </c>
      <c r="C2106" s="4" t="s">
        <v>12</v>
      </c>
      <c r="D2106" s="1">
        <v>10.1</v>
      </c>
    </row>
    <row r="2107" spans="1:4" x14ac:dyDescent="0.25">
      <c r="A2107" s="1">
        <v>113</v>
      </c>
      <c r="B2107" s="2">
        <v>41156</v>
      </c>
      <c r="C2107" s="4" t="s">
        <v>12</v>
      </c>
      <c r="D2107" s="1">
        <v>10.1</v>
      </c>
    </row>
    <row r="2108" spans="1:4" x14ac:dyDescent="0.25">
      <c r="A2108" s="1">
        <v>113</v>
      </c>
      <c r="B2108" s="2">
        <v>41191</v>
      </c>
      <c r="C2108" s="4" t="s">
        <v>12</v>
      </c>
      <c r="D2108" s="1">
        <v>10.1</v>
      </c>
    </row>
    <row r="2109" spans="1:4" x14ac:dyDescent="0.25">
      <c r="A2109" s="1">
        <v>113</v>
      </c>
      <c r="B2109" s="2">
        <v>41202</v>
      </c>
      <c r="C2109" s="4" t="s">
        <v>12</v>
      </c>
      <c r="D2109" s="1">
        <v>9.6999999999999993</v>
      </c>
    </row>
    <row r="2110" spans="1:4" x14ac:dyDescent="0.25">
      <c r="A2110" s="1">
        <v>113</v>
      </c>
      <c r="B2110" s="2">
        <v>41221</v>
      </c>
      <c r="C2110" s="4" t="s">
        <v>12</v>
      </c>
      <c r="D2110" s="1">
        <v>9.5</v>
      </c>
    </row>
    <row r="2111" spans="1:4" x14ac:dyDescent="0.25">
      <c r="A2111" s="1">
        <v>113</v>
      </c>
      <c r="B2111" s="2">
        <v>41232</v>
      </c>
      <c r="C2111" s="4" t="s">
        <v>12</v>
      </c>
      <c r="D2111" s="1">
        <v>8.6999999999999993</v>
      </c>
    </row>
    <row r="2112" spans="1:4" x14ac:dyDescent="0.25">
      <c r="A2112" s="1">
        <v>113</v>
      </c>
      <c r="B2112" s="2">
        <v>41095</v>
      </c>
      <c r="C2112" s="4" t="s">
        <v>13</v>
      </c>
      <c r="D2112" s="1">
        <v>34</v>
      </c>
    </row>
    <row r="2113" spans="1:4" x14ac:dyDescent="0.25">
      <c r="A2113" s="1">
        <v>113</v>
      </c>
      <c r="B2113" s="2">
        <v>41123</v>
      </c>
      <c r="C2113" s="4" t="s">
        <v>13</v>
      </c>
      <c r="D2113" s="1">
        <v>24</v>
      </c>
    </row>
    <row r="2114" spans="1:4" x14ac:dyDescent="0.25">
      <c r="A2114" s="1">
        <v>113</v>
      </c>
      <c r="B2114" s="2">
        <v>41156</v>
      </c>
      <c r="C2114" s="4" t="s">
        <v>13</v>
      </c>
      <c r="D2114" s="1">
        <v>14</v>
      </c>
    </row>
    <row r="2115" spans="1:4" x14ac:dyDescent="0.25">
      <c r="A2115" s="1">
        <v>113</v>
      </c>
      <c r="B2115" s="2">
        <v>41191</v>
      </c>
      <c r="C2115" s="4" t="s">
        <v>13</v>
      </c>
      <c r="D2115" s="1">
        <v>26</v>
      </c>
    </row>
    <row r="2116" spans="1:4" x14ac:dyDescent="0.25">
      <c r="A2116" s="1">
        <v>113</v>
      </c>
      <c r="B2116" s="2">
        <v>41221</v>
      </c>
      <c r="C2116" s="4" t="s">
        <v>13</v>
      </c>
      <c r="D2116" s="1">
        <v>29</v>
      </c>
    </row>
    <row r="2117" spans="1:4" x14ac:dyDescent="0.25">
      <c r="A2117" s="1">
        <v>114</v>
      </c>
      <c r="B2117" s="2">
        <v>41095</v>
      </c>
      <c r="C2117" s="4" t="s">
        <v>11</v>
      </c>
      <c r="D2117" s="1">
        <v>759</v>
      </c>
    </row>
    <row r="2118" spans="1:4" x14ac:dyDescent="0.25">
      <c r="A2118" s="1">
        <v>114</v>
      </c>
      <c r="B2118" s="2">
        <v>41123</v>
      </c>
      <c r="C2118" s="4" t="s">
        <v>11</v>
      </c>
      <c r="D2118" s="1">
        <v>605</v>
      </c>
    </row>
    <row r="2119" spans="1:4" x14ac:dyDescent="0.25">
      <c r="A2119" s="1">
        <v>114</v>
      </c>
      <c r="B2119" s="2">
        <v>41156</v>
      </c>
      <c r="C2119" s="4" t="s">
        <v>11</v>
      </c>
      <c r="D2119" s="1">
        <v>731</v>
      </c>
    </row>
    <row r="2120" spans="1:4" x14ac:dyDescent="0.25">
      <c r="A2120" s="1">
        <v>114</v>
      </c>
      <c r="B2120" s="2">
        <v>41186</v>
      </c>
      <c r="C2120" s="4" t="s">
        <v>11</v>
      </c>
      <c r="D2120" s="1">
        <v>544</v>
      </c>
    </row>
    <row r="2121" spans="1:4" x14ac:dyDescent="0.25">
      <c r="A2121" s="1">
        <v>114</v>
      </c>
      <c r="B2121" s="2">
        <v>41221</v>
      </c>
      <c r="C2121" s="4" t="s">
        <v>11</v>
      </c>
      <c r="D2121" s="1">
        <v>598</v>
      </c>
    </row>
    <row r="2122" spans="1:4" x14ac:dyDescent="0.25">
      <c r="A2122" s="1">
        <v>114</v>
      </c>
      <c r="B2122" s="2">
        <v>41095</v>
      </c>
      <c r="C2122" s="4" t="s">
        <v>12</v>
      </c>
      <c r="D2122" s="1">
        <v>11.2</v>
      </c>
    </row>
    <row r="2123" spans="1:4" x14ac:dyDescent="0.25">
      <c r="A2123" s="1">
        <v>114</v>
      </c>
      <c r="B2123" s="2">
        <v>41109</v>
      </c>
      <c r="C2123" s="4" t="s">
        <v>12</v>
      </c>
      <c r="D2123" s="1">
        <v>10.9</v>
      </c>
    </row>
    <row r="2124" spans="1:4" x14ac:dyDescent="0.25">
      <c r="A2124" s="1">
        <v>114</v>
      </c>
      <c r="B2124" s="2">
        <v>41123</v>
      </c>
      <c r="C2124" s="4" t="s">
        <v>12</v>
      </c>
      <c r="D2124" s="1">
        <v>10.8</v>
      </c>
    </row>
    <row r="2125" spans="1:4" x14ac:dyDescent="0.25">
      <c r="A2125" s="1">
        <v>114</v>
      </c>
      <c r="B2125" s="2">
        <v>41139</v>
      </c>
      <c r="C2125" s="4" t="s">
        <v>12</v>
      </c>
      <c r="D2125" s="1">
        <v>9.1999999999999993</v>
      </c>
    </row>
    <row r="2126" spans="1:4" x14ac:dyDescent="0.25">
      <c r="A2126" s="1">
        <v>114</v>
      </c>
      <c r="B2126" s="2">
        <v>41158</v>
      </c>
      <c r="C2126" s="4" t="s">
        <v>12</v>
      </c>
      <c r="D2126" s="1">
        <v>10</v>
      </c>
    </row>
    <row r="2127" spans="1:4" x14ac:dyDescent="0.25">
      <c r="A2127" s="1">
        <v>114</v>
      </c>
      <c r="B2127" s="2">
        <v>41186</v>
      </c>
      <c r="C2127" s="4" t="s">
        <v>12</v>
      </c>
      <c r="D2127" s="1">
        <v>10.4</v>
      </c>
    </row>
    <row r="2128" spans="1:4" x14ac:dyDescent="0.25">
      <c r="A2128" s="1">
        <v>114</v>
      </c>
      <c r="B2128" s="2">
        <v>41200</v>
      </c>
      <c r="C2128" s="4" t="s">
        <v>12</v>
      </c>
      <c r="D2128" s="1">
        <v>10.3</v>
      </c>
    </row>
    <row r="2129" spans="1:4" x14ac:dyDescent="0.25">
      <c r="A2129" s="1">
        <v>114</v>
      </c>
      <c r="B2129" s="2">
        <v>41221</v>
      </c>
      <c r="C2129" s="4" t="s">
        <v>12</v>
      </c>
      <c r="D2129" s="1">
        <v>10.4</v>
      </c>
    </row>
    <row r="2130" spans="1:4" x14ac:dyDescent="0.25">
      <c r="A2130" s="1">
        <v>114</v>
      </c>
      <c r="B2130" s="2">
        <v>41095</v>
      </c>
      <c r="C2130" s="4" t="s">
        <v>13</v>
      </c>
      <c r="D2130" s="1">
        <v>24</v>
      </c>
    </row>
    <row r="2131" spans="1:4" x14ac:dyDescent="0.25">
      <c r="A2131" s="1">
        <v>114</v>
      </c>
      <c r="B2131" s="2">
        <v>41123</v>
      </c>
      <c r="C2131" s="4" t="s">
        <v>13</v>
      </c>
      <c r="D2131" s="1">
        <v>23</v>
      </c>
    </row>
    <row r="2132" spans="1:4" x14ac:dyDescent="0.25">
      <c r="A2132" s="1">
        <v>114</v>
      </c>
      <c r="B2132" s="2">
        <v>41156</v>
      </c>
      <c r="C2132" s="4" t="s">
        <v>13</v>
      </c>
      <c r="D2132" s="1">
        <v>18</v>
      </c>
    </row>
    <row r="2133" spans="1:4" x14ac:dyDescent="0.25">
      <c r="A2133" s="1">
        <v>114</v>
      </c>
      <c r="B2133" s="2">
        <v>41186</v>
      </c>
      <c r="C2133" s="4" t="s">
        <v>13</v>
      </c>
      <c r="D2133" s="1">
        <v>30</v>
      </c>
    </row>
    <row r="2134" spans="1:4" x14ac:dyDescent="0.25">
      <c r="A2134" s="1">
        <v>114</v>
      </c>
      <c r="B2134" s="2">
        <v>41221</v>
      </c>
      <c r="C2134" s="4" t="s">
        <v>13</v>
      </c>
      <c r="D2134" s="1">
        <v>30</v>
      </c>
    </row>
    <row r="2135" spans="1:4" x14ac:dyDescent="0.25">
      <c r="A2135" s="1">
        <v>115</v>
      </c>
      <c r="B2135" s="2">
        <v>41094</v>
      </c>
      <c r="C2135" s="4" t="s">
        <v>11</v>
      </c>
      <c r="D2135" s="1">
        <v>799</v>
      </c>
    </row>
    <row r="2136" spans="1:4" x14ac:dyDescent="0.25">
      <c r="A2136" s="1">
        <v>115</v>
      </c>
      <c r="B2136" s="2">
        <v>41094</v>
      </c>
      <c r="C2136" s="4" t="s">
        <v>12</v>
      </c>
      <c r="D2136" s="1">
        <v>10.199999999999999</v>
      </c>
    </row>
    <row r="2137" spans="1:4" x14ac:dyDescent="0.25">
      <c r="A2137" s="1">
        <v>115</v>
      </c>
      <c r="B2137" s="2">
        <v>41094</v>
      </c>
      <c r="C2137" s="4" t="s">
        <v>13</v>
      </c>
      <c r="D2137" s="1">
        <v>18</v>
      </c>
    </row>
    <row r="2138" spans="1:4" x14ac:dyDescent="0.25">
      <c r="A2138" s="1">
        <v>116</v>
      </c>
      <c r="B2138" s="2">
        <v>41094</v>
      </c>
      <c r="C2138" s="4" t="s">
        <v>11</v>
      </c>
      <c r="D2138" s="1">
        <v>354</v>
      </c>
    </row>
    <row r="2139" spans="1:4" x14ac:dyDescent="0.25">
      <c r="A2139" s="1">
        <v>116</v>
      </c>
      <c r="B2139" s="2">
        <v>41122</v>
      </c>
      <c r="C2139" s="4" t="s">
        <v>11</v>
      </c>
      <c r="D2139" s="1">
        <v>425</v>
      </c>
    </row>
    <row r="2140" spans="1:4" x14ac:dyDescent="0.25">
      <c r="A2140" s="1">
        <v>116</v>
      </c>
      <c r="B2140" s="2">
        <v>41159</v>
      </c>
      <c r="C2140" s="4" t="s">
        <v>11</v>
      </c>
      <c r="D2140" s="1">
        <v>576</v>
      </c>
    </row>
    <row r="2141" spans="1:4" x14ac:dyDescent="0.25">
      <c r="A2141" s="1">
        <v>116</v>
      </c>
      <c r="B2141" s="2">
        <v>41185</v>
      </c>
      <c r="C2141" s="4" t="s">
        <v>11</v>
      </c>
      <c r="D2141" s="1">
        <v>427</v>
      </c>
    </row>
    <row r="2142" spans="1:4" x14ac:dyDescent="0.25">
      <c r="A2142" s="1">
        <v>116</v>
      </c>
      <c r="B2142" s="2">
        <v>41220</v>
      </c>
      <c r="C2142" s="4" t="s">
        <v>11</v>
      </c>
      <c r="D2142" s="1">
        <v>817</v>
      </c>
    </row>
    <row r="2143" spans="1:4" x14ac:dyDescent="0.25">
      <c r="A2143" s="1">
        <v>116</v>
      </c>
      <c r="B2143" s="2">
        <v>41248</v>
      </c>
      <c r="C2143" s="4" t="s">
        <v>11</v>
      </c>
      <c r="D2143" s="1">
        <v>535</v>
      </c>
    </row>
    <row r="2144" spans="1:4" x14ac:dyDescent="0.25">
      <c r="A2144" s="1">
        <v>116</v>
      </c>
      <c r="B2144" s="2">
        <v>41094</v>
      </c>
      <c r="C2144" s="4" t="s">
        <v>12</v>
      </c>
      <c r="D2144" s="1">
        <v>10.6</v>
      </c>
    </row>
    <row r="2145" spans="1:4" x14ac:dyDescent="0.25">
      <c r="A2145" s="1">
        <v>116</v>
      </c>
      <c r="B2145" s="2">
        <v>41108</v>
      </c>
      <c r="C2145" s="4" t="s">
        <v>12</v>
      </c>
      <c r="D2145" s="1">
        <v>10.1</v>
      </c>
    </row>
    <row r="2146" spans="1:4" x14ac:dyDescent="0.25">
      <c r="A2146" s="1">
        <v>116</v>
      </c>
      <c r="B2146" s="2">
        <v>41122</v>
      </c>
      <c r="C2146" s="4" t="s">
        <v>12</v>
      </c>
      <c r="D2146" s="1">
        <v>10.8</v>
      </c>
    </row>
    <row r="2147" spans="1:4" x14ac:dyDescent="0.25">
      <c r="A2147" s="1">
        <v>116</v>
      </c>
      <c r="B2147" s="2">
        <v>41136</v>
      </c>
      <c r="C2147" s="4" t="s">
        <v>12</v>
      </c>
      <c r="D2147" s="1">
        <v>11.7</v>
      </c>
    </row>
    <row r="2148" spans="1:4" x14ac:dyDescent="0.25">
      <c r="A2148" s="1">
        <v>116</v>
      </c>
      <c r="B2148" s="2">
        <v>41143</v>
      </c>
      <c r="C2148" s="4" t="s">
        <v>12</v>
      </c>
      <c r="D2148" s="1">
        <v>10.8</v>
      </c>
    </row>
    <row r="2149" spans="1:4" x14ac:dyDescent="0.25">
      <c r="A2149" s="1">
        <v>116</v>
      </c>
      <c r="B2149" s="2">
        <v>41159</v>
      </c>
      <c r="C2149" s="4" t="s">
        <v>12</v>
      </c>
      <c r="D2149" s="1">
        <v>10.5</v>
      </c>
    </row>
    <row r="2150" spans="1:4" x14ac:dyDescent="0.25">
      <c r="A2150" s="1">
        <v>116</v>
      </c>
      <c r="B2150" s="2">
        <v>41171</v>
      </c>
      <c r="C2150" s="4" t="s">
        <v>12</v>
      </c>
      <c r="D2150" s="1">
        <v>10.8</v>
      </c>
    </row>
    <row r="2151" spans="1:4" x14ac:dyDescent="0.25">
      <c r="A2151" s="1">
        <v>116</v>
      </c>
      <c r="B2151" s="2">
        <v>41185</v>
      </c>
      <c r="C2151" s="4" t="s">
        <v>12</v>
      </c>
      <c r="D2151" s="1">
        <v>12.1</v>
      </c>
    </row>
    <row r="2152" spans="1:4" x14ac:dyDescent="0.25">
      <c r="A2152" s="1">
        <v>116</v>
      </c>
      <c r="B2152" s="2">
        <v>41199</v>
      </c>
      <c r="C2152" s="4" t="s">
        <v>12</v>
      </c>
      <c r="D2152" s="1">
        <v>11.4</v>
      </c>
    </row>
    <row r="2153" spans="1:4" x14ac:dyDescent="0.25">
      <c r="A2153" s="1">
        <v>116</v>
      </c>
      <c r="B2153" s="2">
        <v>41220</v>
      </c>
      <c r="C2153" s="4" t="s">
        <v>12</v>
      </c>
      <c r="D2153" s="1">
        <v>9.6</v>
      </c>
    </row>
    <row r="2154" spans="1:4" x14ac:dyDescent="0.25">
      <c r="A2154" s="1">
        <v>116</v>
      </c>
      <c r="B2154" s="2">
        <v>41233</v>
      </c>
      <c r="C2154" s="4" t="s">
        <v>12</v>
      </c>
      <c r="D2154" s="1">
        <v>8.3000000000000007</v>
      </c>
    </row>
    <row r="2155" spans="1:4" x14ac:dyDescent="0.25">
      <c r="A2155" s="1">
        <v>116</v>
      </c>
      <c r="B2155" s="2">
        <v>41248</v>
      </c>
      <c r="C2155" s="4" t="s">
        <v>12</v>
      </c>
      <c r="D2155" s="1">
        <v>9.6999999999999993</v>
      </c>
    </row>
    <row r="2156" spans="1:4" x14ac:dyDescent="0.25">
      <c r="A2156" s="1">
        <v>116</v>
      </c>
      <c r="B2156" s="2">
        <v>41094</v>
      </c>
      <c r="C2156" s="4" t="s">
        <v>13</v>
      </c>
      <c r="D2156" s="1">
        <v>32</v>
      </c>
    </row>
    <row r="2157" spans="1:4" x14ac:dyDescent="0.25">
      <c r="A2157" s="1">
        <v>116</v>
      </c>
      <c r="B2157" s="2">
        <v>41122</v>
      </c>
      <c r="C2157" s="4" t="s">
        <v>13</v>
      </c>
      <c r="D2157" s="1">
        <v>37</v>
      </c>
    </row>
    <row r="2158" spans="1:4" x14ac:dyDescent="0.25">
      <c r="A2158" s="1">
        <v>116</v>
      </c>
      <c r="B2158" s="2">
        <v>41159</v>
      </c>
      <c r="C2158" s="4" t="s">
        <v>13</v>
      </c>
      <c r="D2158" s="1">
        <v>44</v>
      </c>
    </row>
    <row r="2159" spans="1:4" x14ac:dyDescent="0.25">
      <c r="A2159" s="1">
        <v>116</v>
      </c>
      <c r="B2159" s="2">
        <v>41185</v>
      </c>
      <c r="C2159" s="4" t="s">
        <v>13</v>
      </c>
      <c r="D2159" s="1">
        <v>47</v>
      </c>
    </row>
    <row r="2160" spans="1:4" x14ac:dyDescent="0.25">
      <c r="A2160" s="1">
        <v>116</v>
      </c>
      <c r="B2160" s="2">
        <v>41220</v>
      </c>
      <c r="C2160" s="4" t="s">
        <v>13</v>
      </c>
      <c r="D2160" s="1">
        <v>57</v>
      </c>
    </row>
    <row r="2161" spans="1:4" x14ac:dyDescent="0.25">
      <c r="A2161" s="1">
        <v>116</v>
      </c>
      <c r="B2161" s="2">
        <v>41248</v>
      </c>
      <c r="C2161" s="4" t="s">
        <v>13</v>
      </c>
      <c r="D2161" s="1">
        <v>44</v>
      </c>
    </row>
    <row r="2162" spans="1:4" x14ac:dyDescent="0.25">
      <c r="A2162" s="1">
        <v>117</v>
      </c>
      <c r="B2162" s="2">
        <v>41094</v>
      </c>
      <c r="C2162" s="4" t="s">
        <v>11</v>
      </c>
      <c r="D2162" s="1">
        <v>368</v>
      </c>
    </row>
    <row r="2163" spans="1:4" x14ac:dyDescent="0.25">
      <c r="A2163" s="1">
        <v>117</v>
      </c>
      <c r="B2163" s="2">
        <v>41122</v>
      </c>
      <c r="C2163" s="4" t="s">
        <v>11</v>
      </c>
      <c r="D2163" s="1">
        <v>414</v>
      </c>
    </row>
    <row r="2164" spans="1:4" x14ac:dyDescent="0.25">
      <c r="A2164" s="1">
        <v>117</v>
      </c>
      <c r="B2164" s="2">
        <v>41157</v>
      </c>
      <c r="C2164" s="4" t="s">
        <v>11</v>
      </c>
      <c r="D2164" s="1">
        <v>325</v>
      </c>
    </row>
    <row r="2165" spans="1:4" x14ac:dyDescent="0.25">
      <c r="A2165" s="1">
        <v>117</v>
      </c>
      <c r="B2165" s="2">
        <v>41185</v>
      </c>
      <c r="C2165" s="4" t="s">
        <v>11</v>
      </c>
      <c r="D2165" s="1">
        <v>238</v>
      </c>
    </row>
    <row r="2166" spans="1:4" x14ac:dyDescent="0.25">
      <c r="A2166" s="1">
        <v>117</v>
      </c>
      <c r="B2166" s="2">
        <v>41220</v>
      </c>
      <c r="C2166" s="4" t="s">
        <v>11</v>
      </c>
      <c r="D2166" s="1">
        <v>538</v>
      </c>
    </row>
    <row r="2167" spans="1:4" x14ac:dyDescent="0.25">
      <c r="A2167" s="1">
        <v>117</v>
      </c>
      <c r="B2167" s="2">
        <v>41248</v>
      </c>
      <c r="C2167" s="4" t="s">
        <v>11</v>
      </c>
      <c r="D2167" s="1">
        <v>470</v>
      </c>
    </row>
    <row r="2168" spans="1:4" x14ac:dyDescent="0.25">
      <c r="A2168" s="1">
        <v>117</v>
      </c>
      <c r="B2168" s="2">
        <v>41094</v>
      </c>
      <c r="C2168" s="4" t="s">
        <v>12</v>
      </c>
      <c r="D2168" s="1">
        <v>7.5</v>
      </c>
    </row>
    <row r="2169" spans="1:4" x14ac:dyDescent="0.25">
      <c r="A2169" s="1">
        <v>117</v>
      </c>
      <c r="B2169" s="2">
        <v>41108</v>
      </c>
      <c r="C2169" s="4" t="s">
        <v>12</v>
      </c>
      <c r="D2169" s="1">
        <v>8.1</v>
      </c>
    </row>
    <row r="2170" spans="1:4" x14ac:dyDescent="0.25">
      <c r="A2170" s="1">
        <v>117</v>
      </c>
      <c r="B2170" s="2">
        <v>41122</v>
      </c>
      <c r="C2170" s="4" t="s">
        <v>12</v>
      </c>
      <c r="D2170" s="1">
        <v>7.3</v>
      </c>
    </row>
    <row r="2171" spans="1:4" x14ac:dyDescent="0.25">
      <c r="A2171" s="1">
        <v>117</v>
      </c>
      <c r="B2171" s="2">
        <v>41129</v>
      </c>
      <c r="C2171" s="4" t="s">
        <v>12</v>
      </c>
      <c r="D2171" s="1">
        <v>7.9</v>
      </c>
    </row>
    <row r="2172" spans="1:4" x14ac:dyDescent="0.25">
      <c r="A2172" s="1">
        <v>117</v>
      </c>
      <c r="B2172" s="2">
        <v>41136</v>
      </c>
      <c r="C2172" s="4" t="s">
        <v>12</v>
      </c>
      <c r="D2172" s="1">
        <v>8.5</v>
      </c>
    </row>
    <row r="2173" spans="1:4" x14ac:dyDescent="0.25">
      <c r="A2173" s="1">
        <v>117</v>
      </c>
      <c r="B2173" s="2">
        <v>41157</v>
      </c>
      <c r="C2173" s="4" t="s">
        <v>12</v>
      </c>
      <c r="D2173" s="1">
        <v>9.6</v>
      </c>
    </row>
    <row r="2174" spans="1:4" x14ac:dyDescent="0.25">
      <c r="A2174" s="1">
        <v>117</v>
      </c>
      <c r="B2174" s="2">
        <v>41176</v>
      </c>
      <c r="C2174" s="4" t="s">
        <v>12</v>
      </c>
      <c r="D2174" s="1">
        <v>10.8</v>
      </c>
    </row>
    <row r="2175" spans="1:4" x14ac:dyDescent="0.25">
      <c r="A2175" s="1">
        <v>117</v>
      </c>
      <c r="B2175" s="2">
        <v>41185</v>
      </c>
      <c r="C2175" s="4" t="s">
        <v>12</v>
      </c>
      <c r="D2175" s="1">
        <v>12.5</v>
      </c>
    </row>
    <row r="2176" spans="1:4" x14ac:dyDescent="0.25">
      <c r="A2176" s="1">
        <v>117</v>
      </c>
      <c r="B2176" s="2">
        <v>41192</v>
      </c>
      <c r="C2176" s="4" t="s">
        <v>12</v>
      </c>
      <c r="D2176" s="1">
        <v>12.6</v>
      </c>
    </row>
    <row r="2177" spans="1:4" x14ac:dyDescent="0.25">
      <c r="A2177" s="1">
        <v>117</v>
      </c>
      <c r="B2177" s="2">
        <v>41199</v>
      </c>
      <c r="C2177" s="4" t="s">
        <v>12</v>
      </c>
      <c r="D2177" s="1">
        <v>12.5</v>
      </c>
    </row>
    <row r="2178" spans="1:4" x14ac:dyDescent="0.25">
      <c r="A2178" s="1">
        <v>117</v>
      </c>
      <c r="B2178" s="2">
        <v>41220</v>
      </c>
      <c r="C2178" s="4" t="s">
        <v>12</v>
      </c>
      <c r="D2178" s="1">
        <v>10.6</v>
      </c>
    </row>
    <row r="2179" spans="1:4" x14ac:dyDescent="0.25">
      <c r="A2179" s="1">
        <v>117</v>
      </c>
      <c r="B2179" s="2">
        <v>41225</v>
      </c>
      <c r="C2179" s="4" t="s">
        <v>12</v>
      </c>
      <c r="D2179" s="1">
        <v>9.4</v>
      </c>
    </row>
    <row r="2180" spans="1:4" x14ac:dyDescent="0.25">
      <c r="A2180" s="1">
        <v>117</v>
      </c>
      <c r="B2180" s="2">
        <v>41233</v>
      </c>
      <c r="C2180" s="4" t="s">
        <v>12</v>
      </c>
      <c r="D2180" s="1">
        <v>9.4</v>
      </c>
    </row>
    <row r="2181" spans="1:4" x14ac:dyDescent="0.25">
      <c r="A2181" s="1">
        <v>117</v>
      </c>
      <c r="B2181" s="2">
        <v>41241</v>
      </c>
      <c r="C2181" s="4" t="s">
        <v>12</v>
      </c>
      <c r="D2181" s="1">
        <v>8.5</v>
      </c>
    </row>
    <row r="2182" spans="1:4" x14ac:dyDescent="0.25">
      <c r="A2182" s="1">
        <v>117</v>
      </c>
      <c r="B2182" s="2">
        <v>41248</v>
      </c>
      <c r="C2182" s="4" t="s">
        <v>12</v>
      </c>
      <c r="D2182" s="1">
        <v>8.1</v>
      </c>
    </row>
    <row r="2183" spans="1:4" x14ac:dyDescent="0.25">
      <c r="A2183" s="1">
        <v>117</v>
      </c>
      <c r="B2183" s="2">
        <v>41094</v>
      </c>
      <c r="C2183" s="4" t="s">
        <v>13</v>
      </c>
      <c r="D2183" s="1">
        <v>35</v>
      </c>
    </row>
    <row r="2184" spans="1:4" x14ac:dyDescent="0.25">
      <c r="A2184" s="1">
        <v>117</v>
      </c>
      <c r="B2184" s="2">
        <v>41122</v>
      </c>
      <c r="C2184" s="4" t="s">
        <v>13</v>
      </c>
      <c r="D2184" s="1">
        <v>24</v>
      </c>
    </row>
    <row r="2185" spans="1:4" x14ac:dyDescent="0.25">
      <c r="A2185" s="1">
        <v>117</v>
      </c>
      <c r="B2185" s="2">
        <v>41157</v>
      </c>
      <c r="C2185" s="4" t="s">
        <v>13</v>
      </c>
      <c r="D2185" s="1">
        <v>33</v>
      </c>
    </row>
    <row r="2186" spans="1:4" x14ac:dyDescent="0.25">
      <c r="A2186" s="1">
        <v>117</v>
      </c>
      <c r="B2186" s="2">
        <v>41185</v>
      </c>
      <c r="C2186" s="4" t="s">
        <v>13</v>
      </c>
      <c r="D2186" s="1">
        <v>25</v>
      </c>
    </row>
    <row r="2187" spans="1:4" x14ac:dyDescent="0.25">
      <c r="A2187" s="1">
        <v>117</v>
      </c>
      <c r="B2187" s="2">
        <v>41220</v>
      </c>
      <c r="C2187" s="4" t="s">
        <v>13</v>
      </c>
      <c r="D2187" s="1">
        <v>32</v>
      </c>
    </row>
    <row r="2188" spans="1:4" x14ac:dyDescent="0.25">
      <c r="A2188" s="1">
        <v>117</v>
      </c>
      <c r="B2188" s="2">
        <v>41248</v>
      </c>
      <c r="C2188" s="4" t="s">
        <v>13</v>
      </c>
      <c r="D2188" s="1">
        <v>35</v>
      </c>
    </row>
    <row r="2189" spans="1:4" x14ac:dyDescent="0.25">
      <c r="A2189" s="1" t="e">
        <v>#N/A</v>
      </c>
      <c r="B2189" s="2">
        <v>41128</v>
      </c>
      <c r="C2189" s="4" t="s">
        <v>12</v>
      </c>
      <c r="D2189" s="1">
        <v>9.1999999999999993</v>
      </c>
    </row>
    <row r="2190" spans="1:4" x14ac:dyDescent="0.25">
      <c r="A2190" s="1">
        <v>118</v>
      </c>
      <c r="B2190" s="2">
        <v>41095</v>
      </c>
      <c r="C2190" s="4" t="s">
        <v>11</v>
      </c>
      <c r="D2190" s="1">
        <v>1548</v>
      </c>
    </row>
    <row r="2191" spans="1:4" x14ac:dyDescent="0.25">
      <c r="A2191" s="1">
        <v>118</v>
      </c>
      <c r="B2191" s="2">
        <v>41123</v>
      </c>
      <c r="C2191" s="4" t="s">
        <v>11</v>
      </c>
      <c r="D2191" s="1">
        <v>1434</v>
      </c>
    </row>
    <row r="2192" spans="1:4" x14ac:dyDescent="0.25">
      <c r="A2192" s="1">
        <v>118</v>
      </c>
      <c r="B2192" s="2">
        <v>41156</v>
      </c>
      <c r="C2192" s="4" t="s">
        <v>11</v>
      </c>
      <c r="D2192" s="1">
        <v>1275</v>
      </c>
    </row>
    <row r="2193" spans="1:4" x14ac:dyDescent="0.25">
      <c r="A2193" s="1">
        <v>118</v>
      </c>
      <c r="B2193" s="2">
        <v>41095</v>
      </c>
      <c r="C2193" s="4" t="s">
        <v>12</v>
      </c>
      <c r="D2193" s="1">
        <v>11</v>
      </c>
    </row>
    <row r="2194" spans="1:4" x14ac:dyDescent="0.25">
      <c r="A2194" s="1">
        <v>118</v>
      </c>
      <c r="B2194" s="2">
        <v>41109</v>
      </c>
      <c r="C2194" s="4" t="s">
        <v>12</v>
      </c>
      <c r="D2194" s="1">
        <v>11.4</v>
      </c>
    </row>
    <row r="2195" spans="1:4" x14ac:dyDescent="0.25">
      <c r="A2195" s="1">
        <v>118</v>
      </c>
      <c r="B2195" s="2">
        <v>41123</v>
      </c>
      <c r="C2195" s="4" t="s">
        <v>12</v>
      </c>
      <c r="D2195" s="1">
        <v>11.5</v>
      </c>
    </row>
    <row r="2196" spans="1:4" x14ac:dyDescent="0.25">
      <c r="A2196" s="1">
        <v>118</v>
      </c>
      <c r="B2196" s="2">
        <v>41137</v>
      </c>
      <c r="C2196" s="4" t="s">
        <v>12</v>
      </c>
      <c r="D2196" s="1">
        <v>12.2</v>
      </c>
    </row>
    <row r="2197" spans="1:4" x14ac:dyDescent="0.25">
      <c r="A2197" s="1">
        <v>118</v>
      </c>
      <c r="B2197" s="2">
        <v>41144</v>
      </c>
      <c r="C2197" s="4" t="s">
        <v>12</v>
      </c>
      <c r="D2197" s="1">
        <v>11.8</v>
      </c>
    </row>
    <row r="2198" spans="1:4" x14ac:dyDescent="0.25">
      <c r="A2198" s="1">
        <v>118</v>
      </c>
      <c r="B2198" s="2">
        <v>41156</v>
      </c>
      <c r="C2198" s="4" t="s">
        <v>12</v>
      </c>
      <c r="D2198" s="1">
        <v>11.2</v>
      </c>
    </row>
    <row r="2199" spans="1:4" x14ac:dyDescent="0.25">
      <c r="A2199" s="1">
        <v>118</v>
      </c>
      <c r="B2199" s="2">
        <v>41095</v>
      </c>
      <c r="C2199" s="4" t="s">
        <v>13</v>
      </c>
      <c r="D2199" s="1">
        <v>32</v>
      </c>
    </row>
    <row r="2200" spans="1:4" x14ac:dyDescent="0.25">
      <c r="A2200" s="1">
        <v>118</v>
      </c>
      <c r="B2200" s="2">
        <v>41123</v>
      </c>
      <c r="C2200" s="4" t="s">
        <v>13</v>
      </c>
      <c r="D2200" s="1">
        <v>34</v>
      </c>
    </row>
    <row r="2201" spans="1:4" x14ac:dyDescent="0.25">
      <c r="A2201" s="1">
        <v>118</v>
      </c>
      <c r="B2201" s="2">
        <v>41156</v>
      </c>
      <c r="C2201" s="4" t="s">
        <v>13</v>
      </c>
      <c r="D2201" s="1">
        <v>62</v>
      </c>
    </row>
    <row r="2202" spans="1:4" x14ac:dyDescent="0.25">
      <c r="A2202" s="1">
        <v>119</v>
      </c>
      <c r="B2202" s="2">
        <v>41095</v>
      </c>
      <c r="C2202" s="4" t="s">
        <v>11</v>
      </c>
      <c r="D2202" s="1">
        <v>807</v>
      </c>
    </row>
    <row r="2203" spans="1:4" x14ac:dyDescent="0.25">
      <c r="A2203" s="1">
        <v>119</v>
      </c>
      <c r="B2203" s="2">
        <v>41123</v>
      </c>
      <c r="C2203" s="4" t="s">
        <v>11</v>
      </c>
      <c r="D2203" s="1">
        <v>810</v>
      </c>
    </row>
    <row r="2204" spans="1:4" x14ac:dyDescent="0.25">
      <c r="A2204" s="1">
        <v>119</v>
      </c>
      <c r="B2204" s="2">
        <v>41156</v>
      </c>
      <c r="C2204" s="4" t="s">
        <v>11</v>
      </c>
      <c r="D2204" s="1">
        <v>770</v>
      </c>
    </row>
    <row r="2205" spans="1:4" x14ac:dyDescent="0.25">
      <c r="A2205" s="1">
        <v>119</v>
      </c>
      <c r="B2205" s="2">
        <v>41186</v>
      </c>
      <c r="C2205" s="4" t="s">
        <v>11</v>
      </c>
      <c r="D2205" s="1">
        <v>1030</v>
      </c>
    </row>
    <row r="2206" spans="1:4" x14ac:dyDescent="0.25">
      <c r="A2206" s="1">
        <v>119</v>
      </c>
      <c r="B2206" s="2">
        <v>41221</v>
      </c>
      <c r="C2206" s="4" t="s">
        <v>11</v>
      </c>
      <c r="D2206" s="1">
        <v>1560</v>
      </c>
    </row>
    <row r="2207" spans="1:4" x14ac:dyDescent="0.25">
      <c r="A2207" s="1">
        <v>119</v>
      </c>
      <c r="B2207" s="2">
        <v>41095</v>
      </c>
      <c r="C2207" s="4" t="s">
        <v>12</v>
      </c>
      <c r="D2207" s="1">
        <v>9</v>
      </c>
    </row>
    <row r="2208" spans="1:4" x14ac:dyDescent="0.25">
      <c r="A2208" s="1">
        <v>119</v>
      </c>
      <c r="B2208" s="2">
        <v>41109</v>
      </c>
      <c r="C2208" s="4" t="s">
        <v>12</v>
      </c>
      <c r="D2208" s="1">
        <v>9.5</v>
      </c>
    </row>
    <row r="2209" spans="1:4" x14ac:dyDescent="0.25">
      <c r="A2209" s="1">
        <v>119</v>
      </c>
      <c r="B2209" s="2">
        <v>41123</v>
      </c>
      <c r="C2209" s="4" t="s">
        <v>12</v>
      </c>
      <c r="D2209" s="1">
        <v>9.5</v>
      </c>
    </row>
    <row r="2210" spans="1:4" x14ac:dyDescent="0.25">
      <c r="A2210" s="1">
        <v>119</v>
      </c>
      <c r="B2210" s="2">
        <v>41137</v>
      </c>
      <c r="C2210" s="4" t="s">
        <v>12</v>
      </c>
      <c r="D2210" s="1">
        <v>9.5</v>
      </c>
    </row>
    <row r="2211" spans="1:4" x14ac:dyDescent="0.25">
      <c r="A2211" s="1">
        <v>119</v>
      </c>
      <c r="B2211" s="2">
        <v>41156</v>
      </c>
      <c r="C2211" s="4" t="s">
        <v>12</v>
      </c>
      <c r="D2211" s="1">
        <v>9.8000000000000007</v>
      </c>
    </row>
    <row r="2212" spans="1:4" x14ac:dyDescent="0.25">
      <c r="A2212" s="1">
        <v>119</v>
      </c>
      <c r="B2212" s="2">
        <v>41172</v>
      </c>
      <c r="C2212" s="4" t="s">
        <v>12</v>
      </c>
      <c r="D2212" s="1">
        <v>10.6</v>
      </c>
    </row>
    <row r="2213" spans="1:4" x14ac:dyDescent="0.25">
      <c r="A2213" s="1">
        <v>119</v>
      </c>
      <c r="B2213" s="2">
        <v>41186</v>
      </c>
      <c r="C2213" s="4" t="s">
        <v>12</v>
      </c>
      <c r="D2213" s="1">
        <v>10.8</v>
      </c>
    </row>
    <row r="2214" spans="1:4" x14ac:dyDescent="0.25">
      <c r="A2214" s="1">
        <v>119</v>
      </c>
      <c r="B2214" s="2">
        <v>41200</v>
      </c>
      <c r="C2214" s="4" t="s">
        <v>12</v>
      </c>
      <c r="D2214" s="1">
        <v>11.4</v>
      </c>
    </row>
    <row r="2215" spans="1:4" x14ac:dyDescent="0.25">
      <c r="A2215" s="1">
        <v>119</v>
      </c>
      <c r="B2215" s="2">
        <v>41221</v>
      </c>
      <c r="C2215" s="4" t="s">
        <v>12</v>
      </c>
      <c r="D2215" s="1">
        <v>11.7</v>
      </c>
    </row>
    <row r="2216" spans="1:4" x14ac:dyDescent="0.25">
      <c r="A2216" s="1">
        <v>119</v>
      </c>
      <c r="B2216" s="2">
        <v>41232</v>
      </c>
      <c r="C2216" s="4" t="s">
        <v>12</v>
      </c>
      <c r="D2216" s="1">
        <v>9</v>
      </c>
    </row>
    <row r="2217" spans="1:4" x14ac:dyDescent="0.25">
      <c r="A2217" s="1">
        <v>119</v>
      </c>
      <c r="B2217" s="2">
        <v>41240</v>
      </c>
      <c r="C2217" s="4" t="s">
        <v>12</v>
      </c>
      <c r="D2217" s="1">
        <v>8.1999999999999993</v>
      </c>
    </row>
    <row r="2218" spans="1:4" x14ac:dyDescent="0.25">
      <c r="A2218" s="1">
        <v>119</v>
      </c>
      <c r="B2218" s="2">
        <v>41095</v>
      </c>
      <c r="C2218" s="4" t="s">
        <v>13</v>
      </c>
      <c r="D2218" s="1">
        <v>37</v>
      </c>
    </row>
    <row r="2219" spans="1:4" x14ac:dyDescent="0.25">
      <c r="A2219" s="1">
        <v>119</v>
      </c>
      <c r="B2219" s="2">
        <v>41123</v>
      </c>
      <c r="C2219" s="4" t="s">
        <v>13</v>
      </c>
      <c r="D2219" s="1">
        <v>22</v>
      </c>
    </row>
    <row r="2220" spans="1:4" x14ac:dyDescent="0.25">
      <c r="A2220" s="1">
        <v>119</v>
      </c>
      <c r="B2220" s="2">
        <v>41156</v>
      </c>
      <c r="C2220" s="4" t="s">
        <v>13</v>
      </c>
      <c r="D2220" s="1">
        <v>14</v>
      </c>
    </row>
    <row r="2221" spans="1:4" x14ac:dyDescent="0.25">
      <c r="A2221" s="1">
        <v>119</v>
      </c>
      <c r="B2221" s="2">
        <v>41186</v>
      </c>
      <c r="C2221" s="4" t="s">
        <v>13</v>
      </c>
      <c r="D2221" s="1">
        <v>21</v>
      </c>
    </row>
    <row r="2222" spans="1:4" x14ac:dyDescent="0.25">
      <c r="A2222" s="1">
        <v>119</v>
      </c>
      <c r="B2222" s="2">
        <v>41221</v>
      </c>
      <c r="C2222" s="4" t="s">
        <v>13</v>
      </c>
      <c r="D2222" s="1">
        <v>80</v>
      </c>
    </row>
    <row r="2223" spans="1:4" x14ac:dyDescent="0.25">
      <c r="A2223" s="1">
        <v>120</v>
      </c>
      <c r="B2223" s="2">
        <v>41157</v>
      </c>
      <c r="C2223" s="4" t="s">
        <v>11</v>
      </c>
      <c r="D2223" s="1">
        <v>521</v>
      </c>
    </row>
    <row r="2224" spans="1:4" x14ac:dyDescent="0.25">
      <c r="A2224" s="1">
        <v>120</v>
      </c>
      <c r="B2224" s="2">
        <v>41185</v>
      </c>
      <c r="C2224" s="4" t="s">
        <v>11</v>
      </c>
      <c r="D2224" s="1">
        <v>492</v>
      </c>
    </row>
    <row r="2225" spans="1:4" x14ac:dyDescent="0.25">
      <c r="A2225" s="1">
        <v>120</v>
      </c>
      <c r="B2225" s="2">
        <v>41220</v>
      </c>
      <c r="C2225" s="4" t="s">
        <v>11</v>
      </c>
      <c r="D2225" s="1">
        <v>693</v>
      </c>
    </row>
    <row r="2226" spans="1:4" x14ac:dyDescent="0.25">
      <c r="A2226" s="1">
        <v>120</v>
      </c>
      <c r="B2226" s="2">
        <v>41248</v>
      </c>
      <c r="C2226" s="4" t="s">
        <v>11</v>
      </c>
      <c r="D2226" s="1">
        <v>227</v>
      </c>
    </row>
    <row r="2227" spans="1:4" x14ac:dyDescent="0.25">
      <c r="A2227" s="1">
        <v>120</v>
      </c>
      <c r="B2227" s="2">
        <v>41157</v>
      </c>
      <c r="C2227" s="4" t="s">
        <v>12</v>
      </c>
      <c r="D2227" s="1">
        <v>10.7</v>
      </c>
    </row>
    <row r="2228" spans="1:4" x14ac:dyDescent="0.25">
      <c r="A2228" s="1">
        <v>120</v>
      </c>
      <c r="B2228" s="2">
        <v>41171</v>
      </c>
      <c r="C2228" s="4" t="s">
        <v>12</v>
      </c>
      <c r="D2228" s="1">
        <v>9.5</v>
      </c>
    </row>
    <row r="2229" spans="1:4" x14ac:dyDescent="0.25">
      <c r="A2229" s="1">
        <v>120</v>
      </c>
      <c r="B2229" s="2">
        <v>41185</v>
      </c>
      <c r="C2229" s="4" t="s">
        <v>12</v>
      </c>
      <c r="D2229" s="1">
        <v>9.9</v>
      </c>
    </row>
    <row r="2230" spans="1:4" x14ac:dyDescent="0.25">
      <c r="A2230" s="1">
        <v>120</v>
      </c>
      <c r="B2230" s="2">
        <v>41199</v>
      </c>
      <c r="C2230" s="4" t="s">
        <v>12</v>
      </c>
      <c r="D2230" s="1">
        <v>9.4</v>
      </c>
    </row>
    <row r="2231" spans="1:4" x14ac:dyDescent="0.25">
      <c r="A2231" s="1">
        <v>120</v>
      </c>
      <c r="B2231" s="2">
        <v>41220</v>
      </c>
      <c r="C2231" s="4" t="s">
        <v>12</v>
      </c>
      <c r="D2231" s="1">
        <v>10.1</v>
      </c>
    </row>
    <row r="2232" spans="1:4" x14ac:dyDescent="0.25">
      <c r="A2232" s="1">
        <v>120</v>
      </c>
      <c r="B2232" s="2">
        <v>41229</v>
      </c>
      <c r="C2232" s="4" t="s">
        <v>12</v>
      </c>
      <c r="D2232" s="1">
        <v>9</v>
      </c>
    </row>
    <row r="2233" spans="1:4" x14ac:dyDescent="0.25">
      <c r="A2233" s="1">
        <v>120</v>
      </c>
      <c r="B2233" s="2">
        <v>41233</v>
      </c>
      <c r="C2233" s="4" t="s">
        <v>12</v>
      </c>
      <c r="D2233" s="1">
        <v>9.1999999999999993</v>
      </c>
    </row>
    <row r="2234" spans="1:4" x14ac:dyDescent="0.25">
      <c r="A2234" s="1">
        <v>120</v>
      </c>
      <c r="B2234" s="2">
        <v>41248</v>
      </c>
      <c r="C2234" s="4" t="s">
        <v>12</v>
      </c>
      <c r="D2234" s="1">
        <v>9.8000000000000007</v>
      </c>
    </row>
    <row r="2235" spans="1:4" x14ac:dyDescent="0.25">
      <c r="A2235" s="1">
        <v>120</v>
      </c>
      <c r="B2235" s="2">
        <v>41157</v>
      </c>
      <c r="C2235" s="4" t="s">
        <v>13</v>
      </c>
      <c r="D2235" s="1">
        <v>21</v>
      </c>
    </row>
    <row r="2236" spans="1:4" x14ac:dyDescent="0.25">
      <c r="A2236" s="1">
        <v>120</v>
      </c>
      <c r="B2236" s="2">
        <v>41185</v>
      </c>
      <c r="C2236" s="4" t="s">
        <v>13</v>
      </c>
      <c r="D2236" s="1">
        <v>20</v>
      </c>
    </row>
    <row r="2237" spans="1:4" x14ac:dyDescent="0.25">
      <c r="A2237" s="1">
        <v>120</v>
      </c>
      <c r="B2237" s="2">
        <v>41220</v>
      </c>
      <c r="C2237" s="4" t="s">
        <v>13</v>
      </c>
      <c r="D2237" s="1">
        <v>17</v>
      </c>
    </row>
    <row r="2238" spans="1:4" x14ac:dyDescent="0.25">
      <c r="A2238" s="1">
        <v>120</v>
      </c>
      <c r="B2238" s="2">
        <v>41248</v>
      </c>
      <c r="C2238" s="4" t="s">
        <v>13</v>
      </c>
      <c r="D2238" s="1">
        <v>22</v>
      </c>
    </row>
    <row r="2239" spans="1:4" x14ac:dyDescent="0.25">
      <c r="A2239" s="1">
        <v>121</v>
      </c>
      <c r="B2239" s="2">
        <v>41094</v>
      </c>
      <c r="C2239" s="4" t="s">
        <v>11</v>
      </c>
      <c r="D2239" s="1">
        <v>710</v>
      </c>
    </row>
    <row r="2240" spans="1:4" x14ac:dyDescent="0.25">
      <c r="A2240" s="1">
        <v>121</v>
      </c>
      <c r="B2240" s="2">
        <v>41122</v>
      </c>
      <c r="C2240" s="4" t="s">
        <v>11</v>
      </c>
      <c r="D2240" s="1">
        <v>590</v>
      </c>
    </row>
    <row r="2241" spans="1:4" x14ac:dyDescent="0.25">
      <c r="A2241" s="1">
        <v>121</v>
      </c>
      <c r="B2241" s="2">
        <v>41157</v>
      </c>
      <c r="C2241" s="4" t="s">
        <v>11</v>
      </c>
      <c r="D2241" s="1">
        <v>565</v>
      </c>
    </row>
    <row r="2242" spans="1:4" x14ac:dyDescent="0.25">
      <c r="A2242" s="1">
        <v>121</v>
      </c>
      <c r="B2242" s="2">
        <v>41185</v>
      </c>
      <c r="C2242" s="4" t="s">
        <v>11</v>
      </c>
      <c r="D2242" s="1">
        <v>558</v>
      </c>
    </row>
    <row r="2243" spans="1:4" x14ac:dyDescent="0.25">
      <c r="A2243" s="1">
        <v>121</v>
      </c>
      <c r="B2243" s="2">
        <v>41220</v>
      </c>
      <c r="C2243" s="4" t="s">
        <v>11</v>
      </c>
      <c r="D2243" s="1">
        <v>504</v>
      </c>
    </row>
    <row r="2244" spans="1:4" x14ac:dyDescent="0.25">
      <c r="A2244" s="1">
        <v>121</v>
      </c>
      <c r="B2244" s="2">
        <v>41248</v>
      </c>
      <c r="C2244" s="4" t="s">
        <v>11</v>
      </c>
      <c r="D2244" s="1">
        <v>456</v>
      </c>
    </row>
    <row r="2245" spans="1:4" x14ac:dyDescent="0.25">
      <c r="A2245" s="1">
        <v>121</v>
      </c>
      <c r="B2245" s="2">
        <v>41094</v>
      </c>
      <c r="C2245" s="4" t="s">
        <v>12</v>
      </c>
      <c r="D2245" s="1">
        <v>11.1</v>
      </c>
    </row>
    <row r="2246" spans="1:4" x14ac:dyDescent="0.25">
      <c r="A2246" s="1">
        <v>121</v>
      </c>
      <c r="B2246" s="2">
        <v>41108</v>
      </c>
      <c r="C2246" s="4" t="s">
        <v>12</v>
      </c>
      <c r="D2246" s="1">
        <v>11.4</v>
      </c>
    </row>
    <row r="2247" spans="1:4" x14ac:dyDescent="0.25">
      <c r="A2247" s="1">
        <v>121</v>
      </c>
      <c r="B2247" s="2">
        <v>41122</v>
      </c>
      <c r="C2247" s="4" t="s">
        <v>12</v>
      </c>
      <c r="D2247" s="1">
        <v>12.7</v>
      </c>
    </row>
    <row r="2248" spans="1:4" x14ac:dyDescent="0.25">
      <c r="A2248" s="1">
        <v>121</v>
      </c>
      <c r="B2248" s="2">
        <v>41129</v>
      </c>
      <c r="C2248" s="4" t="s">
        <v>12</v>
      </c>
      <c r="D2248" s="1">
        <v>12.5</v>
      </c>
    </row>
    <row r="2249" spans="1:4" x14ac:dyDescent="0.25">
      <c r="A2249" s="1">
        <v>121</v>
      </c>
      <c r="B2249" s="2">
        <v>41136</v>
      </c>
      <c r="C2249" s="4" t="s">
        <v>12</v>
      </c>
      <c r="D2249" s="1">
        <v>12.5</v>
      </c>
    </row>
    <row r="2250" spans="1:4" x14ac:dyDescent="0.25">
      <c r="A2250" s="1">
        <v>121</v>
      </c>
      <c r="B2250" s="2">
        <v>41142</v>
      </c>
      <c r="C2250" s="4" t="s">
        <v>12</v>
      </c>
      <c r="D2250" s="1">
        <v>11.9</v>
      </c>
    </row>
    <row r="2251" spans="1:4" x14ac:dyDescent="0.25">
      <c r="A2251" s="1">
        <v>121</v>
      </c>
      <c r="B2251" s="2">
        <v>41157</v>
      </c>
      <c r="C2251" s="4" t="s">
        <v>12</v>
      </c>
      <c r="D2251" s="1">
        <v>12.2</v>
      </c>
    </row>
    <row r="2252" spans="1:4" x14ac:dyDescent="0.25">
      <c r="A2252" s="1">
        <v>121</v>
      </c>
      <c r="B2252" s="2">
        <v>41171</v>
      </c>
      <c r="C2252" s="4" t="s">
        <v>12</v>
      </c>
      <c r="D2252" s="1">
        <v>12.5</v>
      </c>
    </row>
    <row r="2253" spans="1:4" x14ac:dyDescent="0.25">
      <c r="A2253" s="1">
        <v>121</v>
      </c>
      <c r="B2253" s="2">
        <v>41185</v>
      </c>
      <c r="C2253" s="4" t="s">
        <v>12</v>
      </c>
      <c r="D2253" s="1">
        <v>11.4</v>
      </c>
    </row>
    <row r="2254" spans="1:4" x14ac:dyDescent="0.25">
      <c r="A2254" s="1">
        <v>121</v>
      </c>
      <c r="B2254" s="2">
        <v>41201</v>
      </c>
      <c r="C2254" s="4" t="s">
        <v>12</v>
      </c>
      <c r="D2254" s="1">
        <v>11.4</v>
      </c>
    </row>
    <row r="2255" spans="1:4" x14ac:dyDescent="0.25">
      <c r="A2255" s="1">
        <v>121</v>
      </c>
      <c r="B2255" s="2">
        <v>41220</v>
      </c>
      <c r="C2255" s="4" t="s">
        <v>12</v>
      </c>
      <c r="D2255" s="1">
        <v>12</v>
      </c>
    </row>
    <row r="2256" spans="1:4" x14ac:dyDescent="0.25">
      <c r="A2256" s="1">
        <v>121</v>
      </c>
      <c r="B2256" s="2">
        <v>41233</v>
      </c>
      <c r="C2256" s="4" t="s">
        <v>12</v>
      </c>
      <c r="D2256" s="1">
        <v>12.4</v>
      </c>
    </row>
    <row r="2257" spans="1:4" x14ac:dyDescent="0.25">
      <c r="A2257" s="1">
        <v>121</v>
      </c>
      <c r="B2257" s="2">
        <v>41248</v>
      </c>
      <c r="C2257" s="4" t="s">
        <v>12</v>
      </c>
      <c r="D2257" s="1">
        <v>11.3</v>
      </c>
    </row>
    <row r="2258" spans="1:4" x14ac:dyDescent="0.25">
      <c r="A2258" s="1">
        <v>121</v>
      </c>
      <c r="B2258" s="2">
        <v>41094</v>
      </c>
      <c r="C2258" s="4" t="s">
        <v>13</v>
      </c>
      <c r="D2258" s="1">
        <v>26</v>
      </c>
    </row>
    <row r="2259" spans="1:4" x14ac:dyDescent="0.25">
      <c r="A2259" s="1">
        <v>121</v>
      </c>
      <c r="B2259" s="2">
        <v>41122</v>
      </c>
      <c r="C2259" s="4" t="s">
        <v>13</v>
      </c>
      <c r="D2259" s="1">
        <v>27</v>
      </c>
    </row>
    <row r="2260" spans="1:4" x14ac:dyDescent="0.25">
      <c r="A2260" s="1">
        <v>121</v>
      </c>
      <c r="B2260" s="2">
        <v>41157</v>
      </c>
      <c r="C2260" s="4" t="s">
        <v>13</v>
      </c>
      <c r="D2260" s="1">
        <v>29</v>
      </c>
    </row>
    <row r="2261" spans="1:4" x14ac:dyDescent="0.25">
      <c r="A2261" s="1">
        <v>121</v>
      </c>
      <c r="B2261" s="2">
        <v>41185</v>
      </c>
      <c r="C2261" s="4" t="s">
        <v>13</v>
      </c>
      <c r="D2261" s="1">
        <v>21</v>
      </c>
    </row>
    <row r="2262" spans="1:4" x14ac:dyDescent="0.25">
      <c r="A2262" s="1">
        <v>121</v>
      </c>
      <c r="B2262" s="2">
        <v>41220</v>
      </c>
      <c r="C2262" s="4" t="s">
        <v>13</v>
      </c>
      <c r="D2262" s="1">
        <v>28</v>
      </c>
    </row>
    <row r="2263" spans="1:4" x14ac:dyDescent="0.25">
      <c r="A2263" s="1">
        <v>121</v>
      </c>
      <c r="B2263" s="2">
        <v>41248</v>
      </c>
      <c r="C2263" s="4" t="s">
        <v>13</v>
      </c>
      <c r="D2263" s="1">
        <v>24</v>
      </c>
    </row>
    <row r="2264" spans="1:4" x14ac:dyDescent="0.25">
      <c r="A2264" s="1">
        <v>122</v>
      </c>
      <c r="B2264" s="2">
        <v>41099</v>
      </c>
      <c r="C2264" s="4" t="s">
        <v>11</v>
      </c>
      <c r="D2264" s="1">
        <v>841</v>
      </c>
    </row>
    <row r="2265" spans="1:4" x14ac:dyDescent="0.25">
      <c r="A2265" s="1">
        <v>122</v>
      </c>
      <c r="B2265" s="2">
        <v>41122</v>
      </c>
      <c r="C2265" s="4" t="s">
        <v>11</v>
      </c>
      <c r="D2265" s="1">
        <v>302</v>
      </c>
    </row>
    <row r="2266" spans="1:4" x14ac:dyDescent="0.25">
      <c r="A2266" s="1">
        <v>122</v>
      </c>
      <c r="B2266" s="2">
        <v>41185</v>
      </c>
      <c r="C2266" s="4" t="s">
        <v>11</v>
      </c>
      <c r="D2266" s="1">
        <v>908</v>
      </c>
    </row>
    <row r="2267" spans="1:4" x14ac:dyDescent="0.25">
      <c r="A2267" s="1">
        <v>122</v>
      </c>
      <c r="B2267" s="2">
        <v>41220</v>
      </c>
      <c r="C2267" s="4" t="s">
        <v>11</v>
      </c>
      <c r="D2267" s="1">
        <v>744</v>
      </c>
    </row>
    <row r="2268" spans="1:4" x14ac:dyDescent="0.25">
      <c r="A2268" s="1">
        <v>122</v>
      </c>
      <c r="B2268" s="2">
        <v>41099</v>
      </c>
      <c r="C2268" s="4" t="s">
        <v>12</v>
      </c>
      <c r="D2268" s="1">
        <v>10.8</v>
      </c>
    </row>
    <row r="2269" spans="1:4" x14ac:dyDescent="0.25">
      <c r="A2269" s="1">
        <v>122</v>
      </c>
      <c r="B2269" s="2">
        <v>41108</v>
      </c>
      <c r="C2269" s="4" t="s">
        <v>12</v>
      </c>
      <c r="D2269" s="1">
        <v>11.1</v>
      </c>
    </row>
    <row r="2270" spans="1:4" x14ac:dyDescent="0.25">
      <c r="A2270" s="1">
        <v>122</v>
      </c>
      <c r="B2270" s="2">
        <v>41122</v>
      </c>
      <c r="C2270" s="4" t="s">
        <v>12</v>
      </c>
      <c r="D2270" s="1">
        <v>12.3</v>
      </c>
    </row>
    <row r="2271" spans="1:4" x14ac:dyDescent="0.25">
      <c r="A2271" s="1">
        <v>122</v>
      </c>
      <c r="B2271" s="2">
        <v>41138</v>
      </c>
      <c r="C2271" s="4" t="s">
        <v>12</v>
      </c>
      <c r="D2271" s="1">
        <v>13</v>
      </c>
    </row>
    <row r="2272" spans="1:4" x14ac:dyDescent="0.25">
      <c r="A2272" s="1">
        <v>122</v>
      </c>
      <c r="B2272" s="2">
        <v>41152</v>
      </c>
      <c r="C2272" s="4" t="s">
        <v>12</v>
      </c>
      <c r="D2272" s="1">
        <v>11</v>
      </c>
    </row>
    <row r="2273" spans="1:4" x14ac:dyDescent="0.25">
      <c r="A2273" s="1">
        <v>122</v>
      </c>
      <c r="B2273" s="2">
        <v>41155</v>
      </c>
      <c r="C2273" s="4" t="s">
        <v>12</v>
      </c>
      <c r="D2273" s="1">
        <v>10.3</v>
      </c>
    </row>
    <row r="2274" spans="1:4" x14ac:dyDescent="0.25">
      <c r="A2274" s="1">
        <v>122</v>
      </c>
      <c r="B2274" s="2">
        <v>41169</v>
      </c>
      <c r="C2274" s="4" t="s">
        <v>12</v>
      </c>
      <c r="D2274" s="1">
        <v>11.2</v>
      </c>
    </row>
    <row r="2275" spans="1:4" x14ac:dyDescent="0.25">
      <c r="A2275" s="1">
        <v>122</v>
      </c>
      <c r="B2275" s="2">
        <v>41171</v>
      </c>
      <c r="C2275" s="4" t="s">
        <v>12</v>
      </c>
      <c r="D2275" s="1">
        <v>12.1</v>
      </c>
    </row>
    <row r="2276" spans="1:4" x14ac:dyDescent="0.25">
      <c r="A2276" s="1">
        <v>122</v>
      </c>
      <c r="B2276" s="2">
        <v>41183</v>
      </c>
      <c r="C2276" s="4" t="s">
        <v>12</v>
      </c>
      <c r="D2276" s="1">
        <v>12.4</v>
      </c>
    </row>
    <row r="2277" spans="1:4" x14ac:dyDescent="0.25">
      <c r="A2277" s="1">
        <v>122</v>
      </c>
      <c r="B2277" s="2">
        <v>41185</v>
      </c>
      <c r="C2277" s="4" t="s">
        <v>12</v>
      </c>
      <c r="D2277" s="1">
        <v>11.6</v>
      </c>
    </row>
    <row r="2278" spans="1:4" x14ac:dyDescent="0.25">
      <c r="A2278" s="1">
        <v>122</v>
      </c>
      <c r="B2278" s="2">
        <v>41199</v>
      </c>
      <c r="C2278" s="4" t="s">
        <v>12</v>
      </c>
      <c r="D2278" s="1">
        <v>12.6</v>
      </c>
    </row>
    <row r="2279" spans="1:4" x14ac:dyDescent="0.25">
      <c r="A2279" s="1">
        <v>122</v>
      </c>
      <c r="B2279" s="2">
        <v>41220</v>
      </c>
      <c r="C2279" s="4" t="s">
        <v>12</v>
      </c>
      <c r="D2279" s="1">
        <v>11.4</v>
      </c>
    </row>
    <row r="2280" spans="1:4" x14ac:dyDescent="0.25">
      <c r="A2280" s="1">
        <v>122</v>
      </c>
      <c r="B2280" s="2">
        <v>41233</v>
      </c>
      <c r="C2280" s="4" t="s">
        <v>12</v>
      </c>
      <c r="D2280" s="1">
        <v>11.9</v>
      </c>
    </row>
    <row r="2281" spans="1:4" x14ac:dyDescent="0.25">
      <c r="A2281" s="1">
        <v>122</v>
      </c>
      <c r="B2281" s="2">
        <v>41099</v>
      </c>
      <c r="C2281" s="4" t="s">
        <v>13</v>
      </c>
      <c r="D2281" s="1">
        <v>74</v>
      </c>
    </row>
    <row r="2282" spans="1:4" x14ac:dyDescent="0.25">
      <c r="A2282" s="1">
        <v>122</v>
      </c>
      <c r="B2282" s="2">
        <v>41122</v>
      </c>
      <c r="C2282" s="4" t="s">
        <v>13</v>
      </c>
      <c r="D2282" s="1">
        <v>29</v>
      </c>
    </row>
    <row r="2283" spans="1:4" x14ac:dyDescent="0.25">
      <c r="A2283" s="1">
        <v>122</v>
      </c>
      <c r="B2283" s="2">
        <v>41155</v>
      </c>
      <c r="C2283" s="4" t="s">
        <v>13</v>
      </c>
      <c r="D2283" s="1">
        <v>40</v>
      </c>
    </row>
    <row r="2284" spans="1:4" x14ac:dyDescent="0.25">
      <c r="A2284" s="1">
        <v>122</v>
      </c>
      <c r="B2284" s="2">
        <v>41185</v>
      </c>
      <c r="C2284" s="4" t="s">
        <v>13</v>
      </c>
      <c r="D2284" s="1">
        <v>21</v>
      </c>
    </row>
    <row r="2285" spans="1:4" x14ac:dyDescent="0.25">
      <c r="A2285" s="1">
        <v>122</v>
      </c>
      <c r="B2285" s="2">
        <v>41220</v>
      </c>
      <c r="C2285" s="4" t="s">
        <v>13</v>
      </c>
      <c r="D2285" s="1">
        <v>53</v>
      </c>
    </row>
    <row r="2286" spans="1:4" x14ac:dyDescent="0.25">
      <c r="A2286" s="1">
        <v>123</v>
      </c>
      <c r="B2286" s="2">
        <v>41167</v>
      </c>
      <c r="C2286" s="4" t="s">
        <v>11</v>
      </c>
      <c r="D2286" s="1">
        <v>343</v>
      </c>
    </row>
    <row r="2287" spans="1:4" x14ac:dyDescent="0.25">
      <c r="A2287" s="1">
        <v>123</v>
      </c>
      <c r="B2287" s="2">
        <v>41186</v>
      </c>
      <c r="C2287" s="4" t="s">
        <v>11</v>
      </c>
      <c r="D2287" s="1">
        <v>234</v>
      </c>
    </row>
    <row r="2288" spans="1:4" x14ac:dyDescent="0.25">
      <c r="A2288" s="1">
        <v>123</v>
      </c>
      <c r="B2288" s="2">
        <v>41221</v>
      </c>
      <c r="C2288" s="4" t="s">
        <v>11</v>
      </c>
      <c r="D2288" s="1">
        <v>537</v>
      </c>
    </row>
    <row r="2289" spans="1:4" x14ac:dyDescent="0.25">
      <c r="A2289" s="1">
        <v>123</v>
      </c>
      <c r="B2289" s="2">
        <v>41167</v>
      </c>
      <c r="C2289" s="4" t="s">
        <v>12</v>
      </c>
      <c r="D2289" s="1">
        <v>9.8000000000000007</v>
      </c>
    </row>
    <row r="2290" spans="1:4" x14ac:dyDescent="0.25">
      <c r="A2290" s="1">
        <v>123</v>
      </c>
      <c r="B2290" s="2">
        <v>41172</v>
      </c>
      <c r="C2290" s="4" t="s">
        <v>12</v>
      </c>
      <c r="D2290" s="1">
        <v>10.3</v>
      </c>
    </row>
    <row r="2291" spans="1:4" x14ac:dyDescent="0.25">
      <c r="A2291" s="1">
        <v>123</v>
      </c>
      <c r="B2291" s="2">
        <v>41186</v>
      </c>
      <c r="C2291" s="4" t="s">
        <v>12</v>
      </c>
      <c r="D2291" s="1">
        <v>11.4</v>
      </c>
    </row>
    <row r="2292" spans="1:4" x14ac:dyDescent="0.25">
      <c r="A2292" s="1">
        <v>123</v>
      </c>
      <c r="B2292" s="2">
        <v>41200</v>
      </c>
      <c r="C2292" s="4" t="s">
        <v>12</v>
      </c>
      <c r="D2292" s="1">
        <v>11.4</v>
      </c>
    </row>
    <row r="2293" spans="1:4" x14ac:dyDescent="0.25">
      <c r="A2293" s="1">
        <v>123</v>
      </c>
      <c r="B2293" s="2">
        <v>41221</v>
      </c>
      <c r="C2293" s="4" t="s">
        <v>12</v>
      </c>
      <c r="D2293" s="1">
        <v>11.1</v>
      </c>
    </row>
    <row r="2294" spans="1:4" x14ac:dyDescent="0.25">
      <c r="A2294" s="1">
        <v>123</v>
      </c>
      <c r="B2294" s="2">
        <v>41232</v>
      </c>
      <c r="C2294" s="4" t="s">
        <v>12</v>
      </c>
      <c r="D2294" s="1">
        <v>10.7</v>
      </c>
    </row>
    <row r="2295" spans="1:4" x14ac:dyDescent="0.25">
      <c r="A2295" s="1">
        <v>123</v>
      </c>
      <c r="B2295" s="2">
        <v>41167</v>
      </c>
      <c r="C2295" s="4" t="s">
        <v>13</v>
      </c>
      <c r="D2295" s="1">
        <v>4</v>
      </c>
    </row>
    <row r="2296" spans="1:4" x14ac:dyDescent="0.25">
      <c r="A2296" s="1">
        <v>123</v>
      </c>
      <c r="B2296" s="2">
        <v>41186</v>
      </c>
      <c r="C2296" s="4" t="s">
        <v>13</v>
      </c>
      <c r="D2296" s="1">
        <v>11</v>
      </c>
    </row>
    <row r="2297" spans="1:4" x14ac:dyDescent="0.25">
      <c r="A2297" s="1">
        <v>123</v>
      </c>
      <c r="B2297" s="2">
        <v>41221</v>
      </c>
      <c r="C2297" s="4" t="s">
        <v>13</v>
      </c>
      <c r="D2297" s="1">
        <v>18</v>
      </c>
    </row>
    <row r="2298" spans="1:4" x14ac:dyDescent="0.25">
      <c r="A2298" s="1" t="e">
        <v>#N/A</v>
      </c>
      <c r="B2298" s="2">
        <v>41228</v>
      </c>
      <c r="C2298" s="4" t="s">
        <v>11</v>
      </c>
      <c r="D2298" s="1">
        <v>211</v>
      </c>
    </row>
    <row r="2299" spans="1:4" x14ac:dyDescent="0.25">
      <c r="A2299" s="1" t="e">
        <v>#N/A</v>
      </c>
      <c r="B2299" s="2">
        <v>41228</v>
      </c>
      <c r="C2299" s="4" t="s">
        <v>12</v>
      </c>
      <c r="D2299" s="1">
        <v>8.6</v>
      </c>
    </row>
    <row r="2300" spans="1:4" x14ac:dyDescent="0.25">
      <c r="A2300" s="1" t="e">
        <v>#N/A</v>
      </c>
      <c r="B2300" s="2">
        <v>41232</v>
      </c>
      <c r="C2300" s="4" t="s">
        <v>12</v>
      </c>
      <c r="D2300" s="1">
        <v>8.1999999999999993</v>
      </c>
    </row>
    <row r="2301" spans="1:4" x14ac:dyDescent="0.25">
      <c r="A2301" s="1" t="e">
        <v>#N/A</v>
      </c>
      <c r="B2301" s="2">
        <v>41228</v>
      </c>
      <c r="C2301" s="4" t="s">
        <v>13</v>
      </c>
      <c r="D2301" s="1">
        <v>12</v>
      </c>
    </row>
    <row r="2302" spans="1:4" x14ac:dyDescent="0.25">
      <c r="A2302" s="1">
        <v>125</v>
      </c>
      <c r="B2302" s="2">
        <v>41095</v>
      </c>
      <c r="C2302" s="4" t="s">
        <v>11</v>
      </c>
      <c r="D2302" s="1">
        <v>223</v>
      </c>
    </row>
    <row r="2303" spans="1:4" x14ac:dyDescent="0.25">
      <c r="A2303" s="1">
        <v>125</v>
      </c>
      <c r="B2303" s="2">
        <v>41123</v>
      </c>
      <c r="C2303" s="4" t="s">
        <v>11</v>
      </c>
      <c r="D2303" s="1">
        <v>78</v>
      </c>
    </row>
    <row r="2304" spans="1:4" x14ac:dyDescent="0.25">
      <c r="A2304" s="1">
        <v>125</v>
      </c>
      <c r="B2304" s="2">
        <v>41156</v>
      </c>
      <c r="C2304" s="4" t="s">
        <v>11</v>
      </c>
      <c r="D2304" s="1">
        <v>67</v>
      </c>
    </row>
    <row r="2305" spans="1:4" x14ac:dyDescent="0.25">
      <c r="A2305" s="1">
        <v>125</v>
      </c>
      <c r="B2305" s="2">
        <v>41186</v>
      </c>
      <c r="C2305" s="4" t="s">
        <v>11</v>
      </c>
      <c r="D2305" s="1">
        <v>164</v>
      </c>
    </row>
    <row r="2306" spans="1:4" x14ac:dyDescent="0.25">
      <c r="A2306" s="1">
        <v>125</v>
      </c>
      <c r="B2306" s="2">
        <v>41221</v>
      </c>
      <c r="C2306" s="4" t="s">
        <v>11</v>
      </c>
      <c r="D2306" s="1">
        <v>31</v>
      </c>
    </row>
    <row r="2307" spans="1:4" x14ac:dyDescent="0.25">
      <c r="A2307" s="1">
        <v>125</v>
      </c>
      <c r="B2307" s="2">
        <v>41095</v>
      </c>
      <c r="C2307" s="4" t="s">
        <v>12</v>
      </c>
      <c r="D2307" s="1">
        <v>10.6</v>
      </c>
    </row>
    <row r="2308" spans="1:4" x14ac:dyDescent="0.25">
      <c r="A2308" s="1">
        <v>125</v>
      </c>
      <c r="B2308" s="2">
        <v>41109</v>
      </c>
      <c r="C2308" s="4" t="s">
        <v>12</v>
      </c>
      <c r="D2308" s="1">
        <v>8.6</v>
      </c>
    </row>
    <row r="2309" spans="1:4" x14ac:dyDescent="0.25">
      <c r="A2309" s="1">
        <v>125</v>
      </c>
      <c r="B2309" s="2">
        <v>41111</v>
      </c>
      <c r="C2309" s="4" t="s">
        <v>12</v>
      </c>
      <c r="D2309" s="1">
        <v>8.8000000000000007</v>
      </c>
    </row>
    <row r="2310" spans="1:4" x14ac:dyDescent="0.25">
      <c r="A2310" s="1">
        <v>125</v>
      </c>
      <c r="B2310" s="2">
        <v>41123</v>
      </c>
      <c r="C2310" s="4" t="s">
        <v>12</v>
      </c>
      <c r="D2310" s="1">
        <v>7.7</v>
      </c>
    </row>
    <row r="2311" spans="1:4" x14ac:dyDescent="0.25">
      <c r="A2311" s="1">
        <v>125</v>
      </c>
      <c r="B2311" s="2">
        <v>41137</v>
      </c>
      <c r="C2311" s="4" t="s">
        <v>12</v>
      </c>
      <c r="D2311" s="1">
        <v>9.3000000000000007</v>
      </c>
    </row>
    <row r="2312" spans="1:4" x14ac:dyDescent="0.25">
      <c r="A2312" s="1">
        <v>125</v>
      </c>
      <c r="B2312" s="2">
        <v>41156</v>
      </c>
      <c r="C2312" s="4" t="s">
        <v>12</v>
      </c>
      <c r="D2312" s="1">
        <v>8.6</v>
      </c>
    </row>
    <row r="2313" spans="1:4" x14ac:dyDescent="0.25">
      <c r="A2313" s="1">
        <v>125</v>
      </c>
      <c r="B2313" s="2">
        <v>41172</v>
      </c>
      <c r="C2313" s="4" t="s">
        <v>12</v>
      </c>
      <c r="D2313" s="1">
        <v>9.4</v>
      </c>
    </row>
    <row r="2314" spans="1:4" x14ac:dyDescent="0.25">
      <c r="A2314" s="1">
        <v>125</v>
      </c>
      <c r="B2314" s="2">
        <v>41186</v>
      </c>
      <c r="C2314" s="4" t="s">
        <v>12</v>
      </c>
      <c r="D2314" s="1">
        <v>8.5</v>
      </c>
    </row>
    <row r="2315" spans="1:4" x14ac:dyDescent="0.25">
      <c r="A2315" s="1">
        <v>125</v>
      </c>
      <c r="B2315" s="2">
        <v>41200</v>
      </c>
      <c r="C2315" s="4" t="s">
        <v>12</v>
      </c>
      <c r="D2315" s="1">
        <v>7.7</v>
      </c>
    </row>
    <row r="2316" spans="1:4" x14ac:dyDescent="0.25">
      <c r="A2316" s="1">
        <v>125</v>
      </c>
      <c r="B2316" s="2">
        <v>41205</v>
      </c>
      <c r="C2316" s="4" t="s">
        <v>12</v>
      </c>
      <c r="D2316" s="1">
        <v>8.6</v>
      </c>
    </row>
    <row r="2317" spans="1:4" x14ac:dyDescent="0.25">
      <c r="A2317" s="1">
        <v>125</v>
      </c>
      <c r="B2317" s="2">
        <v>41221</v>
      </c>
      <c r="C2317" s="4" t="s">
        <v>12</v>
      </c>
      <c r="D2317" s="1">
        <v>6.1</v>
      </c>
    </row>
    <row r="2318" spans="1:4" x14ac:dyDescent="0.25">
      <c r="A2318" s="1">
        <v>125</v>
      </c>
      <c r="B2318" s="2">
        <v>41226</v>
      </c>
      <c r="C2318" s="4" t="s">
        <v>12</v>
      </c>
      <c r="D2318" s="1">
        <v>7.1</v>
      </c>
    </row>
    <row r="2319" spans="1:4" x14ac:dyDescent="0.25">
      <c r="A2319" s="1">
        <v>125</v>
      </c>
      <c r="B2319" s="2">
        <v>41230</v>
      </c>
      <c r="C2319" s="4" t="s">
        <v>12</v>
      </c>
      <c r="D2319" s="1">
        <v>8.1</v>
      </c>
    </row>
    <row r="2320" spans="1:4" x14ac:dyDescent="0.25">
      <c r="A2320" s="1">
        <v>125</v>
      </c>
      <c r="B2320" s="2">
        <v>41232</v>
      </c>
      <c r="C2320" s="4" t="s">
        <v>12</v>
      </c>
      <c r="D2320" s="1">
        <v>9.1</v>
      </c>
    </row>
    <row r="2321" spans="1:4" x14ac:dyDescent="0.25">
      <c r="A2321" s="1">
        <v>125</v>
      </c>
      <c r="B2321" s="2">
        <v>41095</v>
      </c>
      <c r="C2321" s="4" t="s">
        <v>13</v>
      </c>
      <c r="D2321" s="1">
        <v>34</v>
      </c>
    </row>
    <row r="2322" spans="1:4" x14ac:dyDescent="0.25">
      <c r="A2322" s="1">
        <v>125</v>
      </c>
      <c r="B2322" s="2">
        <v>41123</v>
      </c>
      <c r="C2322" s="4" t="s">
        <v>13</v>
      </c>
      <c r="D2322" s="1">
        <v>7</v>
      </c>
    </row>
    <row r="2323" spans="1:4" x14ac:dyDescent="0.25">
      <c r="A2323" s="1">
        <v>125</v>
      </c>
      <c r="B2323" s="2">
        <v>41156</v>
      </c>
      <c r="C2323" s="4" t="s">
        <v>13</v>
      </c>
      <c r="D2323" s="1">
        <v>7</v>
      </c>
    </row>
    <row r="2324" spans="1:4" x14ac:dyDescent="0.25">
      <c r="A2324" s="1">
        <v>125</v>
      </c>
      <c r="B2324" s="2">
        <v>41186</v>
      </c>
      <c r="C2324" s="4" t="s">
        <v>13</v>
      </c>
      <c r="D2324" s="1">
        <v>25</v>
      </c>
    </row>
    <row r="2325" spans="1:4" x14ac:dyDescent="0.25">
      <c r="A2325" s="1">
        <v>125</v>
      </c>
      <c r="B2325" s="2">
        <v>41221</v>
      </c>
      <c r="C2325" s="4" t="s">
        <v>13</v>
      </c>
      <c r="D2325" s="1">
        <v>10</v>
      </c>
    </row>
    <row r="2326" spans="1:4" x14ac:dyDescent="0.25">
      <c r="A2326" s="1" t="e">
        <v>#N/A</v>
      </c>
      <c r="B2326" s="2">
        <v>41094</v>
      </c>
      <c r="C2326" s="4" t="s">
        <v>11</v>
      </c>
      <c r="D2326" s="1">
        <v>1333</v>
      </c>
    </row>
    <row r="2327" spans="1:4" x14ac:dyDescent="0.25">
      <c r="A2327" s="1" t="e">
        <v>#N/A</v>
      </c>
      <c r="B2327" s="2">
        <v>41094</v>
      </c>
      <c r="C2327" s="4" t="s">
        <v>12</v>
      </c>
      <c r="D2327" s="1">
        <v>8.4</v>
      </c>
    </row>
    <row r="2328" spans="1:4" x14ac:dyDescent="0.25">
      <c r="A2328" s="1" t="e">
        <v>#N/A</v>
      </c>
      <c r="B2328" s="2">
        <v>41096</v>
      </c>
      <c r="C2328" s="4" t="s">
        <v>12</v>
      </c>
      <c r="D2328" s="1">
        <v>8.5</v>
      </c>
    </row>
    <row r="2329" spans="1:4" x14ac:dyDescent="0.25">
      <c r="A2329" s="1" t="e">
        <v>#N/A</v>
      </c>
      <c r="B2329" s="2">
        <v>41094</v>
      </c>
      <c r="C2329" s="4" t="s">
        <v>13</v>
      </c>
      <c r="D2329" s="1">
        <v>37</v>
      </c>
    </row>
    <row r="2330" spans="1:4" x14ac:dyDescent="0.25">
      <c r="A2330" s="1">
        <v>126</v>
      </c>
      <c r="B2330" s="2">
        <v>41094</v>
      </c>
      <c r="C2330" s="4" t="s">
        <v>11</v>
      </c>
      <c r="D2330" s="1">
        <v>669</v>
      </c>
    </row>
    <row r="2331" spans="1:4" x14ac:dyDescent="0.25">
      <c r="A2331" s="1">
        <v>126</v>
      </c>
      <c r="B2331" s="2">
        <v>41122</v>
      </c>
      <c r="C2331" s="4" t="s">
        <v>11</v>
      </c>
      <c r="D2331" s="1">
        <v>423</v>
      </c>
    </row>
    <row r="2332" spans="1:4" x14ac:dyDescent="0.25">
      <c r="A2332" s="1">
        <v>126</v>
      </c>
      <c r="B2332" s="2">
        <v>41157</v>
      </c>
      <c r="C2332" s="4" t="s">
        <v>11</v>
      </c>
      <c r="D2332" s="1">
        <v>653</v>
      </c>
    </row>
    <row r="2333" spans="1:4" x14ac:dyDescent="0.25">
      <c r="A2333" s="1">
        <v>126</v>
      </c>
      <c r="B2333" s="2">
        <v>41185</v>
      </c>
      <c r="C2333" s="4" t="s">
        <v>11</v>
      </c>
      <c r="D2333" s="1">
        <v>426</v>
      </c>
    </row>
    <row r="2334" spans="1:4" x14ac:dyDescent="0.25">
      <c r="A2334" s="1">
        <v>126</v>
      </c>
      <c r="B2334" s="2">
        <v>41220</v>
      </c>
      <c r="C2334" s="4" t="s">
        <v>11</v>
      </c>
      <c r="D2334" s="1">
        <v>743</v>
      </c>
    </row>
    <row r="2335" spans="1:4" x14ac:dyDescent="0.25">
      <c r="A2335" s="1">
        <v>126</v>
      </c>
      <c r="B2335" s="2">
        <v>41248</v>
      </c>
      <c r="C2335" s="4" t="s">
        <v>11</v>
      </c>
      <c r="D2335" s="1">
        <v>797</v>
      </c>
    </row>
    <row r="2336" spans="1:4" x14ac:dyDescent="0.25">
      <c r="A2336" s="1">
        <v>126</v>
      </c>
      <c r="B2336" s="2">
        <v>41094</v>
      </c>
      <c r="C2336" s="4" t="s">
        <v>12</v>
      </c>
      <c r="D2336" s="1">
        <v>11</v>
      </c>
    </row>
    <row r="2337" spans="1:4" x14ac:dyDescent="0.25">
      <c r="A2337" s="1">
        <v>126</v>
      </c>
      <c r="B2337" s="2">
        <v>41108</v>
      </c>
      <c r="C2337" s="4" t="s">
        <v>12</v>
      </c>
      <c r="D2337" s="1">
        <v>11.1</v>
      </c>
    </row>
    <row r="2338" spans="1:4" x14ac:dyDescent="0.25">
      <c r="A2338" s="1">
        <v>126</v>
      </c>
      <c r="B2338" s="2">
        <v>41122</v>
      </c>
      <c r="C2338" s="4" t="s">
        <v>12</v>
      </c>
      <c r="D2338" s="1">
        <v>11.3</v>
      </c>
    </row>
    <row r="2339" spans="1:4" x14ac:dyDescent="0.25">
      <c r="A2339" s="1">
        <v>126</v>
      </c>
      <c r="B2339" s="2">
        <v>41136</v>
      </c>
      <c r="C2339" s="4" t="s">
        <v>12</v>
      </c>
      <c r="D2339" s="1">
        <v>12.3</v>
      </c>
    </row>
    <row r="2340" spans="1:4" x14ac:dyDescent="0.25">
      <c r="A2340" s="1">
        <v>126</v>
      </c>
      <c r="B2340" s="2">
        <v>41141</v>
      </c>
      <c r="C2340" s="4" t="s">
        <v>12</v>
      </c>
      <c r="D2340" s="1">
        <v>11</v>
      </c>
    </row>
    <row r="2341" spans="1:4" x14ac:dyDescent="0.25">
      <c r="A2341" s="1">
        <v>126</v>
      </c>
      <c r="B2341" s="2">
        <v>41157</v>
      </c>
      <c r="C2341" s="4" t="s">
        <v>12</v>
      </c>
      <c r="D2341" s="1">
        <v>10.9</v>
      </c>
    </row>
    <row r="2342" spans="1:4" x14ac:dyDescent="0.25">
      <c r="A2342" s="1">
        <v>126</v>
      </c>
      <c r="B2342" s="2">
        <v>41171</v>
      </c>
      <c r="C2342" s="4" t="s">
        <v>12</v>
      </c>
      <c r="D2342" s="1">
        <v>11.6</v>
      </c>
    </row>
    <row r="2343" spans="1:4" x14ac:dyDescent="0.25">
      <c r="A2343" s="1">
        <v>126</v>
      </c>
      <c r="B2343" s="2">
        <v>41185</v>
      </c>
      <c r="C2343" s="4" t="s">
        <v>12</v>
      </c>
      <c r="D2343" s="1">
        <v>12.4</v>
      </c>
    </row>
    <row r="2344" spans="1:4" x14ac:dyDescent="0.25">
      <c r="A2344" s="1">
        <v>126</v>
      </c>
      <c r="B2344" s="2">
        <v>41199</v>
      </c>
      <c r="C2344" s="4" t="s">
        <v>12</v>
      </c>
      <c r="D2344" s="1">
        <v>12.7</v>
      </c>
    </row>
    <row r="2345" spans="1:4" x14ac:dyDescent="0.25">
      <c r="A2345" s="1">
        <v>126</v>
      </c>
      <c r="B2345" s="2">
        <v>41220</v>
      </c>
      <c r="C2345" s="4" t="s">
        <v>12</v>
      </c>
      <c r="D2345" s="1">
        <v>11</v>
      </c>
    </row>
    <row r="2346" spans="1:4" x14ac:dyDescent="0.25">
      <c r="A2346" s="1">
        <v>126</v>
      </c>
      <c r="B2346" s="2">
        <v>41233</v>
      </c>
      <c r="C2346" s="4" t="s">
        <v>12</v>
      </c>
      <c r="D2346" s="1">
        <v>11.1</v>
      </c>
    </row>
    <row r="2347" spans="1:4" x14ac:dyDescent="0.25">
      <c r="A2347" s="1">
        <v>126</v>
      </c>
      <c r="B2347" s="2">
        <v>41248</v>
      </c>
      <c r="C2347" s="4" t="s">
        <v>12</v>
      </c>
      <c r="D2347" s="1">
        <v>10.8</v>
      </c>
    </row>
    <row r="2348" spans="1:4" x14ac:dyDescent="0.25">
      <c r="A2348" s="1">
        <v>126</v>
      </c>
      <c r="B2348" s="2">
        <v>41094</v>
      </c>
      <c r="C2348" s="4" t="s">
        <v>13</v>
      </c>
      <c r="D2348" s="1">
        <v>64</v>
      </c>
    </row>
    <row r="2349" spans="1:4" x14ac:dyDescent="0.25">
      <c r="A2349" s="1">
        <v>126</v>
      </c>
      <c r="B2349" s="2">
        <v>41122</v>
      </c>
      <c r="C2349" s="4" t="s">
        <v>13</v>
      </c>
      <c r="D2349" s="1">
        <v>23</v>
      </c>
    </row>
    <row r="2350" spans="1:4" x14ac:dyDescent="0.25">
      <c r="A2350" s="1">
        <v>126</v>
      </c>
      <c r="B2350" s="2">
        <v>41157</v>
      </c>
      <c r="C2350" s="4" t="s">
        <v>13</v>
      </c>
      <c r="D2350" s="1">
        <v>31</v>
      </c>
    </row>
    <row r="2351" spans="1:4" x14ac:dyDescent="0.25">
      <c r="A2351" s="1">
        <v>126</v>
      </c>
      <c r="B2351" s="2">
        <v>41185</v>
      </c>
      <c r="C2351" s="4" t="s">
        <v>13</v>
      </c>
      <c r="D2351" s="1">
        <v>37</v>
      </c>
    </row>
    <row r="2352" spans="1:4" x14ac:dyDescent="0.25">
      <c r="A2352" s="1">
        <v>126</v>
      </c>
      <c r="B2352" s="2">
        <v>41220</v>
      </c>
      <c r="C2352" s="4" t="s">
        <v>13</v>
      </c>
      <c r="D2352" s="1">
        <v>62</v>
      </c>
    </row>
    <row r="2353" spans="1:4" x14ac:dyDescent="0.25">
      <c r="A2353" s="1">
        <v>126</v>
      </c>
      <c r="B2353" s="2">
        <v>41248</v>
      </c>
      <c r="C2353" s="4" t="s">
        <v>13</v>
      </c>
      <c r="D2353" s="1">
        <v>79</v>
      </c>
    </row>
    <row r="2354" spans="1:4" x14ac:dyDescent="0.25">
      <c r="A2354" s="1">
        <v>127</v>
      </c>
      <c r="B2354" s="2">
        <v>41213</v>
      </c>
      <c r="C2354" s="4" t="s">
        <v>11</v>
      </c>
      <c r="D2354" s="1">
        <v>1325</v>
      </c>
    </row>
    <row r="2355" spans="1:4" x14ac:dyDescent="0.25">
      <c r="A2355" s="1">
        <v>127</v>
      </c>
      <c r="B2355" s="2">
        <v>41227</v>
      </c>
      <c r="C2355" s="4" t="s">
        <v>11</v>
      </c>
      <c r="D2355" s="1">
        <v>762</v>
      </c>
    </row>
    <row r="2356" spans="1:4" x14ac:dyDescent="0.25">
      <c r="A2356" s="1">
        <v>127</v>
      </c>
      <c r="B2356" s="2">
        <v>41248</v>
      </c>
      <c r="C2356" s="4" t="s">
        <v>11</v>
      </c>
      <c r="D2356" s="1">
        <v>461</v>
      </c>
    </row>
    <row r="2357" spans="1:4" x14ac:dyDescent="0.25">
      <c r="A2357" s="1">
        <v>127</v>
      </c>
      <c r="B2357" s="2">
        <v>41213</v>
      </c>
      <c r="C2357" s="4" t="s">
        <v>12</v>
      </c>
      <c r="D2357" s="1">
        <v>10.199999999999999</v>
      </c>
    </row>
    <row r="2358" spans="1:4" x14ac:dyDescent="0.25">
      <c r="A2358" s="1">
        <v>127</v>
      </c>
      <c r="B2358" s="2">
        <v>41227</v>
      </c>
      <c r="C2358" s="4" t="s">
        <v>12</v>
      </c>
      <c r="D2358" s="1">
        <v>8.5</v>
      </c>
    </row>
    <row r="2359" spans="1:4" x14ac:dyDescent="0.25">
      <c r="A2359" s="1">
        <v>127</v>
      </c>
      <c r="B2359" s="2">
        <v>41233</v>
      </c>
      <c r="C2359" s="4" t="s">
        <v>12</v>
      </c>
      <c r="D2359" s="1">
        <v>8.9</v>
      </c>
    </row>
    <row r="2360" spans="1:4" x14ac:dyDescent="0.25">
      <c r="A2360" s="1">
        <v>127</v>
      </c>
      <c r="B2360" s="2">
        <v>41248</v>
      </c>
      <c r="C2360" s="4" t="s">
        <v>12</v>
      </c>
      <c r="D2360" s="1">
        <v>9.8000000000000007</v>
      </c>
    </row>
    <row r="2361" spans="1:4" x14ac:dyDescent="0.25">
      <c r="A2361" s="1">
        <v>127</v>
      </c>
      <c r="B2361" s="2">
        <v>41213</v>
      </c>
      <c r="C2361" s="4" t="s">
        <v>13</v>
      </c>
      <c r="D2361" s="1">
        <v>15</v>
      </c>
    </row>
    <row r="2362" spans="1:4" x14ac:dyDescent="0.25">
      <c r="A2362" s="1">
        <v>127</v>
      </c>
      <c r="B2362" s="2">
        <v>41227</v>
      </c>
      <c r="C2362" s="4" t="s">
        <v>13</v>
      </c>
      <c r="D2362" s="1">
        <v>20</v>
      </c>
    </row>
    <row r="2363" spans="1:4" x14ac:dyDescent="0.25">
      <c r="A2363" s="1">
        <v>127</v>
      </c>
      <c r="B2363" s="2">
        <v>41248</v>
      </c>
      <c r="C2363" s="4" t="s">
        <v>13</v>
      </c>
      <c r="D2363" s="1">
        <v>18</v>
      </c>
    </row>
    <row r="2364" spans="1:4" x14ac:dyDescent="0.25">
      <c r="A2364" s="1">
        <v>128</v>
      </c>
      <c r="B2364" s="2">
        <v>41095</v>
      </c>
      <c r="C2364" s="4" t="s">
        <v>11</v>
      </c>
      <c r="D2364" s="1">
        <v>635</v>
      </c>
    </row>
    <row r="2365" spans="1:4" x14ac:dyDescent="0.25">
      <c r="A2365" s="1">
        <v>128</v>
      </c>
      <c r="B2365" s="2">
        <v>41123</v>
      </c>
      <c r="C2365" s="4" t="s">
        <v>11</v>
      </c>
      <c r="D2365" s="1">
        <v>587</v>
      </c>
    </row>
    <row r="2366" spans="1:4" x14ac:dyDescent="0.25">
      <c r="A2366" s="1">
        <v>128</v>
      </c>
      <c r="B2366" s="2">
        <v>41156</v>
      </c>
      <c r="C2366" s="4" t="s">
        <v>11</v>
      </c>
      <c r="D2366" s="1">
        <v>554</v>
      </c>
    </row>
    <row r="2367" spans="1:4" x14ac:dyDescent="0.25">
      <c r="A2367" s="1">
        <v>128</v>
      </c>
      <c r="B2367" s="2">
        <v>41186</v>
      </c>
      <c r="C2367" s="4" t="s">
        <v>11</v>
      </c>
      <c r="D2367" s="1">
        <v>593</v>
      </c>
    </row>
    <row r="2368" spans="1:4" x14ac:dyDescent="0.25">
      <c r="A2368" s="1">
        <v>128</v>
      </c>
      <c r="B2368" s="2">
        <v>41221</v>
      </c>
      <c r="C2368" s="4" t="s">
        <v>11</v>
      </c>
      <c r="D2368" s="1">
        <v>674</v>
      </c>
    </row>
    <row r="2369" spans="1:4" x14ac:dyDescent="0.25">
      <c r="A2369" s="1">
        <v>128</v>
      </c>
      <c r="B2369" s="2">
        <v>41095</v>
      </c>
      <c r="C2369" s="4" t="s">
        <v>12</v>
      </c>
      <c r="D2369" s="1">
        <v>11.2</v>
      </c>
    </row>
    <row r="2370" spans="1:4" x14ac:dyDescent="0.25">
      <c r="A2370" s="1">
        <v>128</v>
      </c>
      <c r="B2370" s="2">
        <v>41109</v>
      </c>
      <c r="C2370" s="4" t="s">
        <v>12</v>
      </c>
      <c r="D2370" s="1">
        <v>9.6</v>
      </c>
    </row>
    <row r="2371" spans="1:4" x14ac:dyDescent="0.25">
      <c r="A2371" s="1">
        <v>128</v>
      </c>
      <c r="B2371" s="2">
        <v>41123</v>
      </c>
      <c r="C2371" s="4" t="s">
        <v>12</v>
      </c>
      <c r="D2371" s="1">
        <v>11.6</v>
      </c>
    </row>
    <row r="2372" spans="1:4" x14ac:dyDescent="0.25">
      <c r="A2372" s="1">
        <v>128</v>
      </c>
      <c r="B2372" s="2">
        <v>41125</v>
      </c>
      <c r="C2372" s="4" t="s">
        <v>12</v>
      </c>
      <c r="D2372" s="1">
        <v>10.7</v>
      </c>
    </row>
    <row r="2373" spans="1:4" x14ac:dyDescent="0.25">
      <c r="A2373" s="1">
        <v>128</v>
      </c>
      <c r="B2373" s="2">
        <v>41137</v>
      </c>
      <c r="C2373" s="4" t="s">
        <v>12</v>
      </c>
      <c r="D2373" s="1">
        <v>11.2</v>
      </c>
    </row>
    <row r="2374" spans="1:4" x14ac:dyDescent="0.25">
      <c r="A2374" s="1">
        <v>128</v>
      </c>
      <c r="B2374" s="2">
        <v>41156</v>
      </c>
      <c r="C2374" s="4" t="s">
        <v>12</v>
      </c>
      <c r="D2374" s="1">
        <v>12</v>
      </c>
    </row>
    <row r="2375" spans="1:4" x14ac:dyDescent="0.25">
      <c r="A2375" s="1">
        <v>128</v>
      </c>
      <c r="B2375" s="2">
        <v>41165</v>
      </c>
      <c r="C2375" s="4" t="s">
        <v>12</v>
      </c>
      <c r="D2375" s="1">
        <v>11.6</v>
      </c>
    </row>
    <row r="2376" spans="1:4" x14ac:dyDescent="0.25">
      <c r="A2376" s="1">
        <v>128</v>
      </c>
      <c r="B2376" s="2">
        <v>41172</v>
      </c>
      <c r="C2376" s="4" t="s">
        <v>12</v>
      </c>
      <c r="D2376" s="1">
        <v>11.2</v>
      </c>
    </row>
    <row r="2377" spans="1:4" x14ac:dyDescent="0.25">
      <c r="A2377" s="1">
        <v>128</v>
      </c>
      <c r="B2377" s="2">
        <v>41186</v>
      </c>
      <c r="C2377" s="4" t="s">
        <v>12</v>
      </c>
      <c r="D2377" s="1">
        <v>10.9</v>
      </c>
    </row>
    <row r="2378" spans="1:4" x14ac:dyDescent="0.25">
      <c r="A2378" s="1">
        <v>128</v>
      </c>
      <c r="B2378" s="2">
        <v>41200</v>
      </c>
      <c r="C2378" s="4" t="s">
        <v>12</v>
      </c>
      <c r="D2378" s="1">
        <v>11.3</v>
      </c>
    </row>
    <row r="2379" spans="1:4" x14ac:dyDescent="0.25">
      <c r="A2379" s="1">
        <v>128</v>
      </c>
      <c r="B2379" s="2">
        <v>41221</v>
      </c>
      <c r="C2379" s="4" t="s">
        <v>12</v>
      </c>
      <c r="D2379" s="1">
        <v>10.1</v>
      </c>
    </row>
    <row r="2380" spans="1:4" x14ac:dyDescent="0.25">
      <c r="A2380" s="1">
        <v>128</v>
      </c>
      <c r="B2380" s="2">
        <v>41232</v>
      </c>
      <c r="C2380" s="4" t="s">
        <v>12</v>
      </c>
      <c r="D2380" s="1">
        <v>9.1999999999999993</v>
      </c>
    </row>
    <row r="2381" spans="1:4" x14ac:dyDescent="0.25">
      <c r="A2381" s="1">
        <v>128</v>
      </c>
      <c r="B2381" s="2">
        <v>41095</v>
      </c>
      <c r="C2381" s="4" t="s">
        <v>13</v>
      </c>
      <c r="D2381" s="1">
        <v>32</v>
      </c>
    </row>
    <row r="2382" spans="1:4" x14ac:dyDescent="0.25">
      <c r="A2382" s="1">
        <v>128</v>
      </c>
      <c r="B2382" s="2">
        <v>41123</v>
      </c>
      <c r="C2382" s="4" t="s">
        <v>13</v>
      </c>
      <c r="D2382" s="1">
        <v>26</v>
      </c>
    </row>
    <row r="2383" spans="1:4" x14ac:dyDescent="0.25">
      <c r="A2383" s="1">
        <v>128</v>
      </c>
      <c r="B2383" s="2">
        <v>41156</v>
      </c>
      <c r="C2383" s="4" t="s">
        <v>13</v>
      </c>
      <c r="D2383" s="1">
        <v>27</v>
      </c>
    </row>
    <row r="2384" spans="1:4" x14ac:dyDescent="0.25">
      <c r="A2384" s="1">
        <v>128</v>
      </c>
      <c r="B2384" s="2">
        <v>41186</v>
      </c>
      <c r="C2384" s="4" t="s">
        <v>13</v>
      </c>
      <c r="D2384" s="1">
        <v>24</v>
      </c>
    </row>
    <row r="2385" spans="1:4" x14ac:dyDescent="0.25">
      <c r="A2385" s="1">
        <v>128</v>
      </c>
      <c r="B2385" s="2">
        <v>41221</v>
      </c>
      <c r="C2385" s="4" t="s">
        <v>13</v>
      </c>
      <c r="D2385" s="1">
        <v>49</v>
      </c>
    </row>
    <row r="2386" spans="1:4" x14ac:dyDescent="0.25">
      <c r="A2386" s="1">
        <v>129</v>
      </c>
      <c r="B2386" s="2">
        <v>41095</v>
      </c>
      <c r="C2386" s="4" t="s">
        <v>11</v>
      </c>
      <c r="D2386" s="1">
        <v>709</v>
      </c>
    </row>
    <row r="2387" spans="1:4" x14ac:dyDescent="0.25">
      <c r="A2387" s="1">
        <v>129</v>
      </c>
      <c r="B2387" s="2">
        <v>41123</v>
      </c>
      <c r="C2387" s="4" t="s">
        <v>11</v>
      </c>
      <c r="D2387" s="1">
        <v>744</v>
      </c>
    </row>
    <row r="2388" spans="1:4" x14ac:dyDescent="0.25">
      <c r="A2388" s="1">
        <v>129</v>
      </c>
      <c r="B2388" s="2">
        <v>41156</v>
      </c>
      <c r="C2388" s="4" t="s">
        <v>11</v>
      </c>
      <c r="D2388" s="1">
        <v>439</v>
      </c>
    </row>
    <row r="2389" spans="1:4" x14ac:dyDescent="0.25">
      <c r="A2389" s="1">
        <v>129</v>
      </c>
      <c r="B2389" s="2">
        <v>41095</v>
      </c>
      <c r="C2389" s="4" t="s">
        <v>12</v>
      </c>
      <c r="D2389" s="1">
        <v>11.7</v>
      </c>
    </row>
    <row r="2390" spans="1:4" x14ac:dyDescent="0.25">
      <c r="A2390" s="1">
        <v>129</v>
      </c>
      <c r="B2390" s="2">
        <v>41102</v>
      </c>
      <c r="C2390" s="4" t="s">
        <v>12</v>
      </c>
      <c r="D2390" s="1">
        <v>11.8</v>
      </c>
    </row>
    <row r="2391" spans="1:4" x14ac:dyDescent="0.25">
      <c r="A2391" s="1">
        <v>129</v>
      </c>
      <c r="B2391" s="2">
        <v>41116</v>
      </c>
      <c r="C2391" s="4" t="s">
        <v>12</v>
      </c>
      <c r="D2391" s="1">
        <v>9.8000000000000007</v>
      </c>
    </row>
    <row r="2392" spans="1:4" x14ac:dyDescent="0.25">
      <c r="A2392" s="1">
        <v>129</v>
      </c>
      <c r="B2392" s="2">
        <v>41118</v>
      </c>
      <c r="C2392" s="4" t="s">
        <v>12</v>
      </c>
      <c r="D2392" s="1">
        <v>9.8000000000000007</v>
      </c>
    </row>
    <row r="2393" spans="1:4" x14ac:dyDescent="0.25">
      <c r="A2393" s="1">
        <v>129</v>
      </c>
      <c r="B2393" s="2">
        <v>41123</v>
      </c>
      <c r="C2393" s="4" t="s">
        <v>12</v>
      </c>
      <c r="D2393" s="1">
        <v>10.199999999999999</v>
      </c>
    </row>
    <row r="2394" spans="1:4" x14ac:dyDescent="0.25">
      <c r="A2394" s="1">
        <v>129</v>
      </c>
      <c r="B2394" s="2">
        <v>41137</v>
      </c>
      <c r="C2394" s="4" t="s">
        <v>12</v>
      </c>
      <c r="D2394" s="1">
        <v>10</v>
      </c>
    </row>
    <row r="2395" spans="1:4" x14ac:dyDescent="0.25">
      <c r="A2395" s="1">
        <v>129</v>
      </c>
      <c r="B2395" s="2">
        <v>41156</v>
      </c>
      <c r="C2395" s="4" t="s">
        <v>12</v>
      </c>
      <c r="D2395" s="1">
        <v>9.4</v>
      </c>
    </row>
    <row r="2396" spans="1:4" x14ac:dyDescent="0.25">
      <c r="A2396" s="1">
        <v>129</v>
      </c>
      <c r="B2396" s="2">
        <v>41095</v>
      </c>
      <c r="C2396" s="4" t="s">
        <v>13</v>
      </c>
      <c r="D2396" s="1">
        <v>36</v>
      </c>
    </row>
    <row r="2397" spans="1:4" x14ac:dyDescent="0.25">
      <c r="A2397" s="1">
        <v>129</v>
      </c>
      <c r="B2397" s="2">
        <v>41123</v>
      </c>
      <c r="C2397" s="4" t="s">
        <v>13</v>
      </c>
      <c r="D2397" s="1">
        <v>39</v>
      </c>
    </row>
    <row r="2398" spans="1:4" x14ac:dyDescent="0.25">
      <c r="A2398" s="1">
        <v>129</v>
      </c>
      <c r="B2398" s="2">
        <v>41156</v>
      </c>
      <c r="C2398" s="4" t="s">
        <v>13</v>
      </c>
      <c r="D2398" s="1">
        <v>27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Admin</vt:lpstr>
      <vt:lpstr>Labs</vt:lpstr>
    </vt:vector>
  </TitlesOfParts>
  <Company>Xelay Acumen,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Yang</dc:creator>
  <cp:lastModifiedBy>itadmin</cp:lastModifiedBy>
  <dcterms:created xsi:type="dcterms:W3CDTF">2012-12-11T07:32:46Z</dcterms:created>
  <dcterms:modified xsi:type="dcterms:W3CDTF">2025-12-28T00:34:55Z</dcterms:modified>
</cp:coreProperties>
</file>